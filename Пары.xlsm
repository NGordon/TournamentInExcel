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/>
  <bookViews>
    <workbookView xWindow="0" yWindow="0" windowWidth="14760" windowHeight="10095" activeTab="1"/>
  </bookViews>
  <sheets>
    <sheet name="Rating" sheetId="15" r:id="rId1"/>
    <sheet name="Заявка" sheetId="16" r:id="rId2"/>
    <sheet name="Посев" sheetId="32" r:id="rId3"/>
    <sheet name="Группы" sheetId="36" r:id="rId4"/>
    <sheet name="Export" sheetId="39" r:id="rId5"/>
  </sheets>
  <functionGroups builtInGroupCount="17"/>
  <definedNames>
    <definedName name="_fin1">#REF!</definedName>
    <definedName name="_fin2">#REF!</definedName>
    <definedName name="_xlnm._FilterDatabase" localSheetId="0" hidden="1">Rating!$A$1:$G$417</definedName>
    <definedName name="a">#REF!</definedName>
    <definedName name="Anch1" localSheetId="3">Группы!#REF!</definedName>
    <definedName name="Anch1">#REF!</definedName>
    <definedName name="Anch2" localSheetId="3">Группы!#REF!</definedName>
    <definedName name="Anch2">#REF!</definedName>
    <definedName name="b">#REF!</definedName>
    <definedName name="Excel_BuiltIn__FilterDatabase_3">Заявка!$A$3:$G$67</definedName>
    <definedName name="Excel_BuiltIn_Print_Area_1">#REF!</definedName>
    <definedName name="Excel_BuiltIn_Print_Area_3">#REF!</definedName>
    <definedName name="Excel_BuiltIn_Print_Area_4">#REF!</definedName>
    <definedName name="Excel_BuiltIn_Print_Area_5">#REF!</definedName>
    <definedName name="final1">Посев!$BI$53</definedName>
    <definedName name="final2">Посев!$BT$53</definedName>
    <definedName name="final3">Посев!$CE$53</definedName>
    <definedName name="gr_anchor">Заявка!$R$31</definedName>
    <definedName name="gr_header" localSheetId="3">Группы!$B$8</definedName>
    <definedName name="gr_header">#REF!</definedName>
    <definedName name="ListHeader">Rating!$D$1</definedName>
    <definedName name="MaxIndex">#REF!</definedName>
    <definedName name="method_shift">Заявка!$U$29</definedName>
    <definedName name="MinIndex">#REF!</definedName>
    <definedName name="N_groups">Заявка!$M$1</definedName>
    <definedName name="n_zayavka">Заявка!$F$1</definedName>
    <definedName name="NameListBMZ" localSheetId="3">OFFSET(ListHeader,1,0,RatingVolume,1)</definedName>
    <definedName name="NameListBMZ">OFFSET(ListHeader,1,0,RatingVolume,1)</definedName>
    <definedName name="p">#REF!</definedName>
    <definedName name="posev">Export!$A$3</definedName>
    <definedName name="q">#REF!</definedName>
    <definedName name="RatingVolume">Rating!$H$1</definedName>
    <definedName name="shift1">Группы!$DE$6</definedName>
    <definedName name="shift2">Группы!$DF$6</definedName>
    <definedName name="shift3">Группы!$DG$6</definedName>
    <definedName name="shift4">Группы!$DH$6</definedName>
    <definedName name="Step">#REF!</definedName>
    <definedName name="zero16">#REF!</definedName>
    <definedName name="zero32">#REF!</definedName>
    <definedName name="zero8">#REF!</definedName>
    <definedName name="укцуцукук">#REF!</definedName>
  </definedNames>
  <calcPr calcId="145621"/>
</workbook>
</file>

<file path=xl/calcChain.xml><?xml version="1.0" encoding="utf-8"?>
<calcChain xmlns="http://schemas.openxmlformats.org/spreadsheetml/2006/main">
  <c r="F1" i="16" l="1"/>
  <c r="F7" i="16"/>
  <c r="F8" i="16"/>
  <c r="F9" i="16"/>
  <c r="F10" i="16"/>
  <c r="F11" i="16"/>
  <c r="F12" i="16"/>
  <c r="F13" i="16"/>
  <c r="F14" i="16"/>
  <c r="F15" i="16"/>
  <c r="F16" i="16"/>
  <c r="F17" i="16"/>
  <c r="F18" i="16"/>
  <c r="D20" i="36" l="1"/>
  <c r="E20" i="36"/>
  <c r="F4" i="16" l="1"/>
  <c r="F5" i="16"/>
  <c r="F6" i="16"/>
  <c r="F19" i="16"/>
  <c r="F20" i="16"/>
  <c r="F21" i="16"/>
  <c r="J35" i="16" l="1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AR56" i="36" l="1"/>
  <c r="T56" i="36"/>
  <c r="AR46" i="36"/>
  <c r="T46" i="36"/>
  <c r="AR36" i="36"/>
  <c r="T36" i="36"/>
  <c r="AR26" i="36"/>
  <c r="T26" i="36"/>
  <c r="AR16" i="36"/>
  <c r="T16" i="36"/>
  <c r="M5" i="16"/>
  <c r="M6" i="16" s="1"/>
  <c r="M7" i="16" s="1"/>
  <c r="M8" i="16" s="1"/>
  <c r="M9" i="16" s="1"/>
  <c r="M10" i="16" s="1"/>
  <c r="M11" i="16" s="1"/>
  <c r="M12" i="16" s="1"/>
  <c r="M13" i="16" s="1"/>
  <c r="M14" i="16" s="1"/>
  <c r="M15" i="16" s="1"/>
  <c r="M16" i="16" s="1"/>
  <c r="M17" i="16" s="1"/>
  <c r="M18" i="16" s="1"/>
  <c r="M19" i="16" s="1"/>
  <c r="M20" i="16" s="1"/>
  <c r="M21" i="16" s="1"/>
  <c r="M22" i="16" s="1"/>
  <c r="M23" i="16" s="1"/>
  <c r="M24" i="16" s="1"/>
  <c r="M25" i="16" s="1"/>
  <c r="M26" i="16" s="1"/>
  <c r="M27" i="16" s="1"/>
  <c r="M28" i="16" s="1"/>
  <c r="M29" i="16" s="1"/>
  <c r="M30" i="16" s="1"/>
  <c r="M31" i="16" s="1"/>
  <c r="M32" i="16" s="1"/>
  <c r="M33" i="16" s="1"/>
  <c r="M34" i="16" s="1"/>
  <c r="M35" i="16" s="1"/>
  <c r="I4" i="16"/>
  <c r="AG25" i="16" l="1"/>
  <c r="R52" i="32"/>
  <c r="AL3" i="32"/>
  <c r="DA86" i="36"/>
  <c r="DA85" i="36"/>
  <c r="CZ85" i="36"/>
  <c r="DA84" i="36"/>
  <c r="CZ84" i="36"/>
  <c r="CY84" i="36"/>
  <c r="DA83" i="36"/>
  <c r="CZ83" i="36"/>
  <c r="CY83" i="36"/>
  <c r="CX83" i="36"/>
  <c r="DA82" i="36"/>
  <c r="CZ82" i="36"/>
  <c r="CY82" i="36"/>
  <c r="CX82" i="36"/>
  <c r="CW82" i="36"/>
  <c r="DA81" i="36"/>
  <c r="CZ81" i="36"/>
  <c r="CY81" i="36"/>
  <c r="CX81" i="36"/>
  <c r="CW81" i="36"/>
  <c r="CV81" i="36"/>
  <c r="DA80" i="36"/>
  <c r="CZ80" i="36"/>
  <c r="CY80" i="36"/>
  <c r="CX80" i="36"/>
  <c r="CW80" i="36"/>
  <c r="CV80" i="36"/>
  <c r="CU80" i="36"/>
  <c r="DA79" i="36"/>
  <c r="CZ79" i="36"/>
  <c r="CY79" i="36"/>
  <c r="CX79" i="36"/>
  <c r="CW79" i="36"/>
  <c r="CV79" i="36"/>
  <c r="CU79" i="36"/>
  <c r="CT79" i="36"/>
  <c r="DA76" i="36"/>
  <c r="DA75" i="36"/>
  <c r="CZ75" i="36"/>
  <c r="DA74" i="36"/>
  <c r="CZ74" i="36"/>
  <c r="CY74" i="36"/>
  <c r="DA73" i="36"/>
  <c r="CZ73" i="36"/>
  <c r="CY73" i="36"/>
  <c r="CX73" i="36"/>
  <c r="DA72" i="36"/>
  <c r="CZ72" i="36"/>
  <c r="CY72" i="36"/>
  <c r="CX72" i="36"/>
  <c r="CW72" i="36"/>
  <c r="DA71" i="36"/>
  <c r="CZ71" i="36"/>
  <c r="CY71" i="36"/>
  <c r="CX71" i="36"/>
  <c r="CW71" i="36"/>
  <c r="CV71" i="36"/>
  <c r="DA70" i="36"/>
  <c r="CZ70" i="36"/>
  <c r="CY70" i="36"/>
  <c r="CX70" i="36"/>
  <c r="CW70" i="36"/>
  <c r="CV70" i="36"/>
  <c r="CU70" i="36"/>
  <c r="DA69" i="36"/>
  <c r="CZ69" i="36"/>
  <c r="CY69" i="36"/>
  <c r="CX69" i="36"/>
  <c r="CW69" i="36"/>
  <c r="CV69" i="36"/>
  <c r="CU69" i="36"/>
  <c r="CT69" i="36"/>
  <c r="DA66" i="36"/>
  <c r="DA65" i="36"/>
  <c r="CZ65" i="36"/>
  <c r="DA64" i="36"/>
  <c r="CZ64" i="36"/>
  <c r="CY64" i="36"/>
  <c r="DA63" i="36"/>
  <c r="CZ63" i="36"/>
  <c r="CY63" i="36"/>
  <c r="CX63" i="36"/>
  <c r="DA62" i="36"/>
  <c r="CZ62" i="36"/>
  <c r="CY62" i="36"/>
  <c r="CX62" i="36"/>
  <c r="CW62" i="36"/>
  <c r="DA61" i="36"/>
  <c r="CZ61" i="36"/>
  <c r="CY61" i="36"/>
  <c r="CX61" i="36"/>
  <c r="CW61" i="36"/>
  <c r="CV61" i="36"/>
  <c r="DA60" i="36"/>
  <c r="CZ60" i="36"/>
  <c r="CY60" i="36"/>
  <c r="CX60" i="36"/>
  <c r="CW60" i="36"/>
  <c r="CV60" i="36"/>
  <c r="CU60" i="36"/>
  <c r="DA59" i="36"/>
  <c r="CZ59" i="36"/>
  <c r="CY59" i="36"/>
  <c r="CX59" i="36"/>
  <c r="CW59" i="36"/>
  <c r="CV59" i="36"/>
  <c r="CU59" i="36"/>
  <c r="CT59" i="36"/>
  <c r="DA56" i="36"/>
  <c r="DA55" i="36"/>
  <c r="CZ55" i="36"/>
  <c r="DA54" i="36"/>
  <c r="CZ54" i="36"/>
  <c r="CY54" i="36"/>
  <c r="DA53" i="36"/>
  <c r="CZ53" i="36"/>
  <c r="CY53" i="36"/>
  <c r="CX53" i="36"/>
  <c r="DA52" i="36"/>
  <c r="CZ52" i="36"/>
  <c r="CY52" i="36"/>
  <c r="CX52" i="36"/>
  <c r="CW52" i="36"/>
  <c r="DA51" i="36"/>
  <c r="CZ51" i="36"/>
  <c r="CY51" i="36"/>
  <c r="CX51" i="36"/>
  <c r="CW51" i="36"/>
  <c r="CV51" i="36"/>
  <c r="DA50" i="36"/>
  <c r="CZ50" i="36"/>
  <c r="CY50" i="36"/>
  <c r="CX50" i="36"/>
  <c r="CW50" i="36"/>
  <c r="CV50" i="36"/>
  <c r="CU50" i="36"/>
  <c r="DA49" i="36"/>
  <c r="CZ49" i="36"/>
  <c r="CY49" i="36"/>
  <c r="CX49" i="36"/>
  <c r="CW49" i="36"/>
  <c r="CV49" i="36"/>
  <c r="CU49" i="36"/>
  <c r="CT49" i="36"/>
  <c r="DA46" i="36"/>
  <c r="DA45" i="36"/>
  <c r="CZ45" i="36"/>
  <c r="DA44" i="36"/>
  <c r="CZ44" i="36"/>
  <c r="CY44" i="36"/>
  <c r="DA43" i="36"/>
  <c r="CZ43" i="36"/>
  <c r="CY43" i="36"/>
  <c r="CX43" i="36"/>
  <c r="DA42" i="36"/>
  <c r="CZ42" i="36"/>
  <c r="CY42" i="36"/>
  <c r="CX42" i="36"/>
  <c r="CW42" i="36"/>
  <c r="DA41" i="36"/>
  <c r="CZ41" i="36"/>
  <c r="CY41" i="36"/>
  <c r="CX41" i="36"/>
  <c r="CW41" i="36"/>
  <c r="CV41" i="36"/>
  <c r="DA40" i="36"/>
  <c r="CZ40" i="36"/>
  <c r="CY40" i="36"/>
  <c r="CX40" i="36"/>
  <c r="CW40" i="36"/>
  <c r="CV40" i="36"/>
  <c r="CU40" i="36"/>
  <c r="DA39" i="36"/>
  <c r="CZ39" i="36"/>
  <c r="CY39" i="36"/>
  <c r="CX39" i="36"/>
  <c r="CW39" i="36"/>
  <c r="CV39" i="36"/>
  <c r="CU39" i="36"/>
  <c r="CT39" i="36"/>
  <c r="DA36" i="36"/>
  <c r="DA35" i="36"/>
  <c r="CZ35" i="36"/>
  <c r="DA34" i="36"/>
  <c r="CZ34" i="36"/>
  <c r="CY34" i="36"/>
  <c r="DA33" i="36"/>
  <c r="CZ33" i="36"/>
  <c r="CY33" i="36"/>
  <c r="CX33" i="36"/>
  <c r="DA32" i="36"/>
  <c r="CZ32" i="36"/>
  <c r="CY32" i="36"/>
  <c r="CX32" i="36"/>
  <c r="CW32" i="36"/>
  <c r="DA31" i="36"/>
  <c r="CZ31" i="36"/>
  <c r="CY31" i="36"/>
  <c r="CX31" i="36"/>
  <c r="CW31" i="36"/>
  <c r="CV31" i="36"/>
  <c r="DA30" i="36"/>
  <c r="CZ30" i="36"/>
  <c r="CY30" i="36"/>
  <c r="CX30" i="36"/>
  <c r="CW30" i="36"/>
  <c r="CV30" i="36"/>
  <c r="CU30" i="36"/>
  <c r="DA29" i="36"/>
  <c r="CZ29" i="36"/>
  <c r="CY29" i="36"/>
  <c r="CX29" i="36"/>
  <c r="CW29" i="36"/>
  <c r="CV29" i="36"/>
  <c r="CU29" i="36"/>
  <c r="CT29" i="36"/>
  <c r="DA26" i="36"/>
  <c r="DA25" i="36"/>
  <c r="CZ25" i="36"/>
  <c r="DA24" i="36"/>
  <c r="CZ24" i="36"/>
  <c r="CY24" i="36"/>
  <c r="DA23" i="36"/>
  <c r="CZ23" i="36"/>
  <c r="CY23" i="36"/>
  <c r="CX23" i="36"/>
  <c r="DA22" i="36"/>
  <c r="CZ22" i="36"/>
  <c r="CY22" i="36"/>
  <c r="CX22" i="36"/>
  <c r="CW22" i="36"/>
  <c r="DA21" i="36"/>
  <c r="CZ21" i="36"/>
  <c r="CY21" i="36"/>
  <c r="CX21" i="36"/>
  <c r="CW21" i="36"/>
  <c r="CV21" i="36"/>
  <c r="DA20" i="36"/>
  <c r="CZ20" i="36"/>
  <c r="CY20" i="36"/>
  <c r="CX20" i="36"/>
  <c r="CW20" i="36"/>
  <c r="CV20" i="36"/>
  <c r="CU20" i="36"/>
  <c r="DA19" i="36"/>
  <c r="CZ19" i="36"/>
  <c r="CY19" i="36"/>
  <c r="CX19" i="36"/>
  <c r="CW19" i="36"/>
  <c r="CV19" i="36"/>
  <c r="CU19" i="36"/>
  <c r="CT19" i="36"/>
  <c r="DA16" i="36"/>
  <c r="DA15" i="36"/>
  <c r="CZ15" i="36"/>
  <c r="DA14" i="36"/>
  <c r="CZ14" i="36"/>
  <c r="CY14" i="36"/>
  <c r="DA13" i="36"/>
  <c r="CZ13" i="36"/>
  <c r="CY13" i="36"/>
  <c r="CX13" i="36"/>
  <c r="DA12" i="36"/>
  <c r="CZ12" i="36"/>
  <c r="CY12" i="36"/>
  <c r="CX12" i="36"/>
  <c r="CW12" i="36"/>
  <c r="DA11" i="36"/>
  <c r="CZ11" i="36"/>
  <c r="CY11" i="36"/>
  <c r="CX11" i="36"/>
  <c r="CW11" i="36"/>
  <c r="CV11" i="36"/>
  <c r="DA10" i="36"/>
  <c r="CZ10" i="36"/>
  <c r="CY10" i="36"/>
  <c r="CX10" i="36"/>
  <c r="CW10" i="36"/>
  <c r="CV10" i="36"/>
  <c r="CU10" i="36"/>
  <c r="DA9" i="36"/>
  <c r="CZ9" i="36"/>
  <c r="CY9" i="36"/>
  <c r="CX9" i="36"/>
  <c r="CW9" i="36"/>
  <c r="CV9" i="36"/>
  <c r="CU9" i="36"/>
  <c r="CT9" i="36"/>
  <c r="I32" i="36"/>
  <c r="H32" i="36"/>
  <c r="BK32" i="36" s="1"/>
  <c r="G32" i="36"/>
  <c r="BR32" i="36" s="1"/>
  <c r="F32" i="36"/>
  <c r="BJ32" i="36" s="1"/>
  <c r="E32" i="36"/>
  <c r="BQ32" i="36" s="1"/>
  <c r="D32" i="36"/>
  <c r="BI32" i="36" s="1"/>
  <c r="G31" i="36"/>
  <c r="F31" i="36"/>
  <c r="BJ31" i="36" s="1"/>
  <c r="E31" i="36"/>
  <c r="BQ31" i="36" s="1"/>
  <c r="D31" i="36"/>
  <c r="BI31" i="36" s="1"/>
  <c r="E30" i="36"/>
  <c r="D30" i="36"/>
  <c r="BI30" i="36" s="1"/>
  <c r="AG32" i="36"/>
  <c r="AF32" i="36"/>
  <c r="CN32" i="36" s="1"/>
  <c r="AE32" i="36"/>
  <c r="CU32" i="36" s="1"/>
  <c r="AD32" i="36"/>
  <c r="CM32" i="36" s="1"/>
  <c r="AC32" i="36"/>
  <c r="CT32" i="36" s="1"/>
  <c r="AB32" i="36"/>
  <c r="CL32" i="36" s="1"/>
  <c r="AE31" i="36"/>
  <c r="AD31" i="36"/>
  <c r="CM31" i="36" s="1"/>
  <c r="AC31" i="36"/>
  <c r="CT31" i="36" s="1"/>
  <c r="AB31" i="36"/>
  <c r="CL31" i="36" s="1"/>
  <c r="AC30" i="36"/>
  <c r="AB30" i="36"/>
  <c r="CL30" i="36" s="1"/>
  <c r="AG22" i="36"/>
  <c r="AF22" i="36"/>
  <c r="CN22" i="36" s="1"/>
  <c r="AE22" i="36"/>
  <c r="CU22" i="36" s="1"/>
  <c r="AD22" i="36"/>
  <c r="CM22" i="36" s="1"/>
  <c r="AC22" i="36"/>
  <c r="CT22" i="36" s="1"/>
  <c r="AB22" i="36"/>
  <c r="CL22" i="36" s="1"/>
  <c r="AE21" i="36"/>
  <c r="AD21" i="36"/>
  <c r="CM21" i="36" s="1"/>
  <c r="AC21" i="36"/>
  <c r="CT21" i="36" s="1"/>
  <c r="AB21" i="36"/>
  <c r="CL21" i="36" s="1"/>
  <c r="AC20" i="36"/>
  <c r="AB20" i="36"/>
  <c r="CL20" i="36" s="1"/>
  <c r="I22" i="36"/>
  <c r="H22" i="36"/>
  <c r="BK22" i="36" s="1"/>
  <c r="G22" i="36"/>
  <c r="BR22" i="36" s="1"/>
  <c r="F22" i="36"/>
  <c r="BJ22" i="36" s="1"/>
  <c r="E22" i="36"/>
  <c r="BQ22" i="36" s="1"/>
  <c r="D22" i="36"/>
  <c r="BI22" i="36" s="1"/>
  <c r="G21" i="36"/>
  <c r="F21" i="36"/>
  <c r="E21" i="36"/>
  <c r="BQ21" i="36" s="1"/>
  <c r="D21" i="36"/>
  <c r="BI21" i="36" s="1"/>
  <c r="I12" i="36"/>
  <c r="H12" i="36"/>
  <c r="BK12" i="36" s="1"/>
  <c r="G12" i="36"/>
  <c r="BR12" i="36" s="1"/>
  <c r="F12" i="36"/>
  <c r="BJ12" i="36" s="1"/>
  <c r="E12" i="36"/>
  <c r="BQ12" i="36" s="1"/>
  <c r="D12" i="36"/>
  <c r="BI12" i="36" s="1"/>
  <c r="G11" i="36"/>
  <c r="F11" i="36"/>
  <c r="BJ11" i="36" s="1"/>
  <c r="E11" i="36"/>
  <c r="BQ11" i="36" s="1"/>
  <c r="D11" i="36"/>
  <c r="BI11" i="36" s="1"/>
  <c r="E10" i="36"/>
  <c r="D10" i="36"/>
  <c r="AM25" i="36"/>
  <c r="AL25" i="36"/>
  <c r="AK25" i="36"/>
  <c r="CX25" i="36" s="1"/>
  <c r="AJ25" i="36"/>
  <c r="CP25" i="36" s="1"/>
  <c r="AI25" i="36"/>
  <c r="CW25" i="36" s="1"/>
  <c r="AH25" i="36"/>
  <c r="CO25" i="36" s="1"/>
  <c r="AG25" i="36"/>
  <c r="CV25" i="36" s="1"/>
  <c r="AF25" i="36"/>
  <c r="CN25" i="36" s="1"/>
  <c r="AE25" i="36"/>
  <c r="CU25" i="36" s="1"/>
  <c r="AD25" i="36"/>
  <c r="CM25" i="36" s="1"/>
  <c r="AC25" i="36"/>
  <c r="CT25" i="36" s="1"/>
  <c r="AB25" i="36"/>
  <c r="CL25" i="36" s="1"/>
  <c r="AK24" i="36"/>
  <c r="AJ24" i="36"/>
  <c r="AI24" i="36"/>
  <c r="CW24" i="36" s="1"/>
  <c r="AH24" i="36"/>
  <c r="CO24" i="36" s="1"/>
  <c r="AG24" i="36"/>
  <c r="CV24" i="36" s="1"/>
  <c r="AF24" i="36"/>
  <c r="CN24" i="36" s="1"/>
  <c r="AE24" i="36"/>
  <c r="CU24" i="36" s="1"/>
  <c r="AD24" i="36"/>
  <c r="CM24" i="36" s="1"/>
  <c r="AC24" i="36"/>
  <c r="CT24" i="36" s="1"/>
  <c r="AB24" i="36"/>
  <c r="CL24" i="36" s="1"/>
  <c r="AI23" i="36"/>
  <c r="AH23" i="36"/>
  <c r="CO23" i="36" s="1"/>
  <c r="AG23" i="36"/>
  <c r="CV23" i="36" s="1"/>
  <c r="AF23" i="36"/>
  <c r="CN23" i="36" s="1"/>
  <c r="AE23" i="36"/>
  <c r="CU23" i="36" s="1"/>
  <c r="AD23" i="36"/>
  <c r="CM23" i="36" s="1"/>
  <c r="AC23" i="36"/>
  <c r="CT23" i="36" s="1"/>
  <c r="AB23" i="36"/>
  <c r="CL23" i="36" s="1"/>
  <c r="O25" i="36"/>
  <c r="N25" i="36"/>
  <c r="BN25" i="36" s="1"/>
  <c r="M25" i="36"/>
  <c r="BU25" i="36" s="1"/>
  <c r="L25" i="36"/>
  <c r="BM25" i="36" s="1"/>
  <c r="K25" i="36"/>
  <c r="BT25" i="36" s="1"/>
  <c r="J25" i="36"/>
  <c r="BL25" i="36" s="1"/>
  <c r="I25" i="36"/>
  <c r="BS25" i="36" s="1"/>
  <c r="H25" i="36"/>
  <c r="BK25" i="36" s="1"/>
  <c r="G25" i="36"/>
  <c r="BR25" i="36" s="1"/>
  <c r="F25" i="36"/>
  <c r="BJ25" i="36" s="1"/>
  <c r="E25" i="36"/>
  <c r="BQ25" i="36" s="1"/>
  <c r="D25" i="36"/>
  <c r="BI25" i="36" s="1"/>
  <c r="M24" i="36"/>
  <c r="L24" i="36"/>
  <c r="K24" i="36"/>
  <c r="BT24" i="36" s="1"/>
  <c r="J24" i="36"/>
  <c r="BL24" i="36" s="1"/>
  <c r="I24" i="36"/>
  <c r="BS24" i="36" s="1"/>
  <c r="H24" i="36"/>
  <c r="BK24" i="36" s="1"/>
  <c r="G24" i="36"/>
  <c r="BR24" i="36" s="1"/>
  <c r="F24" i="36"/>
  <c r="BJ24" i="36" s="1"/>
  <c r="E24" i="36"/>
  <c r="BQ24" i="36" s="1"/>
  <c r="D24" i="36"/>
  <c r="BI24" i="36" s="1"/>
  <c r="K23" i="36"/>
  <c r="J23" i="36"/>
  <c r="I23" i="36"/>
  <c r="BS23" i="36" s="1"/>
  <c r="H23" i="36"/>
  <c r="BK23" i="36" s="1"/>
  <c r="G23" i="36"/>
  <c r="BR23" i="36" s="1"/>
  <c r="F23" i="36"/>
  <c r="BJ23" i="36" s="1"/>
  <c r="E23" i="36"/>
  <c r="BQ23" i="36" s="1"/>
  <c r="D23" i="36"/>
  <c r="BI23" i="36" s="1"/>
  <c r="AO16" i="36"/>
  <c r="AN16" i="36"/>
  <c r="CR16" i="36" s="1"/>
  <c r="AM16" i="36"/>
  <c r="CY16" i="36" s="1"/>
  <c r="AL16" i="36"/>
  <c r="CQ16" i="36" s="1"/>
  <c r="AK16" i="36"/>
  <c r="CX16" i="36" s="1"/>
  <c r="AJ16" i="36"/>
  <c r="CP16" i="36" s="1"/>
  <c r="AI16" i="36"/>
  <c r="CW16" i="36" s="1"/>
  <c r="AH16" i="36"/>
  <c r="CO16" i="36" s="1"/>
  <c r="AG16" i="36"/>
  <c r="CV16" i="36" s="1"/>
  <c r="AF16" i="36"/>
  <c r="CN16" i="36" s="1"/>
  <c r="AE16" i="36"/>
  <c r="CU16" i="36" s="1"/>
  <c r="AD16" i="36"/>
  <c r="CM16" i="36" s="1"/>
  <c r="AC16" i="36"/>
  <c r="CT16" i="36" s="1"/>
  <c r="AB16" i="36"/>
  <c r="CL16" i="36" s="1"/>
  <c r="AM15" i="36"/>
  <c r="AL15" i="36"/>
  <c r="CQ15" i="36" s="1"/>
  <c r="AK15" i="36"/>
  <c r="CX15" i="36" s="1"/>
  <c r="AJ15" i="36"/>
  <c r="CP15" i="36" s="1"/>
  <c r="AI15" i="36"/>
  <c r="CW15" i="36" s="1"/>
  <c r="AH15" i="36"/>
  <c r="CO15" i="36" s="1"/>
  <c r="AG15" i="36"/>
  <c r="CV15" i="36" s="1"/>
  <c r="AF15" i="36"/>
  <c r="CN15" i="36" s="1"/>
  <c r="AE15" i="36"/>
  <c r="CU15" i="36" s="1"/>
  <c r="AD15" i="36"/>
  <c r="CM15" i="36" s="1"/>
  <c r="AC15" i="36"/>
  <c r="CT15" i="36" s="1"/>
  <c r="AB15" i="36"/>
  <c r="CL15" i="36" s="1"/>
  <c r="AK14" i="36"/>
  <c r="AJ14" i="36"/>
  <c r="AI14" i="36"/>
  <c r="CW14" i="36" s="1"/>
  <c r="AH14" i="36"/>
  <c r="CO14" i="36" s="1"/>
  <c r="AG14" i="36"/>
  <c r="CV14" i="36" s="1"/>
  <c r="AF14" i="36"/>
  <c r="CN14" i="36" s="1"/>
  <c r="AE14" i="36"/>
  <c r="CU14" i="36" s="1"/>
  <c r="AD14" i="36"/>
  <c r="CM14" i="36" s="1"/>
  <c r="AC14" i="36"/>
  <c r="CT14" i="36" s="1"/>
  <c r="AB14" i="36"/>
  <c r="CL14" i="36" s="1"/>
  <c r="AI13" i="36"/>
  <c r="AH13" i="36"/>
  <c r="CO13" i="36" s="1"/>
  <c r="AG13" i="36"/>
  <c r="CV13" i="36" s="1"/>
  <c r="AF13" i="36"/>
  <c r="CN13" i="36" s="1"/>
  <c r="AE13" i="36"/>
  <c r="CU13" i="36" s="1"/>
  <c r="AD13" i="36"/>
  <c r="CM13" i="36" s="1"/>
  <c r="AC13" i="36"/>
  <c r="CT13" i="36" s="1"/>
  <c r="AB13" i="36"/>
  <c r="CL13" i="36" s="1"/>
  <c r="AG12" i="36"/>
  <c r="AF12" i="36"/>
  <c r="CN12" i="36" s="1"/>
  <c r="AE12" i="36"/>
  <c r="CU12" i="36" s="1"/>
  <c r="AD12" i="36"/>
  <c r="CM12" i="36" s="1"/>
  <c r="AC12" i="36"/>
  <c r="CT12" i="36" s="1"/>
  <c r="AB12" i="36"/>
  <c r="CL12" i="36" s="1"/>
  <c r="AE11" i="36"/>
  <c r="AD11" i="36"/>
  <c r="CM11" i="36" s="1"/>
  <c r="AC11" i="36"/>
  <c r="CT11" i="36" s="1"/>
  <c r="AB11" i="36"/>
  <c r="CL11" i="36" s="1"/>
  <c r="AC10" i="36"/>
  <c r="AB10" i="36"/>
  <c r="CL10" i="36" s="1"/>
  <c r="DH6" i="36"/>
  <c r="AO86" i="36"/>
  <c r="AN86" i="36"/>
  <c r="CR86" i="36" s="1"/>
  <c r="AM86" i="36"/>
  <c r="CY86" i="36" s="1"/>
  <c r="AL86" i="36"/>
  <c r="CQ86" i="36" s="1"/>
  <c r="AK86" i="36"/>
  <c r="CX86" i="36" s="1"/>
  <c r="AJ86" i="36"/>
  <c r="CP86" i="36" s="1"/>
  <c r="AI86" i="36"/>
  <c r="CW86" i="36" s="1"/>
  <c r="AH86" i="36"/>
  <c r="CO86" i="36" s="1"/>
  <c r="AG86" i="36"/>
  <c r="CV86" i="36" s="1"/>
  <c r="AF86" i="36"/>
  <c r="CN86" i="36" s="1"/>
  <c r="AE86" i="36"/>
  <c r="CU86" i="36" s="1"/>
  <c r="AD86" i="36"/>
  <c r="CM86" i="36" s="1"/>
  <c r="AC86" i="36"/>
  <c r="CT86" i="36" s="1"/>
  <c r="AB86" i="36"/>
  <c r="CL86" i="36" s="1"/>
  <c r="AM85" i="36"/>
  <c r="AL85" i="36"/>
  <c r="CQ85" i="36" s="1"/>
  <c r="AK85" i="36"/>
  <c r="CX85" i="36" s="1"/>
  <c r="AJ85" i="36"/>
  <c r="CP85" i="36" s="1"/>
  <c r="AI85" i="36"/>
  <c r="CW85" i="36" s="1"/>
  <c r="AH85" i="36"/>
  <c r="CO85" i="36" s="1"/>
  <c r="AG85" i="36"/>
  <c r="CV85" i="36" s="1"/>
  <c r="AF85" i="36"/>
  <c r="CN85" i="36" s="1"/>
  <c r="AE85" i="36"/>
  <c r="CU85" i="36" s="1"/>
  <c r="AD85" i="36"/>
  <c r="CM85" i="36" s="1"/>
  <c r="AC85" i="36"/>
  <c r="CT85" i="36" s="1"/>
  <c r="AB85" i="36"/>
  <c r="CL85" i="36" s="1"/>
  <c r="AK84" i="36"/>
  <c r="CX84" i="36" s="1"/>
  <c r="AJ84" i="36"/>
  <c r="AI84" i="36"/>
  <c r="CW84" i="36" s="1"/>
  <c r="AH84" i="36"/>
  <c r="CO84" i="36" s="1"/>
  <c r="AG84" i="36"/>
  <c r="CV84" i="36" s="1"/>
  <c r="AF84" i="36"/>
  <c r="CN84" i="36" s="1"/>
  <c r="AE84" i="36"/>
  <c r="CU84" i="36" s="1"/>
  <c r="AD84" i="36"/>
  <c r="CM84" i="36" s="1"/>
  <c r="AC84" i="36"/>
  <c r="CT84" i="36" s="1"/>
  <c r="AB84" i="36"/>
  <c r="CL84" i="36" s="1"/>
  <c r="AI83" i="36"/>
  <c r="CW83" i="36" s="1"/>
  <c r="AH83" i="36"/>
  <c r="CO83" i="36" s="1"/>
  <c r="AG83" i="36"/>
  <c r="CV83" i="36" s="1"/>
  <c r="AF83" i="36"/>
  <c r="CN83" i="36" s="1"/>
  <c r="AE83" i="36"/>
  <c r="AD83" i="36"/>
  <c r="CM83" i="36" s="1"/>
  <c r="AC83" i="36"/>
  <c r="CT83" i="36" s="1"/>
  <c r="AB83" i="36"/>
  <c r="CL83" i="36" s="1"/>
  <c r="AG82" i="36"/>
  <c r="AF82" i="36"/>
  <c r="CN82" i="36" s="1"/>
  <c r="AE82" i="36"/>
  <c r="CU82" i="36" s="1"/>
  <c r="AD82" i="36"/>
  <c r="CM82" i="36" s="1"/>
  <c r="AC82" i="36"/>
  <c r="CT82" i="36" s="1"/>
  <c r="AB82" i="36"/>
  <c r="CL82" i="36" s="1"/>
  <c r="AE81" i="36"/>
  <c r="CU81" i="36" s="1"/>
  <c r="AD81" i="36"/>
  <c r="CM81" i="36" s="1"/>
  <c r="AC81" i="36"/>
  <c r="CT81" i="36" s="1"/>
  <c r="AB81" i="36"/>
  <c r="CL81" i="36" s="1"/>
  <c r="AC80" i="36"/>
  <c r="AB80" i="36"/>
  <c r="CL80" i="36" s="1"/>
  <c r="AO76" i="36"/>
  <c r="CZ76" i="36" s="1"/>
  <c r="AN76" i="36"/>
  <c r="AM76" i="36"/>
  <c r="CY76" i="36" s="1"/>
  <c r="AL76" i="36"/>
  <c r="CQ76" i="36" s="1"/>
  <c r="AK76" i="36"/>
  <c r="CX76" i="36" s="1"/>
  <c r="AJ76" i="36"/>
  <c r="CP76" i="36" s="1"/>
  <c r="AI76" i="36"/>
  <c r="CW76" i="36" s="1"/>
  <c r="AH76" i="36"/>
  <c r="CO76" i="36" s="1"/>
  <c r="AG76" i="36"/>
  <c r="CV76" i="36" s="1"/>
  <c r="AF76" i="36"/>
  <c r="CN76" i="36" s="1"/>
  <c r="AE76" i="36"/>
  <c r="CU76" i="36" s="1"/>
  <c r="AD76" i="36"/>
  <c r="CM76" i="36" s="1"/>
  <c r="AC76" i="36"/>
  <c r="CT76" i="36" s="1"/>
  <c r="AB76" i="36"/>
  <c r="CL76" i="36" s="1"/>
  <c r="AM75" i="36"/>
  <c r="AL75" i="36"/>
  <c r="CQ75" i="36" s="1"/>
  <c r="AK75" i="36"/>
  <c r="CX75" i="36" s="1"/>
  <c r="AJ75" i="36"/>
  <c r="CP75" i="36" s="1"/>
  <c r="AI75" i="36"/>
  <c r="CW75" i="36" s="1"/>
  <c r="AH75" i="36"/>
  <c r="CO75" i="36" s="1"/>
  <c r="AG75" i="36"/>
  <c r="CV75" i="36" s="1"/>
  <c r="AF75" i="36"/>
  <c r="CN75" i="36" s="1"/>
  <c r="AE75" i="36"/>
  <c r="CU75" i="36" s="1"/>
  <c r="AD75" i="36"/>
  <c r="CM75" i="36" s="1"/>
  <c r="AC75" i="36"/>
  <c r="CT75" i="36" s="1"/>
  <c r="AB75" i="36"/>
  <c r="CL75" i="36" s="1"/>
  <c r="AK74" i="36"/>
  <c r="CX74" i="36" s="1"/>
  <c r="AJ74" i="36"/>
  <c r="AI74" i="36"/>
  <c r="CW74" i="36" s="1"/>
  <c r="AH74" i="36"/>
  <c r="CO74" i="36" s="1"/>
  <c r="AG74" i="36"/>
  <c r="CV74" i="36" s="1"/>
  <c r="AF74" i="36"/>
  <c r="CN74" i="36" s="1"/>
  <c r="AE74" i="36"/>
  <c r="CU74" i="36" s="1"/>
  <c r="AD74" i="36"/>
  <c r="CM74" i="36" s="1"/>
  <c r="AC74" i="36"/>
  <c r="CT74" i="36" s="1"/>
  <c r="AB74" i="36"/>
  <c r="CL74" i="36" s="1"/>
  <c r="AI73" i="36"/>
  <c r="CW73" i="36" s="1"/>
  <c r="AH73" i="36"/>
  <c r="CO73" i="36" s="1"/>
  <c r="AG73" i="36"/>
  <c r="CV73" i="36" s="1"/>
  <c r="AF73" i="36"/>
  <c r="CN73" i="36" s="1"/>
  <c r="AE73" i="36"/>
  <c r="CU73" i="36" s="1"/>
  <c r="AD73" i="36"/>
  <c r="CM73" i="36" s="1"/>
  <c r="AC73" i="36"/>
  <c r="CT73" i="36" s="1"/>
  <c r="AB73" i="36"/>
  <c r="CL73" i="36" s="1"/>
  <c r="AG72" i="36"/>
  <c r="CV72" i="36" s="1"/>
  <c r="AF72" i="36"/>
  <c r="AE72" i="36"/>
  <c r="CU72" i="36" s="1"/>
  <c r="AD72" i="36"/>
  <c r="CM72" i="36" s="1"/>
  <c r="AC72" i="36"/>
  <c r="CT72" i="36" s="1"/>
  <c r="AB72" i="36"/>
  <c r="CL72" i="36" s="1"/>
  <c r="AE71" i="36"/>
  <c r="AD71" i="36"/>
  <c r="CM71" i="36" s="1"/>
  <c r="AC71" i="36"/>
  <c r="CT71" i="36" s="1"/>
  <c r="AB71" i="36"/>
  <c r="CL71" i="36" s="1"/>
  <c r="AC70" i="36"/>
  <c r="CT70" i="36" s="1"/>
  <c r="AB70" i="36"/>
  <c r="CL70" i="36" s="1"/>
  <c r="AO66" i="36"/>
  <c r="AN66" i="36"/>
  <c r="CR66" i="36" s="1"/>
  <c r="AM66" i="36"/>
  <c r="CY66" i="36" s="1"/>
  <c r="AL66" i="36"/>
  <c r="CQ66" i="36" s="1"/>
  <c r="AK66" i="36"/>
  <c r="CX66" i="36" s="1"/>
  <c r="AJ66" i="36"/>
  <c r="CP66" i="36" s="1"/>
  <c r="AI66" i="36"/>
  <c r="CW66" i="36" s="1"/>
  <c r="AH66" i="36"/>
  <c r="CO66" i="36" s="1"/>
  <c r="AG66" i="36"/>
  <c r="CV66" i="36" s="1"/>
  <c r="AF66" i="36"/>
  <c r="CN66" i="36" s="1"/>
  <c r="AE66" i="36"/>
  <c r="CU66" i="36" s="1"/>
  <c r="AD66" i="36"/>
  <c r="CM66" i="36" s="1"/>
  <c r="AC66" i="36"/>
  <c r="CT66" i="36" s="1"/>
  <c r="AB66" i="36"/>
  <c r="CL66" i="36" s="1"/>
  <c r="AM65" i="36"/>
  <c r="AL65" i="36"/>
  <c r="CQ65" i="36" s="1"/>
  <c r="AK65" i="36"/>
  <c r="CX65" i="36" s="1"/>
  <c r="AJ65" i="36"/>
  <c r="CP65" i="36" s="1"/>
  <c r="AI65" i="36"/>
  <c r="CW65" i="36" s="1"/>
  <c r="AH65" i="36"/>
  <c r="CO65" i="36" s="1"/>
  <c r="AG65" i="36"/>
  <c r="CV65" i="36" s="1"/>
  <c r="AF65" i="36"/>
  <c r="CN65" i="36" s="1"/>
  <c r="AE65" i="36"/>
  <c r="CU65" i="36" s="1"/>
  <c r="AD65" i="36"/>
  <c r="CM65" i="36" s="1"/>
  <c r="AC65" i="36"/>
  <c r="CT65" i="36" s="1"/>
  <c r="AB65" i="36"/>
  <c r="CL65" i="36" s="1"/>
  <c r="AK64" i="36"/>
  <c r="CX64" i="36" s="1"/>
  <c r="AJ64" i="36"/>
  <c r="CP64" i="36" s="1"/>
  <c r="AI64" i="36"/>
  <c r="CW64" i="36" s="1"/>
  <c r="AH64" i="36"/>
  <c r="CO64" i="36" s="1"/>
  <c r="AG64" i="36"/>
  <c r="CV64" i="36" s="1"/>
  <c r="AF64" i="36"/>
  <c r="CN64" i="36" s="1"/>
  <c r="AE64" i="36"/>
  <c r="CU64" i="36" s="1"/>
  <c r="AD64" i="36"/>
  <c r="CM64" i="36" s="1"/>
  <c r="AC64" i="36"/>
  <c r="CT64" i="36" s="1"/>
  <c r="AB64" i="36"/>
  <c r="CL64" i="36" s="1"/>
  <c r="AI63" i="36"/>
  <c r="CW63" i="36" s="1"/>
  <c r="AH63" i="36"/>
  <c r="CO63" i="36" s="1"/>
  <c r="AG63" i="36"/>
  <c r="CV63" i="36" s="1"/>
  <c r="AF63" i="36"/>
  <c r="CN63" i="36" s="1"/>
  <c r="AE63" i="36"/>
  <c r="CU63" i="36" s="1"/>
  <c r="AD63" i="36"/>
  <c r="CM63" i="36" s="1"/>
  <c r="AC63" i="36"/>
  <c r="CT63" i="36" s="1"/>
  <c r="AB63" i="36"/>
  <c r="CL63" i="36" s="1"/>
  <c r="AG62" i="36"/>
  <c r="AF62" i="36"/>
  <c r="CN62" i="36" s="1"/>
  <c r="AE62" i="36"/>
  <c r="CU62" i="36" s="1"/>
  <c r="AD62" i="36"/>
  <c r="CM62" i="36" s="1"/>
  <c r="AC62" i="36"/>
  <c r="CT62" i="36" s="1"/>
  <c r="AB62" i="36"/>
  <c r="CL62" i="36" s="1"/>
  <c r="AE61" i="36"/>
  <c r="AD61" i="36"/>
  <c r="CM61" i="36" s="1"/>
  <c r="AC61" i="36"/>
  <c r="CT61" i="36" s="1"/>
  <c r="AB61" i="36"/>
  <c r="CL61" i="36" s="1"/>
  <c r="AC60" i="36"/>
  <c r="AB60" i="36"/>
  <c r="CL60" i="36" s="1"/>
  <c r="Q86" i="36"/>
  <c r="P86" i="36"/>
  <c r="BO86" i="36" s="1"/>
  <c r="O86" i="36"/>
  <c r="BV86" i="36" s="1"/>
  <c r="N86" i="36"/>
  <c r="BN86" i="36" s="1"/>
  <c r="M86" i="36"/>
  <c r="BU86" i="36" s="1"/>
  <c r="L86" i="36"/>
  <c r="BM86" i="36" s="1"/>
  <c r="K86" i="36"/>
  <c r="BT86" i="36" s="1"/>
  <c r="J86" i="36"/>
  <c r="BL86" i="36" s="1"/>
  <c r="I86" i="36"/>
  <c r="BS86" i="36" s="1"/>
  <c r="H86" i="36"/>
  <c r="BK86" i="36" s="1"/>
  <c r="G86" i="36"/>
  <c r="BR86" i="36" s="1"/>
  <c r="F86" i="36"/>
  <c r="BJ86" i="36" s="1"/>
  <c r="E86" i="36"/>
  <c r="BQ86" i="36" s="1"/>
  <c r="D86" i="36"/>
  <c r="BI86" i="36" s="1"/>
  <c r="O85" i="36"/>
  <c r="BV85" i="36" s="1"/>
  <c r="N85" i="36"/>
  <c r="BN85" i="36" s="1"/>
  <c r="M85" i="36"/>
  <c r="BU85" i="36" s="1"/>
  <c r="L85" i="36"/>
  <c r="BM85" i="36" s="1"/>
  <c r="K85" i="36"/>
  <c r="BT85" i="36" s="1"/>
  <c r="J85" i="36"/>
  <c r="BL85" i="36" s="1"/>
  <c r="I85" i="36"/>
  <c r="BS85" i="36" s="1"/>
  <c r="H85" i="36"/>
  <c r="BK85" i="36" s="1"/>
  <c r="G85" i="36"/>
  <c r="BR85" i="36" s="1"/>
  <c r="F85" i="36"/>
  <c r="BJ85" i="36" s="1"/>
  <c r="E85" i="36"/>
  <c r="BQ85" i="36" s="1"/>
  <c r="D85" i="36"/>
  <c r="BI85" i="36" s="1"/>
  <c r="M84" i="36"/>
  <c r="L84" i="36"/>
  <c r="BM84" i="36" s="1"/>
  <c r="K84" i="36"/>
  <c r="BT84" i="36" s="1"/>
  <c r="J84" i="36"/>
  <c r="BL84" i="36" s="1"/>
  <c r="I84" i="36"/>
  <c r="BS84" i="36" s="1"/>
  <c r="H84" i="36"/>
  <c r="BK84" i="36" s="1"/>
  <c r="G84" i="36"/>
  <c r="BR84" i="36" s="1"/>
  <c r="F84" i="36"/>
  <c r="BJ84" i="36" s="1"/>
  <c r="E84" i="36"/>
  <c r="BQ84" i="36" s="1"/>
  <c r="D84" i="36"/>
  <c r="BI84" i="36" s="1"/>
  <c r="K83" i="36"/>
  <c r="BT83" i="36" s="1"/>
  <c r="J83" i="36"/>
  <c r="I83" i="36"/>
  <c r="BS83" i="36" s="1"/>
  <c r="H83" i="36"/>
  <c r="BK83" i="36" s="1"/>
  <c r="G83" i="36"/>
  <c r="BR83" i="36" s="1"/>
  <c r="F83" i="36"/>
  <c r="BJ83" i="36" s="1"/>
  <c r="E83" i="36"/>
  <c r="BQ83" i="36" s="1"/>
  <c r="D83" i="36"/>
  <c r="BI83" i="36" s="1"/>
  <c r="I82" i="36"/>
  <c r="BS82" i="36" s="1"/>
  <c r="H82" i="36"/>
  <c r="BK82" i="36" s="1"/>
  <c r="G82" i="36"/>
  <c r="BR82" i="36" s="1"/>
  <c r="F82" i="36"/>
  <c r="BJ82" i="36" s="1"/>
  <c r="E82" i="36"/>
  <c r="BQ82" i="36" s="1"/>
  <c r="D82" i="36"/>
  <c r="BI82" i="36" s="1"/>
  <c r="G81" i="36"/>
  <c r="BR81" i="36" s="1"/>
  <c r="F81" i="36"/>
  <c r="BJ81" i="36" s="1"/>
  <c r="E81" i="36"/>
  <c r="BQ81" i="36" s="1"/>
  <c r="D81" i="36"/>
  <c r="BI81" i="36" s="1"/>
  <c r="E80" i="36"/>
  <c r="BQ80" i="36" s="1"/>
  <c r="D80" i="36"/>
  <c r="BI80" i="36" s="1"/>
  <c r="Q76" i="36"/>
  <c r="BW76" i="36" s="1"/>
  <c r="P76" i="36"/>
  <c r="BO76" i="36" s="1"/>
  <c r="O76" i="36"/>
  <c r="BV76" i="36" s="1"/>
  <c r="N76" i="36"/>
  <c r="BN76" i="36" s="1"/>
  <c r="M76" i="36"/>
  <c r="BU76" i="36" s="1"/>
  <c r="L76" i="36"/>
  <c r="BM76" i="36" s="1"/>
  <c r="K76" i="36"/>
  <c r="BT76" i="36" s="1"/>
  <c r="J76" i="36"/>
  <c r="BL76" i="36" s="1"/>
  <c r="I76" i="36"/>
  <c r="BS76" i="36" s="1"/>
  <c r="H76" i="36"/>
  <c r="BK76" i="36" s="1"/>
  <c r="G76" i="36"/>
  <c r="BR76" i="36" s="1"/>
  <c r="F76" i="36"/>
  <c r="BJ76" i="36" s="1"/>
  <c r="E76" i="36"/>
  <c r="BQ76" i="36" s="1"/>
  <c r="D76" i="36"/>
  <c r="BI76" i="36" s="1"/>
  <c r="O75" i="36"/>
  <c r="BV75" i="36" s="1"/>
  <c r="N75" i="36"/>
  <c r="BN75" i="36" s="1"/>
  <c r="M75" i="36"/>
  <c r="BU75" i="36" s="1"/>
  <c r="L75" i="36"/>
  <c r="BM75" i="36" s="1"/>
  <c r="K75" i="36"/>
  <c r="BT75" i="36" s="1"/>
  <c r="J75" i="36"/>
  <c r="BL75" i="36" s="1"/>
  <c r="I75" i="36"/>
  <c r="BS75" i="36" s="1"/>
  <c r="H75" i="36"/>
  <c r="BK75" i="36" s="1"/>
  <c r="G75" i="36"/>
  <c r="BR75" i="36" s="1"/>
  <c r="F75" i="36"/>
  <c r="BJ75" i="36" s="1"/>
  <c r="E75" i="36"/>
  <c r="BQ75" i="36" s="1"/>
  <c r="D75" i="36"/>
  <c r="BI75" i="36" s="1"/>
  <c r="M74" i="36"/>
  <c r="BU74" i="36" s="1"/>
  <c r="L74" i="36"/>
  <c r="BM74" i="36" s="1"/>
  <c r="K74" i="36"/>
  <c r="BT74" i="36" s="1"/>
  <c r="J74" i="36"/>
  <c r="BL74" i="36" s="1"/>
  <c r="I74" i="36"/>
  <c r="BS74" i="36" s="1"/>
  <c r="H74" i="36"/>
  <c r="BK74" i="36" s="1"/>
  <c r="G74" i="36"/>
  <c r="BR74" i="36" s="1"/>
  <c r="F74" i="36"/>
  <c r="BJ74" i="36" s="1"/>
  <c r="E74" i="36"/>
  <c r="BQ74" i="36" s="1"/>
  <c r="D74" i="36"/>
  <c r="BI74" i="36" s="1"/>
  <c r="K73" i="36"/>
  <c r="BT73" i="36" s="1"/>
  <c r="J73" i="36"/>
  <c r="BL73" i="36" s="1"/>
  <c r="I73" i="36"/>
  <c r="BS73" i="36" s="1"/>
  <c r="H73" i="36"/>
  <c r="BK73" i="36" s="1"/>
  <c r="G73" i="36"/>
  <c r="BR73" i="36" s="1"/>
  <c r="F73" i="36"/>
  <c r="BJ73" i="36" s="1"/>
  <c r="E73" i="36"/>
  <c r="BQ73" i="36" s="1"/>
  <c r="D73" i="36"/>
  <c r="BI73" i="36" s="1"/>
  <c r="I72" i="36"/>
  <c r="BS72" i="36" s="1"/>
  <c r="H72" i="36"/>
  <c r="BK72" i="36" s="1"/>
  <c r="G72" i="36"/>
  <c r="BR72" i="36" s="1"/>
  <c r="F72" i="36"/>
  <c r="BJ72" i="36" s="1"/>
  <c r="E72" i="36"/>
  <c r="BQ72" i="36" s="1"/>
  <c r="D72" i="36"/>
  <c r="BI72" i="36" s="1"/>
  <c r="G71" i="36"/>
  <c r="F71" i="36"/>
  <c r="BJ71" i="36" s="1"/>
  <c r="E71" i="36"/>
  <c r="BQ71" i="36" s="1"/>
  <c r="D71" i="36"/>
  <c r="BI71" i="36" s="1"/>
  <c r="E70" i="36"/>
  <c r="BQ70" i="36" s="1"/>
  <c r="D70" i="36"/>
  <c r="BI70" i="36" s="1"/>
  <c r="Q66" i="36"/>
  <c r="BW66" i="36" s="1"/>
  <c r="P66" i="36"/>
  <c r="BO66" i="36" s="1"/>
  <c r="O66" i="36"/>
  <c r="BV66" i="36" s="1"/>
  <c r="N66" i="36"/>
  <c r="BN66" i="36" s="1"/>
  <c r="M66" i="36"/>
  <c r="BU66" i="36" s="1"/>
  <c r="L66" i="36"/>
  <c r="BM66" i="36" s="1"/>
  <c r="K66" i="36"/>
  <c r="BT66" i="36" s="1"/>
  <c r="J66" i="36"/>
  <c r="BL66" i="36" s="1"/>
  <c r="I66" i="36"/>
  <c r="BS66" i="36" s="1"/>
  <c r="H66" i="36"/>
  <c r="BK66" i="36" s="1"/>
  <c r="G66" i="36"/>
  <c r="BR66" i="36" s="1"/>
  <c r="F66" i="36"/>
  <c r="BJ66" i="36" s="1"/>
  <c r="E66" i="36"/>
  <c r="BQ66" i="36" s="1"/>
  <c r="D66" i="36"/>
  <c r="BI66" i="36" s="1"/>
  <c r="O65" i="36"/>
  <c r="BV65" i="36" s="1"/>
  <c r="N65" i="36"/>
  <c r="BN65" i="36" s="1"/>
  <c r="M65" i="36"/>
  <c r="BU65" i="36" s="1"/>
  <c r="L65" i="36"/>
  <c r="BM65" i="36" s="1"/>
  <c r="K65" i="36"/>
  <c r="BT65" i="36" s="1"/>
  <c r="J65" i="36"/>
  <c r="BL65" i="36" s="1"/>
  <c r="I65" i="36"/>
  <c r="BS65" i="36" s="1"/>
  <c r="H65" i="36"/>
  <c r="BK65" i="36" s="1"/>
  <c r="G65" i="36"/>
  <c r="BR65" i="36" s="1"/>
  <c r="F65" i="36"/>
  <c r="BJ65" i="36" s="1"/>
  <c r="E65" i="36"/>
  <c r="BQ65" i="36" s="1"/>
  <c r="D65" i="36"/>
  <c r="BI65" i="36" s="1"/>
  <c r="M64" i="36"/>
  <c r="BU64" i="36" s="1"/>
  <c r="L64" i="36"/>
  <c r="BM64" i="36" s="1"/>
  <c r="K64" i="36"/>
  <c r="BT64" i="36" s="1"/>
  <c r="J64" i="36"/>
  <c r="BL64" i="36" s="1"/>
  <c r="I64" i="36"/>
  <c r="BS64" i="36" s="1"/>
  <c r="H64" i="36"/>
  <c r="BK64" i="36" s="1"/>
  <c r="G64" i="36"/>
  <c r="BR64" i="36" s="1"/>
  <c r="F64" i="36"/>
  <c r="BJ64" i="36" s="1"/>
  <c r="E64" i="36"/>
  <c r="BQ64" i="36" s="1"/>
  <c r="D64" i="36"/>
  <c r="BI64" i="36" s="1"/>
  <c r="K63" i="36"/>
  <c r="J63" i="36"/>
  <c r="BL63" i="36" s="1"/>
  <c r="I63" i="36"/>
  <c r="BS63" i="36" s="1"/>
  <c r="H63" i="36"/>
  <c r="BK63" i="36" s="1"/>
  <c r="G63" i="36"/>
  <c r="BR63" i="36" s="1"/>
  <c r="F63" i="36"/>
  <c r="BJ63" i="36" s="1"/>
  <c r="E63" i="36"/>
  <c r="BQ63" i="36" s="1"/>
  <c r="D63" i="36"/>
  <c r="BI63" i="36" s="1"/>
  <c r="I62" i="36"/>
  <c r="H62" i="36"/>
  <c r="BK62" i="36" s="1"/>
  <c r="G62" i="36"/>
  <c r="BR62" i="36" s="1"/>
  <c r="F62" i="36"/>
  <c r="BJ62" i="36" s="1"/>
  <c r="E62" i="36"/>
  <c r="BQ62" i="36" s="1"/>
  <c r="D62" i="36"/>
  <c r="BI62" i="36" s="1"/>
  <c r="G61" i="36"/>
  <c r="F61" i="36"/>
  <c r="BJ61" i="36" s="1"/>
  <c r="E61" i="36"/>
  <c r="BQ61" i="36" s="1"/>
  <c r="D61" i="36"/>
  <c r="BI61" i="36" s="1"/>
  <c r="E60" i="36"/>
  <c r="D60" i="36"/>
  <c r="BI60" i="36" s="1"/>
  <c r="AO56" i="36"/>
  <c r="AN56" i="36"/>
  <c r="CR56" i="36" s="1"/>
  <c r="AM56" i="36"/>
  <c r="CY56" i="36" s="1"/>
  <c r="AL56" i="36"/>
  <c r="CQ56" i="36" s="1"/>
  <c r="AK56" i="36"/>
  <c r="CX56" i="36" s="1"/>
  <c r="AJ56" i="36"/>
  <c r="CP56" i="36" s="1"/>
  <c r="AI56" i="36"/>
  <c r="CW56" i="36" s="1"/>
  <c r="AH56" i="36"/>
  <c r="CO56" i="36" s="1"/>
  <c r="AG56" i="36"/>
  <c r="CV56" i="36" s="1"/>
  <c r="AF56" i="36"/>
  <c r="CN56" i="36" s="1"/>
  <c r="AE56" i="36"/>
  <c r="CU56" i="36" s="1"/>
  <c r="AD56" i="36"/>
  <c r="CM56" i="36" s="1"/>
  <c r="AC56" i="36"/>
  <c r="CT56" i="36" s="1"/>
  <c r="AB56" i="36"/>
  <c r="CL56" i="36" s="1"/>
  <c r="AM55" i="36"/>
  <c r="AL55" i="36"/>
  <c r="CQ55" i="36" s="1"/>
  <c r="AK55" i="36"/>
  <c r="CX55" i="36" s="1"/>
  <c r="AJ55" i="36"/>
  <c r="CP55" i="36" s="1"/>
  <c r="AI55" i="36"/>
  <c r="CW55" i="36" s="1"/>
  <c r="AH55" i="36"/>
  <c r="CO55" i="36" s="1"/>
  <c r="AG55" i="36"/>
  <c r="CV55" i="36" s="1"/>
  <c r="AF55" i="36"/>
  <c r="CN55" i="36" s="1"/>
  <c r="AE55" i="36"/>
  <c r="CU55" i="36" s="1"/>
  <c r="AD55" i="36"/>
  <c r="CM55" i="36" s="1"/>
  <c r="AC55" i="36"/>
  <c r="CT55" i="36" s="1"/>
  <c r="AB55" i="36"/>
  <c r="CL55" i="36" s="1"/>
  <c r="AK54" i="36"/>
  <c r="AJ54" i="36"/>
  <c r="CP54" i="36" s="1"/>
  <c r="AI54" i="36"/>
  <c r="CW54" i="36" s="1"/>
  <c r="AH54" i="36"/>
  <c r="CO54" i="36" s="1"/>
  <c r="AG54" i="36"/>
  <c r="CV54" i="36" s="1"/>
  <c r="AF54" i="36"/>
  <c r="CN54" i="36" s="1"/>
  <c r="AE54" i="36"/>
  <c r="CU54" i="36" s="1"/>
  <c r="AD54" i="36"/>
  <c r="CM54" i="36" s="1"/>
  <c r="AC54" i="36"/>
  <c r="CT54" i="36" s="1"/>
  <c r="AB54" i="36"/>
  <c r="CL54" i="36" s="1"/>
  <c r="AI53" i="36"/>
  <c r="AH53" i="36"/>
  <c r="CO53" i="36" s="1"/>
  <c r="AG53" i="36"/>
  <c r="CV53" i="36" s="1"/>
  <c r="AF53" i="36"/>
  <c r="CN53" i="36" s="1"/>
  <c r="AE53" i="36"/>
  <c r="CU53" i="36" s="1"/>
  <c r="AD53" i="36"/>
  <c r="CM53" i="36" s="1"/>
  <c r="AC53" i="36"/>
  <c r="CT53" i="36" s="1"/>
  <c r="AB53" i="36"/>
  <c r="CL53" i="36" s="1"/>
  <c r="AG52" i="36"/>
  <c r="AF52" i="36"/>
  <c r="AE52" i="36"/>
  <c r="CU52" i="36" s="1"/>
  <c r="AD52" i="36"/>
  <c r="CM52" i="36" s="1"/>
  <c r="AC52" i="36"/>
  <c r="CT52" i="36" s="1"/>
  <c r="AB52" i="36"/>
  <c r="CL52" i="36" s="1"/>
  <c r="AE51" i="36"/>
  <c r="AD51" i="36"/>
  <c r="CM51" i="36" s="1"/>
  <c r="AC51" i="36"/>
  <c r="CT51" i="36" s="1"/>
  <c r="AB51" i="36"/>
  <c r="CL51" i="36" s="1"/>
  <c r="AC50" i="36"/>
  <c r="AB50" i="36"/>
  <c r="CL50" i="36" s="1"/>
  <c r="Q56" i="36"/>
  <c r="P56" i="36"/>
  <c r="BO56" i="36" s="1"/>
  <c r="O56" i="36"/>
  <c r="BV56" i="36" s="1"/>
  <c r="N56" i="36"/>
  <c r="BN56" i="36" s="1"/>
  <c r="M56" i="36"/>
  <c r="BU56" i="36" s="1"/>
  <c r="L56" i="36"/>
  <c r="BM56" i="36" s="1"/>
  <c r="K56" i="36"/>
  <c r="BT56" i="36" s="1"/>
  <c r="J56" i="36"/>
  <c r="BL56" i="36" s="1"/>
  <c r="I56" i="36"/>
  <c r="BS56" i="36" s="1"/>
  <c r="H56" i="36"/>
  <c r="BK56" i="36" s="1"/>
  <c r="G56" i="36"/>
  <c r="BR56" i="36" s="1"/>
  <c r="F56" i="36"/>
  <c r="BJ56" i="36" s="1"/>
  <c r="E56" i="36"/>
  <c r="BQ56" i="36" s="1"/>
  <c r="D56" i="36"/>
  <c r="BI56" i="36" s="1"/>
  <c r="O55" i="36"/>
  <c r="N55" i="36"/>
  <c r="BN55" i="36" s="1"/>
  <c r="M55" i="36"/>
  <c r="BU55" i="36" s="1"/>
  <c r="L55" i="36"/>
  <c r="BM55" i="36" s="1"/>
  <c r="K55" i="36"/>
  <c r="BT55" i="36" s="1"/>
  <c r="J55" i="36"/>
  <c r="BL55" i="36" s="1"/>
  <c r="I55" i="36"/>
  <c r="BS55" i="36" s="1"/>
  <c r="H55" i="36"/>
  <c r="BK55" i="36" s="1"/>
  <c r="G55" i="36"/>
  <c r="BR55" i="36" s="1"/>
  <c r="F55" i="36"/>
  <c r="BJ55" i="36" s="1"/>
  <c r="E55" i="36"/>
  <c r="BQ55" i="36" s="1"/>
  <c r="D55" i="36"/>
  <c r="BI55" i="36" s="1"/>
  <c r="M54" i="36"/>
  <c r="L54" i="36"/>
  <c r="BM54" i="36" s="1"/>
  <c r="K54" i="36"/>
  <c r="BT54" i="36" s="1"/>
  <c r="J54" i="36"/>
  <c r="BL54" i="36" s="1"/>
  <c r="I54" i="36"/>
  <c r="BS54" i="36" s="1"/>
  <c r="H54" i="36"/>
  <c r="BK54" i="36" s="1"/>
  <c r="G54" i="36"/>
  <c r="BR54" i="36" s="1"/>
  <c r="F54" i="36"/>
  <c r="BJ54" i="36" s="1"/>
  <c r="E54" i="36"/>
  <c r="BQ54" i="36" s="1"/>
  <c r="D54" i="36"/>
  <c r="BI54" i="36" s="1"/>
  <c r="K53" i="36"/>
  <c r="J53" i="36"/>
  <c r="BL53" i="36" s="1"/>
  <c r="I53" i="36"/>
  <c r="BS53" i="36" s="1"/>
  <c r="H53" i="36"/>
  <c r="BK53" i="36" s="1"/>
  <c r="G53" i="36"/>
  <c r="BR53" i="36" s="1"/>
  <c r="F53" i="36"/>
  <c r="BJ53" i="36" s="1"/>
  <c r="E53" i="36"/>
  <c r="BQ53" i="36" s="1"/>
  <c r="D53" i="36"/>
  <c r="BI53" i="36" s="1"/>
  <c r="I52" i="36"/>
  <c r="H52" i="36"/>
  <c r="BK52" i="36" s="1"/>
  <c r="G52" i="36"/>
  <c r="BR52" i="36" s="1"/>
  <c r="F52" i="36"/>
  <c r="BJ52" i="36" s="1"/>
  <c r="E52" i="36"/>
  <c r="BQ52" i="36" s="1"/>
  <c r="D52" i="36"/>
  <c r="BI52" i="36" s="1"/>
  <c r="G51" i="36"/>
  <c r="F51" i="36"/>
  <c r="BJ51" i="36" s="1"/>
  <c r="E51" i="36"/>
  <c r="BQ51" i="36" s="1"/>
  <c r="D51" i="36"/>
  <c r="BI51" i="36" s="1"/>
  <c r="E50" i="36"/>
  <c r="D50" i="36"/>
  <c r="BI50" i="36" s="1"/>
  <c r="AO46" i="36"/>
  <c r="AN46" i="36"/>
  <c r="CR46" i="36" s="1"/>
  <c r="AM46" i="36"/>
  <c r="CY46" i="36" s="1"/>
  <c r="AL46" i="36"/>
  <c r="CQ46" i="36" s="1"/>
  <c r="AK46" i="36"/>
  <c r="AJ46" i="36"/>
  <c r="CP46" i="36" s="1"/>
  <c r="AI46" i="36"/>
  <c r="CW46" i="36" s="1"/>
  <c r="AH46" i="36"/>
  <c r="CO46" i="36" s="1"/>
  <c r="AG46" i="36"/>
  <c r="CV46" i="36" s="1"/>
  <c r="AF46" i="36"/>
  <c r="CN46" i="36" s="1"/>
  <c r="AE46" i="36"/>
  <c r="AD46" i="36"/>
  <c r="CM46" i="36" s="1"/>
  <c r="AC46" i="36"/>
  <c r="AB46" i="36"/>
  <c r="CL46" i="36" s="1"/>
  <c r="AM45" i="36"/>
  <c r="AL45" i="36"/>
  <c r="AK45" i="36"/>
  <c r="CX45" i="36" s="1"/>
  <c r="AJ45" i="36"/>
  <c r="CP45" i="36" s="1"/>
  <c r="AI45" i="36"/>
  <c r="CW45" i="36" s="1"/>
  <c r="AH45" i="36"/>
  <c r="CO45" i="36" s="1"/>
  <c r="AG45" i="36"/>
  <c r="CV45" i="36" s="1"/>
  <c r="AF45" i="36"/>
  <c r="CN45" i="36" s="1"/>
  <c r="AE45" i="36"/>
  <c r="CU45" i="36" s="1"/>
  <c r="AD45" i="36"/>
  <c r="CM45" i="36" s="1"/>
  <c r="AC45" i="36"/>
  <c r="CT45" i="36" s="1"/>
  <c r="AB45" i="36"/>
  <c r="CL45" i="36" s="1"/>
  <c r="AK44" i="36"/>
  <c r="AJ44" i="36"/>
  <c r="CP44" i="36" s="1"/>
  <c r="AI44" i="36"/>
  <c r="CW44" i="36" s="1"/>
  <c r="AH44" i="36"/>
  <c r="CO44" i="36" s="1"/>
  <c r="AG44" i="36"/>
  <c r="CV44" i="36" s="1"/>
  <c r="AF44" i="36"/>
  <c r="CN44" i="36" s="1"/>
  <c r="AE44" i="36"/>
  <c r="CU44" i="36" s="1"/>
  <c r="AD44" i="36"/>
  <c r="CM44" i="36" s="1"/>
  <c r="AC44" i="36"/>
  <c r="CT44" i="36" s="1"/>
  <c r="AB44" i="36"/>
  <c r="CL44" i="36" s="1"/>
  <c r="AI43" i="36"/>
  <c r="AH43" i="36"/>
  <c r="AG43" i="36"/>
  <c r="CV43" i="36" s="1"/>
  <c r="AF43" i="36"/>
  <c r="CN43" i="36" s="1"/>
  <c r="AE43" i="36"/>
  <c r="CU43" i="36" s="1"/>
  <c r="AD43" i="36"/>
  <c r="CM43" i="36" s="1"/>
  <c r="AC43" i="36"/>
  <c r="CT43" i="36" s="1"/>
  <c r="AB43" i="36"/>
  <c r="CL43" i="36" s="1"/>
  <c r="AG42" i="36"/>
  <c r="AF42" i="36"/>
  <c r="AE42" i="36"/>
  <c r="CU42" i="36" s="1"/>
  <c r="AD42" i="36"/>
  <c r="CM42" i="36" s="1"/>
  <c r="AC42" i="36"/>
  <c r="CT42" i="36" s="1"/>
  <c r="AB42" i="36"/>
  <c r="CL42" i="36" s="1"/>
  <c r="AE41" i="36"/>
  <c r="AD41" i="36"/>
  <c r="CM41" i="36" s="1"/>
  <c r="AC41" i="36"/>
  <c r="CT41" i="36" s="1"/>
  <c r="AB41" i="36"/>
  <c r="CL41" i="36" s="1"/>
  <c r="AC40" i="36"/>
  <c r="AB40" i="36"/>
  <c r="CL40" i="36" s="1"/>
  <c r="Q46" i="36"/>
  <c r="P46" i="36"/>
  <c r="BO46" i="36" s="1"/>
  <c r="O46" i="36"/>
  <c r="BV46" i="36" s="1"/>
  <c r="N46" i="36"/>
  <c r="BN46" i="36" s="1"/>
  <c r="M46" i="36"/>
  <c r="BU46" i="36" s="1"/>
  <c r="L46" i="36"/>
  <c r="BM46" i="36" s="1"/>
  <c r="K46" i="36"/>
  <c r="BT46" i="36" s="1"/>
  <c r="J46" i="36"/>
  <c r="BL46" i="36" s="1"/>
  <c r="I46" i="36"/>
  <c r="BS46" i="36" s="1"/>
  <c r="H46" i="36"/>
  <c r="BK46" i="36" s="1"/>
  <c r="G46" i="36"/>
  <c r="BR46" i="36" s="1"/>
  <c r="F46" i="36"/>
  <c r="BJ46" i="36" s="1"/>
  <c r="E46" i="36"/>
  <c r="BQ46" i="36" s="1"/>
  <c r="D46" i="36"/>
  <c r="BI46" i="36" s="1"/>
  <c r="O45" i="36"/>
  <c r="N45" i="36"/>
  <c r="BN45" i="36" s="1"/>
  <c r="M45" i="36"/>
  <c r="BU45" i="36" s="1"/>
  <c r="L45" i="36"/>
  <c r="BM45" i="36" s="1"/>
  <c r="K45" i="36"/>
  <c r="BT45" i="36" s="1"/>
  <c r="J45" i="36"/>
  <c r="BL45" i="36" s="1"/>
  <c r="I45" i="36"/>
  <c r="BS45" i="36" s="1"/>
  <c r="H45" i="36"/>
  <c r="BK45" i="36" s="1"/>
  <c r="G45" i="36"/>
  <c r="BR45" i="36" s="1"/>
  <c r="F45" i="36"/>
  <c r="BJ45" i="36" s="1"/>
  <c r="E45" i="36"/>
  <c r="BQ45" i="36" s="1"/>
  <c r="D45" i="36"/>
  <c r="BI45" i="36" s="1"/>
  <c r="M44" i="36"/>
  <c r="L44" i="36"/>
  <c r="K44" i="36"/>
  <c r="BT44" i="36" s="1"/>
  <c r="J44" i="36"/>
  <c r="BL44" i="36" s="1"/>
  <c r="I44" i="36"/>
  <c r="BS44" i="36" s="1"/>
  <c r="H44" i="36"/>
  <c r="BK44" i="36" s="1"/>
  <c r="G44" i="36"/>
  <c r="BR44" i="36" s="1"/>
  <c r="F44" i="36"/>
  <c r="BJ44" i="36" s="1"/>
  <c r="E44" i="36"/>
  <c r="BQ44" i="36" s="1"/>
  <c r="D44" i="36"/>
  <c r="K43" i="36"/>
  <c r="J43" i="36"/>
  <c r="BL43" i="36" s="1"/>
  <c r="I43" i="36"/>
  <c r="BS43" i="36" s="1"/>
  <c r="H43" i="36"/>
  <c r="BK43" i="36" s="1"/>
  <c r="G43" i="36"/>
  <c r="BR43" i="36" s="1"/>
  <c r="F43" i="36"/>
  <c r="BJ43" i="36" s="1"/>
  <c r="E43" i="36"/>
  <c r="BQ43" i="36" s="1"/>
  <c r="D43" i="36"/>
  <c r="BI43" i="36" s="1"/>
  <c r="I42" i="36"/>
  <c r="H42" i="36"/>
  <c r="BK42" i="36" s="1"/>
  <c r="G42" i="36"/>
  <c r="BR42" i="36" s="1"/>
  <c r="F42" i="36"/>
  <c r="BJ42" i="36" s="1"/>
  <c r="E42" i="36"/>
  <c r="BQ42" i="36" s="1"/>
  <c r="D42" i="36"/>
  <c r="BI42" i="36" s="1"/>
  <c r="G41" i="36"/>
  <c r="F41" i="36"/>
  <c r="E41" i="36"/>
  <c r="BQ41" i="36" s="1"/>
  <c r="D41" i="36"/>
  <c r="BI41" i="36" s="1"/>
  <c r="E40" i="36"/>
  <c r="D40" i="36"/>
  <c r="AO36" i="36"/>
  <c r="AN36" i="36"/>
  <c r="CR36" i="36" s="1"/>
  <c r="AM36" i="36"/>
  <c r="CY36" i="36" s="1"/>
  <c r="AL36" i="36"/>
  <c r="CQ36" i="36" s="1"/>
  <c r="AK36" i="36"/>
  <c r="CX36" i="36" s="1"/>
  <c r="AJ36" i="36"/>
  <c r="CP36" i="36" s="1"/>
  <c r="AI36" i="36"/>
  <c r="CW36" i="36" s="1"/>
  <c r="AH36" i="36"/>
  <c r="CO36" i="36" s="1"/>
  <c r="AG36" i="36"/>
  <c r="CV36" i="36" s="1"/>
  <c r="AF36" i="36"/>
  <c r="CN36" i="36" s="1"/>
  <c r="AE36" i="36"/>
  <c r="CU36" i="36" s="1"/>
  <c r="AD36" i="36"/>
  <c r="CM36" i="36" s="1"/>
  <c r="AC36" i="36"/>
  <c r="CT36" i="36" s="1"/>
  <c r="AB36" i="36"/>
  <c r="CL36" i="36" s="1"/>
  <c r="AM35" i="36"/>
  <c r="AL35" i="36"/>
  <c r="CQ35" i="36" s="1"/>
  <c r="AK35" i="36"/>
  <c r="CX35" i="36" s="1"/>
  <c r="AJ35" i="36"/>
  <c r="CP35" i="36" s="1"/>
  <c r="AI35" i="36"/>
  <c r="CW35" i="36" s="1"/>
  <c r="AH35" i="36"/>
  <c r="CO35" i="36" s="1"/>
  <c r="AG35" i="36"/>
  <c r="CV35" i="36" s="1"/>
  <c r="AF35" i="36"/>
  <c r="CN35" i="36" s="1"/>
  <c r="AE35" i="36"/>
  <c r="CU35" i="36" s="1"/>
  <c r="AD35" i="36"/>
  <c r="CM35" i="36" s="1"/>
  <c r="AC35" i="36"/>
  <c r="CT35" i="36" s="1"/>
  <c r="AB35" i="36"/>
  <c r="CL35" i="36" s="1"/>
  <c r="AK34" i="36"/>
  <c r="AJ34" i="36"/>
  <c r="CP34" i="36" s="1"/>
  <c r="AI34" i="36"/>
  <c r="CW34" i="36" s="1"/>
  <c r="AH34" i="36"/>
  <c r="CO34" i="36" s="1"/>
  <c r="AG34" i="36"/>
  <c r="CV34" i="36" s="1"/>
  <c r="AF34" i="36"/>
  <c r="CN34" i="36" s="1"/>
  <c r="AE34" i="36"/>
  <c r="CU34" i="36" s="1"/>
  <c r="AD34" i="36"/>
  <c r="CM34" i="36" s="1"/>
  <c r="AC34" i="36"/>
  <c r="CT34" i="36" s="1"/>
  <c r="AB34" i="36"/>
  <c r="CL34" i="36" s="1"/>
  <c r="AI33" i="36"/>
  <c r="AH33" i="36"/>
  <c r="CO33" i="36" s="1"/>
  <c r="AG33" i="36"/>
  <c r="AF33" i="36"/>
  <c r="CN33" i="36" s="1"/>
  <c r="AE33" i="36"/>
  <c r="CU33" i="36" s="1"/>
  <c r="AD33" i="36"/>
  <c r="CM33" i="36" s="1"/>
  <c r="AC33" i="36"/>
  <c r="CT33" i="36" s="1"/>
  <c r="AB33" i="36"/>
  <c r="CL33" i="36" s="1"/>
  <c r="Q36" i="36"/>
  <c r="P36" i="36"/>
  <c r="BO36" i="36" s="1"/>
  <c r="O36" i="36"/>
  <c r="BV36" i="36" s="1"/>
  <c r="N36" i="36"/>
  <c r="BN36" i="36" s="1"/>
  <c r="M36" i="36"/>
  <c r="BU36" i="36" s="1"/>
  <c r="L36" i="36"/>
  <c r="BM36" i="36" s="1"/>
  <c r="K36" i="36"/>
  <c r="BT36" i="36" s="1"/>
  <c r="J36" i="36"/>
  <c r="BL36" i="36" s="1"/>
  <c r="I36" i="36"/>
  <c r="BS36" i="36" s="1"/>
  <c r="H36" i="36"/>
  <c r="BK36" i="36" s="1"/>
  <c r="G36" i="36"/>
  <c r="BR36" i="36" s="1"/>
  <c r="F36" i="36"/>
  <c r="BJ36" i="36" s="1"/>
  <c r="E36" i="36"/>
  <c r="BQ36" i="36" s="1"/>
  <c r="D36" i="36"/>
  <c r="BI36" i="36" s="1"/>
  <c r="O35" i="36"/>
  <c r="N35" i="36"/>
  <c r="BN35" i="36" s="1"/>
  <c r="M35" i="36"/>
  <c r="BU35" i="36" s="1"/>
  <c r="L35" i="36"/>
  <c r="BM35" i="36" s="1"/>
  <c r="K35" i="36"/>
  <c r="BT35" i="36" s="1"/>
  <c r="J35" i="36"/>
  <c r="BL35" i="36" s="1"/>
  <c r="I35" i="36"/>
  <c r="BS35" i="36" s="1"/>
  <c r="H35" i="36"/>
  <c r="BK35" i="36" s="1"/>
  <c r="G35" i="36"/>
  <c r="BR35" i="36" s="1"/>
  <c r="F35" i="36"/>
  <c r="BJ35" i="36" s="1"/>
  <c r="E35" i="36"/>
  <c r="BQ35" i="36" s="1"/>
  <c r="D35" i="36"/>
  <c r="BI35" i="36" s="1"/>
  <c r="M34" i="36"/>
  <c r="L34" i="36"/>
  <c r="BM34" i="36" s="1"/>
  <c r="K34" i="36"/>
  <c r="BT34" i="36" s="1"/>
  <c r="J34" i="36"/>
  <c r="BL34" i="36" s="1"/>
  <c r="I34" i="36"/>
  <c r="BS34" i="36" s="1"/>
  <c r="H34" i="36"/>
  <c r="BK34" i="36" s="1"/>
  <c r="G34" i="36"/>
  <c r="BR34" i="36" s="1"/>
  <c r="F34" i="36"/>
  <c r="BJ34" i="36" s="1"/>
  <c r="E34" i="36"/>
  <c r="BQ34" i="36" s="1"/>
  <c r="D34" i="36"/>
  <c r="BI34" i="36" s="1"/>
  <c r="K33" i="36"/>
  <c r="J33" i="36"/>
  <c r="BL33" i="36" s="1"/>
  <c r="I33" i="36"/>
  <c r="H33" i="36"/>
  <c r="BK33" i="36" s="1"/>
  <c r="G33" i="36"/>
  <c r="F33" i="36"/>
  <c r="BJ33" i="36" s="1"/>
  <c r="E33" i="36"/>
  <c r="D33" i="36"/>
  <c r="BI33" i="36" s="1"/>
  <c r="AO26" i="36"/>
  <c r="AN26" i="36"/>
  <c r="AM26" i="36"/>
  <c r="CY26" i="36" s="1"/>
  <c r="AL26" i="36"/>
  <c r="CQ26" i="36" s="1"/>
  <c r="AK26" i="36"/>
  <c r="CX26" i="36" s="1"/>
  <c r="AJ26" i="36"/>
  <c r="CP26" i="36" s="1"/>
  <c r="AI26" i="36"/>
  <c r="CW26" i="36" s="1"/>
  <c r="AH26" i="36"/>
  <c r="AG26" i="36"/>
  <c r="CV26" i="36" s="1"/>
  <c r="AF26" i="36"/>
  <c r="AE26" i="36"/>
  <c r="CU26" i="36" s="1"/>
  <c r="AD26" i="36"/>
  <c r="CM26" i="36" s="1"/>
  <c r="AC26" i="36"/>
  <c r="CT26" i="36" s="1"/>
  <c r="AB26" i="36"/>
  <c r="CL26" i="36" s="1"/>
  <c r="Q26" i="36"/>
  <c r="P26" i="36"/>
  <c r="O26" i="36"/>
  <c r="BV26" i="36" s="1"/>
  <c r="N26" i="36"/>
  <c r="BN26" i="36" s="1"/>
  <c r="M26" i="36"/>
  <c r="BU26" i="36" s="1"/>
  <c r="L26" i="36"/>
  <c r="BM26" i="36" s="1"/>
  <c r="K26" i="36"/>
  <c r="BT26" i="36" s="1"/>
  <c r="J26" i="36"/>
  <c r="BL26" i="36" s="1"/>
  <c r="I26" i="36"/>
  <c r="BS26" i="36" s="1"/>
  <c r="H26" i="36"/>
  <c r="BK26" i="36" s="1"/>
  <c r="G26" i="36"/>
  <c r="BR26" i="36" s="1"/>
  <c r="F26" i="36"/>
  <c r="BJ26" i="36" s="1"/>
  <c r="E26" i="36"/>
  <c r="BQ26" i="36" s="1"/>
  <c r="D26" i="36"/>
  <c r="DM455" i="36"/>
  <c r="DM427" i="36"/>
  <c r="DM399" i="36"/>
  <c r="DM371" i="36"/>
  <c r="DM343" i="36"/>
  <c r="DM315" i="36"/>
  <c r="DM287" i="36"/>
  <c r="DT287" i="36" s="1"/>
  <c r="DM259" i="36"/>
  <c r="DT259" i="36" s="1"/>
  <c r="DM231" i="36"/>
  <c r="DT231" i="36" s="1"/>
  <c r="DM203" i="36"/>
  <c r="DT203" i="36" s="1"/>
  <c r="DM175" i="36"/>
  <c r="DT175" i="36" s="1"/>
  <c r="DM147" i="36"/>
  <c r="DT147" i="36" s="1"/>
  <c r="DI36" i="36"/>
  <c r="DI64" i="36" s="1"/>
  <c r="DM119" i="36"/>
  <c r="DT119" i="36" s="1"/>
  <c r="DM91" i="36"/>
  <c r="DT91" i="36" s="1"/>
  <c r="DM63" i="36"/>
  <c r="DT63" i="36" s="1"/>
  <c r="DF37" i="36"/>
  <c r="DM35" i="36"/>
  <c r="DT35" i="36" s="1"/>
  <c r="Z18" i="36"/>
  <c r="Z28" i="36" s="1"/>
  <c r="Z38" i="36" s="1"/>
  <c r="Z48" i="36" s="1"/>
  <c r="Z58" i="36" s="1"/>
  <c r="Z68" i="36" s="1"/>
  <c r="Z78" i="36" s="1"/>
  <c r="B18" i="36"/>
  <c r="B28" i="36" s="1"/>
  <c r="B38" i="36" s="1"/>
  <c r="B48" i="36" s="1"/>
  <c r="B58" i="36" s="1"/>
  <c r="B68" i="36" s="1"/>
  <c r="B78" i="36" s="1"/>
  <c r="CS86" i="36"/>
  <c r="BX86" i="36"/>
  <c r="BP86" i="36"/>
  <c r="AR86" i="36"/>
  <c r="T86" i="36"/>
  <c r="CS85" i="36"/>
  <c r="CR85" i="36"/>
  <c r="BX85" i="36"/>
  <c r="BW85" i="36"/>
  <c r="BP85" i="36"/>
  <c r="BO85" i="36"/>
  <c r="CS84" i="36"/>
  <c r="CR84" i="36"/>
  <c r="CQ84" i="36"/>
  <c r="BX84" i="36"/>
  <c r="BW84" i="36"/>
  <c r="BV84" i="36"/>
  <c r="BP84" i="36"/>
  <c r="BO84" i="36"/>
  <c r="BN84" i="36"/>
  <c r="CS83" i="36"/>
  <c r="CR83" i="36"/>
  <c r="CQ83" i="36"/>
  <c r="CP83" i="36"/>
  <c r="BX83" i="36"/>
  <c r="BW83" i="36"/>
  <c r="BV83" i="36"/>
  <c r="BU83" i="36"/>
  <c r="BP83" i="36"/>
  <c r="BO83" i="36"/>
  <c r="BN83" i="36"/>
  <c r="BM83" i="36"/>
  <c r="CS82" i="36"/>
  <c r="CR82" i="36"/>
  <c r="CQ82" i="36"/>
  <c r="CP82" i="36"/>
  <c r="CO82" i="36"/>
  <c r="BX82" i="36"/>
  <c r="BW82" i="36"/>
  <c r="BV82" i="36"/>
  <c r="BU82" i="36"/>
  <c r="BT82" i="36"/>
  <c r="BP82" i="36"/>
  <c r="BO82" i="36"/>
  <c r="BN82" i="36"/>
  <c r="BM82" i="36"/>
  <c r="BL82" i="36"/>
  <c r="CS81" i="36"/>
  <c r="CR81" i="36"/>
  <c r="CQ81" i="36"/>
  <c r="CP81" i="36"/>
  <c r="CO81" i="36"/>
  <c r="CN81" i="36"/>
  <c r="BX81" i="36"/>
  <c r="BW81" i="36"/>
  <c r="BV81" i="36"/>
  <c r="BU81" i="36"/>
  <c r="BT81" i="36"/>
  <c r="BS81" i="36"/>
  <c r="BP81" i="36"/>
  <c r="BO81" i="36"/>
  <c r="BN81" i="36"/>
  <c r="BM81" i="36"/>
  <c r="BL81" i="36"/>
  <c r="BK81" i="36"/>
  <c r="CS80" i="36"/>
  <c r="CR80" i="36"/>
  <c r="CQ80" i="36"/>
  <c r="CP80" i="36"/>
  <c r="CO80" i="36"/>
  <c r="CN80" i="36"/>
  <c r="CM80" i="36"/>
  <c r="BX80" i="36"/>
  <c r="BW80" i="36"/>
  <c r="BV80" i="36"/>
  <c r="BU80" i="36"/>
  <c r="BT80" i="36"/>
  <c r="BS80" i="36"/>
  <c r="BR80" i="36"/>
  <c r="BP80" i="36"/>
  <c r="BO80" i="36"/>
  <c r="BN80" i="36"/>
  <c r="BM80" i="36"/>
  <c r="BL80" i="36"/>
  <c r="BK80" i="36"/>
  <c r="BJ80" i="36"/>
  <c r="CS79" i="36"/>
  <c r="CR79" i="36"/>
  <c r="CQ79" i="36"/>
  <c r="CP79" i="36"/>
  <c r="CO79" i="36"/>
  <c r="CN79" i="36"/>
  <c r="CM79" i="36"/>
  <c r="CL79" i="36"/>
  <c r="BX79" i="36"/>
  <c r="BW79" i="36"/>
  <c r="BV79" i="36"/>
  <c r="BU79" i="36"/>
  <c r="BT79" i="36"/>
  <c r="BS79" i="36"/>
  <c r="BR79" i="36"/>
  <c r="BQ79" i="36"/>
  <c r="BP79" i="36"/>
  <c r="BO79" i="36"/>
  <c r="BN79" i="36"/>
  <c r="BM79" i="36"/>
  <c r="BL79" i="36"/>
  <c r="BK79" i="36"/>
  <c r="BJ79" i="36"/>
  <c r="BI79" i="36"/>
  <c r="CS76" i="36"/>
  <c r="BX76" i="36"/>
  <c r="BP76" i="36"/>
  <c r="AR76" i="36"/>
  <c r="CK76" i="36" s="1"/>
  <c r="T76" i="36"/>
  <c r="BH76" i="36" s="1"/>
  <c r="CS75" i="36"/>
  <c r="CR75" i="36"/>
  <c r="BX75" i="36"/>
  <c r="BW75" i="36"/>
  <c r="BP75" i="36"/>
  <c r="BO75" i="36"/>
  <c r="CS74" i="36"/>
  <c r="CR74" i="36"/>
  <c r="CQ74" i="36"/>
  <c r="BX74" i="36"/>
  <c r="BW74" i="36"/>
  <c r="BV74" i="36"/>
  <c r="BP74" i="36"/>
  <c r="BO74" i="36"/>
  <c r="BN74" i="36"/>
  <c r="CS73" i="36"/>
  <c r="CR73" i="36"/>
  <c r="CQ73" i="36"/>
  <c r="CP73" i="36"/>
  <c r="BX73" i="36"/>
  <c r="BW73" i="36"/>
  <c r="BV73" i="36"/>
  <c r="BU73" i="36"/>
  <c r="BP73" i="36"/>
  <c r="BO73" i="36"/>
  <c r="BN73" i="36"/>
  <c r="BM73" i="36"/>
  <c r="CS72" i="36"/>
  <c r="CR72" i="36"/>
  <c r="CQ72" i="36"/>
  <c r="CP72" i="36"/>
  <c r="CO72" i="36"/>
  <c r="BX72" i="36"/>
  <c r="BW72" i="36"/>
  <c r="BV72" i="36"/>
  <c r="BU72" i="36"/>
  <c r="BT72" i="36"/>
  <c r="BP72" i="36"/>
  <c r="BO72" i="36"/>
  <c r="BN72" i="36"/>
  <c r="BM72" i="36"/>
  <c r="BL72" i="36"/>
  <c r="CS71" i="36"/>
  <c r="CR71" i="36"/>
  <c r="CQ71" i="36"/>
  <c r="CP71" i="36"/>
  <c r="CO71" i="36"/>
  <c r="CN71" i="36"/>
  <c r="BX71" i="36"/>
  <c r="BW71" i="36"/>
  <c r="BV71" i="36"/>
  <c r="BU71" i="36"/>
  <c r="BT71" i="36"/>
  <c r="BS71" i="36"/>
  <c r="BP71" i="36"/>
  <c r="BO71" i="36"/>
  <c r="BN71" i="36"/>
  <c r="BM71" i="36"/>
  <c r="BL71" i="36"/>
  <c r="BK71" i="36"/>
  <c r="CS70" i="36"/>
  <c r="CR70" i="36"/>
  <c r="CQ70" i="36"/>
  <c r="CP70" i="36"/>
  <c r="CO70" i="36"/>
  <c r="CN70" i="36"/>
  <c r="CM70" i="36"/>
  <c r="BX70" i="36"/>
  <c r="BW70" i="36"/>
  <c r="BV70" i="36"/>
  <c r="BU70" i="36"/>
  <c r="BT70" i="36"/>
  <c r="BS70" i="36"/>
  <c r="BR70" i="36"/>
  <c r="BP70" i="36"/>
  <c r="BO70" i="36"/>
  <c r="BN70" i="36"/>
  <c r="BM70" i="36"/>
  <c r="BL70" i="36"/>
  <c r="BK70" i="36"/>
  <c r="BJ70" i="36"/>
  <c r="CS69" i="36"/>
  <c r="CR69" i="36"/>
  <c r="CQ69" i="36"/>
  <c r="CP69" i="36"/>
  <c r="CO69" i="36"/>
  <c r="CN69" i="36"/>
  <c r="CM69" i="36"/>
  <c r="CL69" i="36"/>
  <c r="BX69" i="36"/>
  <c r="BW69" i="36"/>
  <c r="BV69" i="36"/>
  <c r="BU69" i="36"/>
  <c r="BT69" i="36"/>
  <c r="BS69" i="36"/>
  <c r="BR69" i="36"/>
  <c r="BQ69" i="36"/>
  <c r="BP69" i="36"/>
  <c r="BO69" i="36"/>
  <c r="BN69" i="36"/>
  <c r="BM69" i="36"/>
  <c r="BL69" i="36"/>
  <c r="BK69" i="36"/>
  <c r="BJ69" i="36"/>
  <c r="BI69" i="36"/>
  <c r="CS66" i="36"/>
  <c r="BX66" i="36"/>
  <c r="BP66" i="36"/>
  <c r="AR66" i="36"/>
  <c r="CK66" i="36" s="1"/>
  <c r="T66" i="36"/>
  <c r="BH66" i="36" s="1"/>
  <c r="CS65" i="36"/>
  <c r="CR65" i="36"/>
  <c r="BX65" i="36"/>
  <c r="BW65" i="36"/>
  <c r="BP65" i="36"/>
  <c r="BO65" i="36"/>
  <c r="CS64" i="36"/>
  <c r="CR64" i="36"/>
  <c r="CQ64" i="36"/>
  <c r="BX64" i="36"/>
  <c r="BW64" i="36"/>
  <c r="BV64" i="36"/>
  <c r="BP64" i="36"/>
  <c r="BO64" i="36"/>
  <c r="BN64" i="36"/>
  <c r="CS63" i="36"/>
  <c r="CR63" i="36"/>
  <c r="CQ63" i="36"/>
  <c r="CP63" i="36"/>
  <c r="BX63" i="36"/>
  <c r="BW63" i="36"/>
  <c r="BV63" i="36"/>
  <c r="BU63" i="36"/>
  <c r="BP63" i="36"/>
  <c r="BO63" i="36"/>
  <c r="BN63" i="36"/>
  <c r="BM63" i="36"/>
  <c r="CS62" i="36"/>
  <c r="CR62" i="36"/>
  <c r="CQ62" i="36"/>
  <c r="CP62" i="36"/>
  <c r="CO62" i="36"/>
  <c r="BX62" i="36"/>
  <c r="BW62" i="36"/>
  <c r="BV62" i="36"/>
  <c r="BU62" i="36"/>
  <c r="BT62" i="36"/>
  <c r="BP62" i="36"/>
  <c r="BO62" i="36"/>
  <c r="BN62" i="36"/>
  <c r="BM62" i="36"/>
  <c r="BL62" i="36"/>
  <c r="CS61" i="36"/>
  <c r="CR61" i="36"/>
  <c r="CQ61" i="36"/>
  <c r="CP61" i="36"/>
  <c r="CO61" i="36"/>
  <c r="CN61" i="36"/>
  <c r="BX61" i="36"/>
  <c r="BW61" i="36"/>
  <c r="BV61" i="36"/>
  <c r="BU61" i="36"/>
  <c r="BT61" i="36"/>
  <c r="BS61" i="36"/>
  <c r="BP61" i="36"/>
  <c r="BO61" i="36"/>
  <c r="BN61" i="36"/>
  <c r="BM61" i="36"/>
  <c r="BL61" i="36"/>
  <c r="BK61" i="36"/>
  <c r="CS60" i="36"/>
  <c r="CR60" i="36"/>
  <c r="CQ60" i="36"/>
  <c r="CP60" i="36"/>
  <c r="CO60" i="36"/>
  <c r="CN60" i="36"/>
  <c r="CM60" i="36"/>
  <c r="BX60" i="36"/>
  <c r="BW60" i="36"/>
  <c r="BV60" i="36"/>
  <c r="BU60" i="36"/>
  <c r="BT60" i="36"/>
  <c r="BS60" i="36"/>
  <c r="BR60" i="36"/>
  <c r="BP60" i="36"/>
  <c r="BO60" i="36"/>
  <c r="BN60" i="36"/>
  <c r="BM60" i="36"/>
  <c r="BL60" i="36"/>
  <c r="BK60" i="36"/>
  <c r="BJ60" i="36"/>
  <c r="CS59" i="36"/>
  <c r="CR59" i="36"/>
  <c r="CQ59" i="36"/>
  <c r="CP59" i="36"/>
  <c r="CO59" i="36"/>
  <c r="CN59" i="36"/>
  <c r="CM59" i="36"/>
  <c r="CL59" i="36"/>
  <c r="BX59" i="36"/>
  <c r="BW59" i="36"/>
  <c r="BV59" i="36"/>
  <c r="BU59" i="36"/>
  <c r="BT59" i="36"/>
  <c r="BS59" i="36"/>
  <c r="BR59" i="36"/>
  <c r="BQ59" i="36"/>
  <c r="BP59" i="36"/>
  <c r="BO59" i="36"/>
  <c r="BN59" i="36"/>
  <c r="BM59" i="36"/>
  <c r="BL59" i="36"/>
  <c r="BK59" i="36"/>
  <c r="BJ59" i="36"/>
  <c r="BI59" i="36"/>
  <c r="CS56" i="36"/>
  <c r="BX56" i="36"/>
  <c r="BP56" i="36"/>
  <c r="BH56" i="36"/>
  <c r="CS55" i="36"/>
  <c r="CR55" i="36"/>
  <c r="BX55" i="36"/>
  <c r="BW55" i="36"/>
  <c r="BP55" i="36"/>
  <c r="BO55" i="36"/>
  <c r="CS54" i="36"/>
  <c r="CR54" i="36"/>
  <c r="CQ54" i="36"/>
  <c r="BX54" i="36"/>
  <c r="BW54" i="36"/>
  <c r="BV54" i="36"/>
  <c r="BP54" i="36"/>
  <c r="BO54" i="36"/>
  <c r="BN54" i="36"/>
  <c r="CS53" i="36"/>
  <c r="CR53" i="36"/>
  <c r="CQ53" i="36"/>
  <c r="CP53" i="36"/>
  <c r="BX53" i="36"/>
  <c r="BW53" i="36"/>
  <c r="BV53" i="36"/>
  <c r="BU53" i="36"/>
  <c r="BP53" i="36"/>
  <c r="BO53" i="36"/>
  <c r="BN53" i="36"/>
  <c r="BM53" i="36"/>
  <c r="CS52" i="36"/>
  <c r="CR52" i="36"/>
  <c r="CQ52" i="36"/>
  <c r="CP52" i="36"/>
  <c r="CO52" i="36"/>
  <c r="BX52" i="36"/>
  <c r="BW52" i="36"/>
  <c r="BV52" i="36"/>
  <c r="BU52" i="36"/>
  <c r="BT52" i="36"/>
  <c r="BP52" i="36"/>
  <c r="BO52" i="36"/>
  <c r="BN52" i="36"/>
  <c r="BM52" i="36"/>
  <c r="BL52" i="36"/>
  <c r="CS51" i="36"/>
  <c r="CR51" i="36"/>
  <c r="CQ51" i="36"/>
  <c r="CP51" i="36"/>
  <c r="CO51" i="36"/>
  <c r="CN51" i="36"/>
  <c r="BX51" i="36"/>
  <c r="BW51" i="36"/>
  <c r="BV51" i="36"/>
  <c r="BU51" i="36"/>
  <c r="BT51" i="36"/>
  <c r="BS51" i="36"/>
  <c r="BP51" i="36"/>
  <c r="BO51" i="36"/>
  <c r="BN51" i="36"/>
  <c r="BM51" i="36"/>
  <c r="BL51" i="36"/>
  <c r="BK51" i="36"/>
  <c r="CS50" i="36"/>
  <c r="CR50" i="36"/>
  <c r="CQ50" i="36"/>
  <c r="CP50" i="36"/>
  <c r="CO50" i="36"/>
  <c r="CN50" i="36"/>
  <c r="CM50" i="36"/>
  <c r="BX50" i="36"/>
  <c r="BW50" i="36"/>
  <c r="BV50" i="36"/>
  <c r="BU50" i="36"/>
  <c r="BT50" i="36"/>
  <c r="BS50" i="36"/>
  <c r="BR50" i="36"/>
  <c r="BP50" i="36"/>
  <c r="BO50" i="36"/>
  <c r="BN50" i="36"/>
  <c r="BM50" i="36"/>
  <c r="BL50" i="36"/>
  <c r="BK50" i="36"/>
  <c r="BJ50" i="36"/>
  <c r="CS49" i="36"/>
  <c r="CR49" i="36"/>
  <c r="CQ49" i="36"/>
  <c r="CP49" i="36"/>
  <c r="CO49" i="36"/>
  <c r="CN49" i="36"/>
  <c r="CM49" i="36"/>
  <c r="CL49" i="36"/>
  <c r="BX49" i="36"/>
  <c r="BW49" i="36"/>
  <c r="BV49" i="36"/>
  <c r="BU49" i="36"/>
  <c r="BT49" i="36"/>
  <c r="BS49" i="36"/>
  <c r="BR49" i="36"/>
  <c r="BQ49" i="36"/>
  <c r="BP49" i="36"/>
  <c r="BO49" i="36"/>
  <c r="BN49" i="36"/>
  <c r="BM49" i="36"/>
  <c r="BL49" i="36"/>
  <c r="BK49" i="36"/>
  <c r="BJ49" i="36"/>
  <c r="BI49" i="36"/>
  <c r="CS46" i="36"/>
  <c r="BX46" i="36"/>
  <c r="BP46" i="36"/>
  <c r="BH46" i="36"/>
  <c r="CS45" i="36"/>
  <c r="CR45" i="36"/>
  <c r="BX45" i="36"/>
  <c r="BW45" i="36"/>
  <c r="BP45" i="36"/>
  <c r="BO45" i="36"/>
  <c r="CS44" i="36"/>
  <c r="CR44" i="36"/>
  <c r="CQ44" i="36"/>
  <c r="BX44" i="36"/>
  <c r="BW44" i="36"/>
  <c r="BV44" i="36"/>
  <c r="BP44" i="36"/>
  <c r="BO44" i="36"/>
  <c r="BN44" i="36"/>
  <c r="CS43" i="36"/>
  <c r="CR43" i="36"/>
  <c r="CQ43" i="36"/>
  <c r="CP43" i="36"/>
  <c r="BX43" i="36"/>
  <c r="BW43" i="36"/>
  <c r="BV43" i="36"/>
  <c r="BU43" i="36"/>
  <c r="BP43" i="36"/>
  <c r="BO43" i="36"/>
  <c r="BN43" i="36"/>
  <c r="BM43" i="36"/>
  <c r="CS42" i="36"/>
  <c r="CR42" i="36"/>
  <c r="CQ42" i="36"/>
  <c r="CP42" i="36"/>
  <c r="CO42" i="36"/>
  <c r="BX42" i="36"/>
  <c r="BW42" i="36"/>
  <c r="BV42" i="36"/>
  <c r="BU42" i="36"/>
  <c r="BT42" i="36"/>
  <c r="BP42" i="36"/>
  <c r="BO42" i="36"/>
  <c r="BN42" i="36"/>
  <c r="BM42" i="36"/>
  <c r="BL42" i="36"/>
  <c r="CS41" i="36"/>
  <c r="CR41" i="36"/>
  <c r="CQ41" i="36"/>
  <c r="CP41" i="36"/>
  <c r="CO41" i="36"/>
  <c r="CN41" i="36"/>
  <c r="BX41" i="36"/>
  <c r="BW41" i="36"/>
  <c r="BV41" i="36"/>
  <c r="BU41" i="36"/>
  <c r="BT41" i="36"/>
  <c r="BS41" i="36"/>
  <c r="BP41" i="36"/>
  <c r="BO41" i="36"/>
  <c r="BN41" i="36"/>
  <c r="BM41" i="36"/>
  <c r="BL41" i="36"/>
  <c r="BK41" i="36"/>
  <c r="CS40" i="36"/>
  <c r="CR40" i="36"/>
  <c r="CQ40" i="36"/>
  <c r="CP40" i="36"/>
  <c r="CO40" i="36"/>
  <c r="CN40" i="36"/>
  <c r="CM40" i="36"/>
  <c r="BX40" i="36"/>
  <c r="BW40" i="36"/>
  <c r="BV40" i="36"/>
  <c r="BU40" i="36"/>
  <c r="BT40" i="36"/>
  <c r="BS40" i="36"/>
  <c r="BR40" i="36"/>
  <c r="BP40" i="36"/>
  <c r="BO40" i="36"/>
  <c r="BN40" i="36"/>
  <c r="BM40" i="36"/>
  <c r="BL40" i="36"/>
  <c r="BK40" i="36"/>
  <c r="BJ40" i="36"/>
  <c r="CS39" i="36"/>
  <c r="CR39" i="36"/>
  <c r="CQ39" i="36"/>
  <c r="CP39" i="36"/>
  <c r="CO39" i="36"/>
  <c r="CN39" i="36"/>
  <c r="CM39" i="36"/>
  <c r="CL39" i="36"/>
  <c r="BX39" i="36"/>
  <c r="BW39" i="36"/>
  <c r="BV39" i="36"/>
  <c r="BU39" i="36"/>
  <c r="BT39" i="36"/>
  <c r="BS39" i="36"/>
  <c r="BR39" i="36"/>
  <c r="BQ39" i="36"/>
  <c r="BP39" i="36"/>
  <c r="BO39" i="36"/>
  <c r="BN39" i="36"/>
  <c r="BM39" i="36"/>
  <c r="BL39" i="36"/>
  <c r="BK39" i="36"/>
  <c r="BJ39" i="36"/>
  <c r="BI39" i="36"/>
  <c r="CS36" i="36"/>
  <c r="BX36" i="36"/>
  <c r="BP36" i="36"/>
  <c r="BH36" i="36"/>
  <c r="CS35" i="36"/>
  <c r="CR35" i="36"/>
  <c r="BX35" i="36"/>
  <c r="BW35" i="36"/>
  <c r="BP35" i="36"/>
  <c r="BO35" i="36"/>
  <c r="CS34" i="36"/>
  <c r="CR34" i="36"/>
  <c r="CQ34" i="36"/>
  <c r="BX34" i="36"/>
  <c r="BW34" i="36"/>
  <c r="BV34" i="36"/>
  <c r="BP34" i="36"/>
  <c r="BO34" i="36"/>
  <c r="BN34" i="36"/>
  <c r="CS33" i="36"/>
  <c r="CR33" i="36"/>
  <c r="CQ33" i="36"/>
  <c r="CP33" i="36"/>
  <c r="BX33" i="36"/>
  <c r="BW33" i="36"/>
  <c r="BV33" i="36"/>
  <c r="BU33" i="36"/>
  <c r="BP33" i="36"/>
  <c r="BO33" i="36"/>
  <c r="BN33" i="36"/>
  <c r="BM33" i="36"/>
  <c r="CS32" i="36"/>
  <c r="CR32" i="36"/>
  <c r="CQ32" i="36"/>
  <c r="CP32" i="36"/>
  <c r="CO32" i="36"/>
  <c r="BX32" i="36"/>
  <c r="BW32" i="36"/>
  <c r="BV32" i="36"/>
  <c r="BU32" i="36"/>
  <c r="BT32" i="36"/>
  <c r="BP32" i="36"/>
  <c r="BO32" i="36"/>
  <c r="BN32" i="36"/>
  <c r="BM32" i="36"/>
  <c r="BL32" i="36"/>
  <c r="CS31" i="36"/>
  <c r="CR31" i="36"/>
  <c r="CQ31" i="36"/>
  <c r="CP31" i="36"/>
  <c r="CO31" i="36"/>
  <c r="CN31" i="36"/>
  <c r="BX31" i="36"/>
  <c r="BW31" i="36"/>
  <c r="BV31" i="36"/>
  <c r="BU31" i="36"/>
  <c r="BT31" i="36"/>
  <c r="BS31" i="36"/>
  <c r="BP31" i="36"/>
  <c r="BO31" i="36"/>
  <c r="BN31" i="36"/>
  <c r="BM31" i="36"/>
  <c r="BL31" i="36"/>
  <c r="BK31" i="36"/>
  <c r="CS30" i="36"/>
  <c r="CR30" i="36"/>
  <c r="CQ30" i="36"/>
  <c r="CP30" i="36"/>
  <c r="CO30" i="36"/>
  <c r="CN30" i="36"/>
  <c r="CM30" i="36"/>
  <c r="BX30" i="36"/>
  <c r="BW30" i="36"/>
  <c r="BV30" i="36"/>
  <c r="BU30" i="36"/>
  <c r="BT30" i="36"/>
  <c r="BS30" i="36"/>
  <c r="BR30" i="36"/>
  <c r="BP30" i="36"/>
  <c r="BO30" i="36"/>
  <c r="BN30" i="36"/>
  <c r="BM30" i="36"/>
  <c r="BL30" i="36"/>
  <c r="BK30" i="36"/>
  <c r="BJ30" i="36"/>
  <c r="CS29" i="36"/>
  <c r="CR29" i="36"/>
  <c r="CQ29" i="36"/>
  <c r="CP29" i="36"/>
  <c r="CO29" i="36"/>
  <c r="CN29" i="36"/>
  <c r="CM29" i="36"/>
  <c r="CL29" i="36"/>
  <c r="BX29" i="36"/>
  <c r="BW29" i="36"/>
  <c r="BV29" i="36"/>
  <c r="BU29" i="36"/>
  <c r="BT29" i="36"/>
  <c r="BS29" i="36"/>
  <c r="BR29" i="36"/>
  <c r="BQ29" i="36"/>
  <c r="BP29" i="36"/>
  <c r="BO29" i="36"/>
  <c r="BN29" i="36"/>
  <c r="BM29" i="36"/>
  <c r="BL29" i="36"/>
  <c r="BK29" i="36"/>
  <c r="BJ29" i="36"/>
  <c r="BI29" i="36"/>
  <c r="CS26" i="36"/>
  <c r="BX26" i="36"/>
  <c r="BP26" i="36"/>
  <c r="BH26" i="36"/>
  <c r="CS25" i="36"/>
  <c r="CR25" i="36"/>
  <c r="BX25" i="36"/>
  <c r="BW25" i="36"/>
  <c r="BP25" i="36"/>
  <c r="BO25" i="36"/>
  <c r="CS24" i="36"/>
  <c r="CR24" i="36"/>
  <c r="CQ24" i="36"/>
  <c r="BX24" i="36"/>
  <c r="BW24" i="36"/>
  <c r="BV24" i="36"/>
  <c r="BP24" i="36"/>
  <c r="BO24" i="36"/>
  <c r="BN24" i="36"/>
  <c r="CS23" i="36"/>
  <c r="CR23" i="36"/>
  <c r="CQ23" i="36"/>
  <c r="CP23" i="36"/>
  <c r="BX23" i="36"/>
  <c r="BW23" i="36"/>
  <c r="BV23" i="36"/>
  <c r="BU23" i="36"/>
  <c r="BP23" i="36"/>
  <c r="BO23" i="36"/>
  <c r="BN23" i="36"/>
  <c r="BM23" i="36"/>
  <c r="CS22" i="36"/>
  <c r="CR22" i="36"/>
  <c r="CQ22" i="36"/>
  <c r="CP22" i="36"/>
  <c r="CO22" i="36"/>
  <c r="BX22" i="36"/>
  <c r="BW22" i="36"/>
  <c r="BV22" i="36"/>
  <c r="BU22" i="36"/>
  <c r="BT22" i="36"/>
  <c r="BP22" i="36"/>
  <c r="BO22" i="36"/>
  <c r="BN22" i="36"/>
  <c r="BM22" i="36"/>
  <c r="BL22" i="36"/>
  <c r="CS21" i="36"/>
  <c r="CR21" i="36"/>
  <c r="CQ21" i="36"/>
  <c r="CP21" i="36"/>
  <c r="CO21" i="36"/>
  <c r="CN21" i="36"/>
  <c r="BX21" i="36"/>
  <c r="BW21" i="36"/>
  <c r="BV21" i="36"/>
  <c r="BU21" i="36"/>
  <c r="BT21" i="36"/>
  <c r="BS21" i="36"/>
  <c r="BP21" i="36"/>
  <c r="BO21" i="36"/>
  <c r="BN21" i="36"/>
  <c r="BM21" i="36"/>
  <c r="BL21" i="36"/>
  <c r="BK21" i="36"/>
  <c r="CS20" i="36"/>
  <c r="CR20" i="36"/>
  <c r="CQ20" i="36"/>
  <c r="CP20" i="36"/>
  <c r="CO20" i="36"/>
  <c r="CN20" i="36"/>
  <c r="CM20" i="36"/>
  <c r="BX20" i="36"/>
  <c r="BW20" i="36"/>
  <c r="BV20" i="36"/>
  <c r="BU20" i="36"/>
  <c r="BT20" i="36"/>
  <c r="BS20" i="36"/>
  <c r="BR20" i="36"/>
  <c r="BP20" i="36"/>
  <c r="BO20" i="36"/>
  <c r="BN20" i="36"/>
  <c r="BM20" i="36"/>
  <c r="BL20" i="36"/>
  <c r="BK20" i="36"/>
  <c r="BJ20" i="36"/>
  <c r="CS19" i="36"/>
  <c r="CR19" i="36"/>
  <c r="CQ19" i="36"/>
  <c r="CP19" i="36"/>
  <c r="CO19" i="36"/>
  <c r="CN19" i="36"/>
  <c r="CM19" i="36"/>
  <c r="CL19" i="36"/>
  <c r="BX19" i="36"/>
  <c r="BW19" i="36"/>
  <c r="BV19" i="36"/>
  <c r="BU19" i="36"/>
  <c r="BT19" i="36"/>
  <c r="BS19" i="36"/>
  <c r="BR19" i="36"/>
  <c r="BQ19" i="36"/>
  <c r="BP19" i="36"/>
  <c r="BO19" i="36"/>
  <c r="BN19" i="36"/>
  <c r="BM19" i="36"/>
  <c r="BL19" i="36"/>
  <c r="BK19" i="36"/>
  <c r="BJ19" i="36"/>
  <c r="BI19" i="36"/>
  <c r="CK16" i="36"/>
  <c r="CS16" i="36"/>
  <c r="CS15" i="36"/>
  <c r="CR15" i="36"/>
  <c r="CS14" i="36"/>
  <c r="CR14" i="36"/>
  <c r="CQ14" i="36"/>
  <c r="CS13" i="36"/>
  <c r="CR13" i="36"/>
  <c r="CQ13" i="36"/>
  <c r="CP13" i="36"/>
  <c r="CS12" i="36"/>
  <c r="CR12" i="36"/>
  <c r="CQ12" i="36"/>
  <c r="CP12" i="36"/>
  <c r="CO12" i="36"/>
  <c r="CS11" i="36"/>
  <c r="CR11" i="36"/>
  <c r="CQ11" i="36"/>
  <c r="CP11" i="36"/>
  <c r="CO11" i="36"/>
  <c r="CN11" i="36"/>
  <c r="CS10" i="36"/>
  <c r="CR10" i="36"/>
  <c r="CQ10" i="36"/>
  <c r="CP10" i="36"/>
  <c r="CO10" i="36"/>
  <c r="CN10" i="36"/>
  <c r="CM10" i="36"/>
  <c r="CS9" i="36"/>
  <c r="CR9" i="36"/>
  <c r="CQ9" i="36"/>
  <c r="CP9" i="36"/>
  <c r="CO9" i="36"/>
  <c r="CN9" i="36"/>
  <c r="CM9" i="36"/>
  <c r="CL9" i="36"/>
  <c r="BH16" i="36"/>
  <c r="BV9" i="36"/>
  <c r="BW9" i="36"/>
  <c r="BX9" i="36"/>
  <c r="BV10" i="36"/>
  <c r="BW10" i="36"/>
  <c r="BX10" i="36"/>
  <c r="BV11" i="36"/>
  <c r="BW11" i="36"/>
  <c r="BX11" i="36"/>
  <c r="BV12" i="36"/>
  <c r="BW12" i="36"/>
  <c r="BX12" i="36"/>
  <c r="BV13" i="36"/>
  <c r="BW13" i="36"/>
  <c r="BX13" i="36"/>
  <c r="BV14" i="36"/>
  <c r="BW14" i="36"/>
  <c r="BX14" i="36"/>
  <c r="BW15" i="36"/>
  <c r="BX15" i="36"/>
  <c r="BX16" i="36"/>
  <c r="BT9" i="36"/>
  <c r="BU9" i="36"/>
  <c r="BT10" i="36"/>
  <c r="BU10" i="36"/>
  <c r="BT11" i="36"/>
  <c r="BU11" i="36"/>
  <c r="BT12" i="36"/>
  <c r="BU12" i="36"/>
  <c r="BU13" i="36"/>
  <c r="BS9" i="36"/>
  <c r="BS10" i="36"/>
  <c r="BS11" i="36"/>
  <c r="BR9" i="36"/>
  <c r="BR10" i="36"/>
  <c r="BQ9" i="36"/>
  <c r="BP16" i="36"/>
  <c r="BP15" i="36"/>
  <c r="BO15" i="36"/>
  <c r="BP14" i="36"/>
  <c r="BO14" i="36"/>
  <c r="BN14" i="36"/>
  <c r="BP13" i="36"/>
  <c r="BO13" i="36"/>
  <c r="BN13" i="36"/>
  <c r="BM13" i="36"/>
  <c r="BP12" i="36"/>
  <c r="BO12" i="36"/>
  <c r="BN12" i="36"/>
  <c r="BM12" i="36"/>
  <c r="BL12" i="36"/>
  <c r="BP11" i="36"/>
  <c r="BO11" i="36"/>
  <c r="BN11" i="36"/>
  <c r="BM11" i="36"/>
  <c r="BL11" i="36"/>
  <c r="BK11" i="36"/>
  <c r="BP10" i="36"/>
  <c r="BO10" i="36"/>
  <c r="BN10" i="36"/>
  <c r="BM10" i="36"/>
  <c r="BL10" i="36"/>
  <c r="BK10" i="36"/>
  <c r="BJ10" i="36"/>
  <c r="BP9" i="36"/>
  <c r="BO9" i="36"/>
  <c r="BN9" i="36"/>
  <c r="BM9" i="36"/>
  <c r="BL9" i="36"/>
  <c r="BK9" i="36"/>
  <c r="BJ9" i="36"/>
  <c r="BI9" i="36"/>
  <c r="Q16" i="36"/>
  <c r="P16" i="36"/>
  <c r="BO16" i="36" s="1"/>
  <c r="O16" i="36"/>
  <c r="BV16" i="36" s="1"/>
  <c r="N16" i="36"/>
  <c r="BN16" i="36" s="1"/>
  <c r="M16" i="36"/>
  <c r="BU16" i="36" s="1"/>
  <c r="L16" i="36"/>
  <c r="BM16" i="36" s="1"/>
  <c r="K16" i="36"/>
  <c r="BT16" i="36" s="1"/>
  <c r="J16" i="36"/>
  <c r="BL16" i="36" s="1"/>
  <c r="I16" i="36"/>
  <c r="BS16" i="36" s="1"/>
  <c r="H16" i="36"/>
  <c r="BK16" i="36" s="1"/>
  <c r="G16" i="36"/>
  <c r="BR16" i="36" s="1"/>
  <c r="F16" i="36"/>
  <c r="BJ16" i="36" s="1"/>
  <c r="E16" i="36"/>
  <c r="BQ16" i="36" s="1"/>
  <c r="D16" i="36"/>
  <c r="BI16" i="36" s="1"/>
  <c r="O15" i="36"/>
  <c r="N15" i="36"/>
  <c r="BN15" i="36" s="1"/>
  <c r="M15" i="36"/>
  <c r="BU15" i="36" s="1"/>
  <c r="L15" i="36"/>
  <c r="BM15" i="36" s="1"/>
  <c r="K15" i="36"/>
  <c r="BT15" i="36" s="1"/>
  <c r="J15" i="36"/>
  <c r="BL15" i="36" s="1"/>
  <c r="I15" i="36"/>
  <c r="BS15" i="36" s="1"/>
  <c r="H15" i="36"/>
  <c r="BK15" i="36" s="1"/>
  <c r="G15" i="36"/>
  <c r="BR15" i="36" s="1"/>
  <c r="F15" i="36"/>
  <c r="BJ15" i="36" s="1"/>
  <c r="E15" i="36"/>
  <c r="BQ15" i="36" s="1"/>
  <c r="D15" i="36"/>
  <c r="BI15" i="36" s="1"/>
  <c r="M14" i="36"/>
  <c r="L14" i="36"/>
  <c r="BM14" i="36" s="1"/>
  <c r="K14" i="36"/>
  <c r="BT14" i="36" s="1"/>
  <c r="J14" i="36"/>
  <c r="BL14" i="36" s="1"/>
  <c r="I14" i="36"/>
  <c r="BS14" i="36" s="1"/>
  <c r="H14" i="36"/>
  <c r="BK14" i="36" s="1"/>
  <c r="G14" i="36"/>
  <c r="BR14" i="36" s="1"/>
  <c r="F14" i="36"/>
  <c r="BJ14" i="36" s="1"/>
  <c r="E14" i="36"/>
  <c r="BQ14" i="36" s="1"/>
  <c r="D14" i="36"/>
  <c r="BI14" i="36" s="1"/>
  <c r="K13" i="36"/>
  <c r="J13" i="36"/>
  <c r="BL13" i="36" s="1"/>
  <c r="I13" i="36"/>
  <c r="H13" i="36"/>
  <c r="BK13" i="36" s="1"/>
  <c r="G13" i="36"/>
  <c r="F13" i="36"/>
  <c r="BJ13" i="36" s="1"/>
  <c r="E13" i="36"/>
  <c r="BQ13" i="36" s="1"/>
  <c r="D13" i="36"/>
  <c r="BI13" i="36" s="1"/>
  <c r="DE6" i="36"/>
  <c r="DF6" i="36"/>
  <c r="D2" i="32" s="1"/>
  <c r="F2" i="32" s="1"/>
  <c r="H2" i="32" s="1"/>
  <c r="J2" i="32" s="1"/>
  <c r="L2" i="32" s="1"/>
  <c r="N2" i="32" s="1"/>
  <c r="P2" i="32" s="1"/>
  <c r="R2" i="32" s="1"/>
  <c r="DE9" i="36"/>
  <c r="DF9" i="36"/>
  <c r="DI9" i="36"/>
  <c r="DI10" i="36"/>
  <c r="DI11" i="36" s="1"/>
  <c r="DI12" i="36" s="1"/>
  <c r="DI13" i="36" s="1"/>
  <c r="DI14" i="36" s="1"/>
  <c r="DI15" i="36" s="1"/>
  <c r="DI16" i="36" s="1"/>
  <c r="DI17" i="36" s="1"/>
  <c r="DI18" i="36" s="1"/>
  <c r="DI19" i="36" s="1"/>
  <c r="DI20" i="36" s="1"/>
  <c r="DI21" i="36" s="1"/>
  <c r="DI22" i="36" s="1"/>
  <c r="DI23" i="36" s="1"/>
  <c r="DI24" i="36" s="1"/>
  <c r="DI25" i="36" s="1"/>
  <c r="DI26" i="36" s="1"/>
  <c r="DI27" i="36" s="1"/>
  <c r="DI28" i="36" s="1"/>
  <c r="DI29" i="36" s="1"/>
  <c r="DI30" i="36" s="1"/>
  <c r="DI31" i="36" s="1"/>
  <c r="DI32" i="36" s="1"/>
  <c r="DI33" i="36" s="1"/>
  <c r="DI34" i="36" s="1"/>
  <c r="DI35" i="36" s="1"/>
  <c r="AY54" i="32"/>
  <c r="U29" i="16"/>
  <c r="AY55" i="32"/>
  <c r="AY56" i="32"/>
  <c r="AY57" i="32"/>
  <c r="AY58" i="32"/>
  <c r="AY59" i="32"/>
  <c r="AY60" i="32"/>
  <c r="AY61" i="32"/>
  <c r="AY62" i="32"/>
  <c r="AY63" i="32"/>
  <c r="AY64" i="32"/>
  <c r="AY65" i="32"/>
  <c r="AY66" i="32"/>
  <c r="AY67" i="32"/>
  <c r="AY68" i="32"/>
  <c r="AY69" i="32"/>
  <c r="AY70" i="32"/>
  <c r="AY71" i="32"/>
  <c r="AY72" i="32"/>
  <c r="AY73" i="32"/>
  <c r="AY74" i="32"/>
  <c r="AY75" i="32"/>
  <c r="AY76" i="32"/>
  <c r="AY77" i="32"/>
  <c r="AY78" i="32"/>
  <c r="AY79" i="32"/>
  <c r="AY80" i="32"/>
  <c r="AY81" i="32"/>
  <c r="AY82" i="32"/>
  <c r="AY83" i="32"/>
  <c r="AY84" i="32"/>
  <c r="AY85" i="32"/>
  <c r="AY86" i="32"/>
  <c r="AY87" i="32"/>
  <c r="AY88" i="32"/>
  <c r="AY89" i="32"/>
  <c r="AY90" i="32"/>
  <c r="AY91" i="32"/>
  <c r="AY92" i="32"/>
  <c r="AY93" i="32"/>
  <c r="AY94" i="32"/>
  <c r="AY95" i="32"/>
  <c r="AY96" i="32"/>
  <c r="AY97" i="32"/>
  <c r="AY98" i="32"/>
  <c r="AY99" i="32"/>
  <c r="AY100" i="32"/>
  <c r="AY101" i="32"/>
  <c r="AY102" i="32"/>
  <c r="AY103" i="32"/>
  <c r="AY104" i="32"/>
  <c r="AY105" i="32"/>
  <c r="AY106" i="32"/>
  <c r="AY107" i="32"/>
  <c r="AY108" i="32"/>
  <c r="AY109" i="32"/>
  <c r="AY110" i="32"/>
  <c r="AY111" i="32"/>
  <c r="AY112" i="32"/>
  <c r="AY113" i="32"/>
  <c r="AY114" i="32"/>
  <c r="AY115" i="32"/>
  <c r="AY116" i="32"/>
  <c r="AY117" i="32"/>
  <c r="AY118" i="32"/>
  <c r="AY119" i="32"/>
  <c r="AY120" i="32"/>
  <c r="AY121" i="32"/>
  <c r="AY122" i="32"/>
  <c r="AY123" i="32"/>
  <c r="AY124" i="32"/>
  <c r="AY125" i="32"/>
  <c r="AY126" i="32"/>
  <c r="AY127" i="32"/>
  <c r="AY128" i="32"/>
  <c r="AY129" i="32"/>
  <c r="AY130" i="32"/>
  <c r="AY131" i="32"/>
  <c r="AY132" i="32"/>
  <c r="AY133" i="32"/>
  <c r="AY134" i="32"/>
  <c r="AY135" i="32"/>
  <c r="AY136" i="32"/>
  <c r="AY137" i="32"/>
  <c r="AY138" i="32"/>
  <c r="AY139" i="32"/>
  <c r="AY140" i="32"/>
  <c r="AY141" i="32"/>
  <c r="AY142" i="32"/>
  <c r="AY143" i="32"/>
  <c r="AY144" i="32"/>
  <c r="AY145" i="32"/>
  <c r="AY146" i="32"/>
  <c r="AY147" i="32"/>
  <c r="AY148" i="32"/>
  <c r="AY149" i="32"/>
  <c r="AY150" i="32"/>
  <c r="AY151" i="32"/>
  <c r="AY152" i="32"/>
  <c r="AY153" i="32"/>
  <c r="BJ54" i="32"/>
  <c r="BJ55" i="32"/>
  <c r="BJ56" i="32"/>
  <c r="BJ57" i="32"/>
  <c r="BJ58" i="32"/>
  <c r="BJ59" i="32"/>
  <c r="BJ60" i="32"/>
  <c r="BJ61" i="32"/>
  <c r="BJ62" i="32"/>
  <c r="BJ63" i="32"/>
  <c r="BJ64" i="32"/>
  <c r="BJ65" i="32"/>
  <c r="BJ66" i="32"/>
  <c r="BJ67" i="32"/>
  <c r="BJ68" i="32"/>
  <c r="BJ69" i="32"/>
  <c r="BJ70" i="32"/>
  <c r="BJ71" i="32"/>
  <c r="BJ72" i="32"/>
  <c r="BJ73" i="32"/>
  <c r="BJ74" i="32"/>
  <c r="BJ75" i="32"/>
  <c r="BJ76" i="32"/>
  <c r="BJ77" i="32"/>
  <c r="BJ78" i="32"/>
  <c r="BJ79" i="32"/>
  <c r="BJ80" i="32"/>
  <c r="BJ81" i="32"/>
  <c r="BJ82" i="32"/>
  <c r="BJ83" i="32"/>
  <c r="BJ84" i="32"/>
  <c r="BJ85" i="32"/>
  <c r="BJ86" i="32"/>
  <c r="BJ87" i="32"/>
  <c r="BJ88" i="32"/>
  <c r="BJ89" i="32"/>
  <c r="BJ90" i="32"/>
  <c r="BJ91" i="32"/>
  <c r="BJ92" i="32"/>
  <c r="BJ93" i="32"/>
  <c r="BJ94" i="32"/>
  <c r="BJ95" i="32"/>
  <c r="BJ96" i="32"/>
  <c r="BJ97" i="32"/>
  <c r="BJ98" i="32"/>
  <c r="BJ99" i="32"/>
  <c r="BJ100" i="32"/>
  <c r="BJ101" i="32"/>
  <c r="BJ102" i="32"/>
  <c r="BJ103" i="32"/>
  <c r="BJ104" i="32"/>
  <c r="BJ105" i="32"/>
  <c r="BJ106" i="32"/>
  <c r="BJ107" i="32"/>
  <c r="BJ108" i="32"/>
  <c r="BJ109" i="32"/>
  <c r="BJ110" i="32"/>
  <c r="BJ111" i="32"/>
  <c r="BJ112" i="32"/>
  <c r="BJ113" i="32"/>
  <c r="BJ114" i="32"/>
  <c r="BJ115" i="32"/>
  <c r="BJ116" i="32"/>
  <c r="BJ117" i="32"/>
  <c r="BJ118" i="32"/>
  <c r="BJ119" i="32"/>
  <c r="BJ120" i="32"/>
  <c r="BJ121" i="32"/>
  <c r="BJ122" i="32"/>
  <c r="BJ123" i="32"/>
  <c r="BJ124" i="32"/>
  <c r="BJ125" i="32"/>
  <c r="BJ126" i="32"/>
  <c r="BJ127" i="32"/>
  <c r="BJ128" i="32"/>
  <c r="BJ129" i="32"/>
  <c r="BJ130" i="32"/>
  <c r="BJ131" i="32"/>
  <c r="BJ132" i="32"/>
  <c r="BJ133" i="32"/>
  <c r="BJ134" i="32"/>
  <c r="BJ135" i="32"/>
  <c r="BJ136" i="32"/>
  <c r="BJ137" i="32"/>
  <c r="BJ138" i="32"/>
  <c r="BJ139" i="32"/>
  <c r="BJ140" i="32"/>
  <c r="BJ141" i="32"/>
  <c r="BJ142" i="32"/>
  <c r="BJ143" i="32"/>
  <c r="BJ144" i="32"/>
  <c r="BJ145" i="32"/>
  <c r="BJ146" i="32"/>
  <c r="BJ147" i="32"/>
  <c r="BJ148" i="32"/>
  <c r="BJ149" i="32"/>
  <c r="BJ150" i="32"/>
  <c r="BJ151" i="32"/>
  <c r="BJ152" i="32"/>
  <c r="BJ153" i="32"/>
  <c r="BU54" i="32"/>
  <c r="BU55" i="32"/>
  <c r="BU56" i="32"/>
  <c r="BU57" i="32"/>
  <c r="BU58" i="32"/>
  <c r="BU59" i="32"/>
  <c r="BU60" i="32"/>
  <c r="BU61" i="32"/>
  <c r="BU62" i="32"/>
  <c r="BU63" i="32"/>
  <c r="BU64" i="32"/>
  <c r="BU65" i="32"/>
  <c r="BU66" i="32"/>
  <c r="BU67" i="32"/>
  <c r="BU68" i="32"/>
  <c r="BU69" i="32"/>
  <c r="BU70" i="32"/>
  <c r="BU71" i="32"/>
  <c r="BU72" i="32"/>
  <c r="BU73" i="32"/>
  <c r="BU74" i="32"/>
  <c r="BU75" i="32"/>
  <c r="BU76" i="32"/>
  <c r="BU77" i="32"/>
  <c r="BU78" i="32"/>
  <c r="BU79" i="32"/>
  <c r="BU80" i="32"/>
  <c r="BU81" i="32"/>
  <c r="BU82" i="32"/>
  <c r="BU83" i="32"/>
  <c r="BU84" i="32"/>
  <c r="BU85" i="32"/>
  <c r="BU86" i="32"/>
  <c r="BU87" i="32"/>
  <c r="BU88" i="32"/>
  <c r="BU89" i="32"/>
  <c r="BU90" i="32"/>
  <c r="BU91" i="32"/>
  <c r="BU92" i="32"/>
  <c r="BU93" i="32"/>
  <c r="BU94" i="32"/>
  <c r="BU95" i="32"/>
  <c r="BU96" i="32"/>
  <c r="BU97" i="32"/>
  <c r="BU98" i="32"/>
  <c r="BU99" i="32"/>
  <c r="BU100" i="32"/>
  <c r="BU101" i="32"/>
  <c r="BU102" i="32"/>
  <c r="BU103" i="32"/>
  <c r="BU104" i="32"/>
  <c r="BU105" i="32"/>
  <c r="BU106" i="32"/>
  <c r="BU107" i="32"/>
  <c r="BU108" i="32"/>
  <c r="BU109" i="32"/>
  <c r="BU110" i="32"/>
  <c r="BU111" i="32"/>
  <c r="BU112" i="32"/>
  <c r="BU113" i="32"/>
  <c r="BU114" i="32"/>
  <c r="BU115" i="32"/>
  <c r="BU116" i="32"/>
  <c r="BU117" i="32"/>
  <c r="BU118" i="32"/>
  <c r="BU119" i="32"/>
  <c r="BU120" i="32"/>
  <c r="BU121" i="32"/>
  <c r="BU122" i="32"/>
  <c r="BU123" i="32"/>
  <c r="BU124" i="32"/>
  <c r="BU125" i="32"/>
  <c r="BU126" i="32"/>
  <c r="BU127" i="32"/>
  <c r="BU128" i="32"/>
  <c r="BU129" i="32"/>
  <c r="BU130" i="32"/>
  <c r="BU131" i="32"/>
  <c r="BU132" i="32"/>
  <c r="BU133" i="32"/>
  <c r="BU134" i="32"/>
  <c r="BU135" i="32"/>
  <c r="BU136" i="32"/>
  <c r="BU137" i="32"/>
  <c r="BU138" i="32"/>
  <c r="BU139" i="32"/>
  <c r="BU140" i="32"/>
  <c r="BU141" i="32"/>
  <c r="BU142" i="32"/>
  <c r="BU143" i="32"/>
  <c r="BU144" i="32"/>
  <c r="BU145" i="32"/>
  <c r="BU146" i="32"/>
  <c r="BU147" i="32"/>
  <c r="BU148" i="32"/>
  <c r="BU149" i="32"/>
  <c r="BU150" i="32"/>
  <c r="BU151" i="32"/>
  <c r="BU152" i="32"/>
  <c r="BU153" i="32"/>
  <c r="D4" i="16"/>
  <c r="H2" i="36"/>
  <c r="J2" i="36" s="1"/>
  <c r="L2" i="36" s="1"/>
  <c r="AF2" i="36"/>
  <c r="AH2" i="36" s="1"/>
  <c r="AJ2" i="36" s="1"/>
  <c r="AF5" i="36"/>
  <c r="AH5" i="36" s="1"/>
  <c r="AJ5" i="36" s="1"/>
  <c r="H5" i="36"/>
  <c r="J5" i="36" s="1"/>
  <c r="L5" i="36" s="1"/>
  <c r="A5" i="16"/>
  <c r="D5" i="16" s="1"/>
  <c r="A6" i="16"/>
  <c r="D6" i="16" s="1"/>
  <c r="AC23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AK46" i="32"/>
  <c r="AK40" i="32"/>
  <c r="AK34" i="32"/>
  <c r="AM28" i="32"/>
  <c r="AN28" i="32" s="1"/>
  <c r="AM29" i="32"/>
  <c r="AN29" i="32" s="1"/>
  <c r="AM30" i="32"/>
  <c r="AN30" i="32" s="1"/>
  <c r="AM31" i="32"/>
  <c r="AN31" i="32" s="1"/>
  <c r="AM32" i="32"/>
  <c r="AN32" i="32" s="1"/>
  <c r="AM27" i="32"/>
  <c r="AN27" i="32" s="1"/>
  <c r="AM26" i="32"/>
  <c r="AN26" i="32" s="1"/>
  <c r="AM21" i="32"/>
  <c r="AN21" i="32" s="1"/>
  <c r="AM20" i="32"/>
  <c r="AN20" i="32" s="1"/>
  <c r="AM19" i="32"/>
  <c r="AN19" i="32"/>
  <c r="AM18" i="32"/>
  <c r="AM17" i="32"/>
  <c r="AN17" i="32" s="1"/>
  <c r="AM16" i="32"/>
  <c r="AN16" i="32" s="1"/>
  <c r="AL19" i="32"/>
  <c r="AL32" i="32"/>
  <c r="AL31" i="32"/>
  <c r="AL30" i="32"/>
  <c r="AL29" i="32"/>
  <c r="AL28" i="32"/>
  <c r="AL27" i="32"/>
  <c r="AL26" i="32"/>
  <c r="E2" i="32"/>
  <c r="G2" i="32" s="1"/>
  <c r="I2" i="32" s="1"/>
  <c r="K2" i="32" s="1"/>
  <c r="M2" i="32" s="1"/>
  <c r="O2" i="32" s="1"/>
  <c r="Q2" i="32" s="1"/>
  <c r="CO82" i="32"/>
  <c r="CP82" i="32" s="1"/>
  <c r="CO73" i="32"/>
  <c r="CP73" i="32" s="1"/>
  <c r="CO66" i="32"/>
  <c r="CP66" i="32" s="1"/>
  <c r="CO65" i="32"/>
  <c r="CO74" i="32"/>
  <c r="CP74" i="32" s="1"/>
  <c r="CO81" i="32"/>
  <c r="CP81" i="32" s="1"/>
  <c r="CO58" i="32"/>
  <c r="CP58" i="32" s="1"/>
  <c r="CO61" i="32"/>
  <c r="CO78" i="32"/>
  <c r="CP78" i="32" s="1"/>
  <c r="CO77" i="32"/>
  <c r="CP77" i="32" s="1"/>
  <c r="CO62" i="32"/>
  <c r="CP62" i="32" s="1"/>
  <c r="CO69" i="32"/>
  <c r="CO70" i="32"/>
  <c r="CP70" i="32" s="1"/>
  <c r="CO85" i="32"/>
  <c r="CP85" i="32" s="1"/>
  <c r="CO54" i="32"/>
  <c r="CP54" i="32" s="1"/>
  <c r="CO55" i="32"/>
  <c r="CP55" i="32" s="1"/>
  <c r="CO56" i="32"/>
  <c r="CP56" i="32" s="1"/>
  <c r="CO57" i="32"/>
  <c r="CP57" i="32" s="1"/>
  <c r="CO59" i="32"/>
  <c r="CP59" i="32" s="1"/>
  <c r="CO60" i="32"/>
  <c r="CP60" i="32" s="1"/>
  <c r="CP61" i="32"/>
  <c r="CO63" i="32"/>
  <c r="CP63" i="32" s="1"/>
  <c r="CO64" i="32"/>
  <c r="CP64" i="32" s="1"/>
  <c r="CP65" i="32"/>
  <c r="CO67" i="32"/>
  <c r="CP67" i="32" s="1"/>
  <c r="CO68" i="32"/>
  <c r="CP68" i="32" s="1"/>
  <c r="CO71" i="32"/>
  <c r="CP71" i="32" s="1"/>
  <c r="CO72" i="32"/>
  <c r="CP72" i="32" s="1"/>
  <c r="CO75" i="32"/>
  <c r="CP75" i="32" s="1"/>
  <c r="CO76" i="32"/>
  <c r="CP76" i="32" s="1"/>
  <c r="CO79" i="32"/>
  <c r="CP79" i="32" s="1"/>
  <c r="CO80" i="32"/>
  <c r="CP80" i="32" s="1"/>
  <c r="CO84" i="32"/>
  <c r="CP84" i="32"/>
  <c r="CO83" i="32"/>
  <c r="CP83" i="32" s="1"/>
  <c r="CP69" i="32"/>
  <c r="CL69" i="32"/>
  <c r="CM69" i="32" s="1"/>
  <c r="CL68" i="32"/>
  <c r="CM68" i="32" s="1"/>
  <c r="CL67" i="32"/>
  <c r="CM67" i="32" s="1"/>
  <c r="CL66" i="32"/>
  <c r="CM66" i="32" s="1"/>
  <c r="CL65" i="32"/>
  <c r="CM65" i="32" s="1"/>
  <c r="CL64" i="32"/>
  <c r="CM64" i="32" s="1"/>
  <c r="CL63" i="32"/>
  <c r="CM63" i="32" s="1"/>
  <c r="CL62" i="32"/>
  <c r="CM62" i="32" s="1"/>
  <c r="CL61" i="32"/>
  <c r="CM61" i="32" s="1"/>
  <c r="CL60" i="32"/>
  <c r="CM60" i="32" s="1"/>
  <c r="CL59" i="32"/>
  <c r="CM59" i="32" s="1"/>
  <c r="CL58" i="32"/>
  <c r="CM58" i="32" s="1"/>
  <c r="CL57" i="32"/>
  <c r="CM57" i="32" s="1"/>
  <c r="CL56" i="32"/>
  <c r="CM56" i="32" s="1"/>
  <c r="CL55" i="32"/>
  <c r="CM55" i="32" s="1"/>
  <c r="CL54" i="32"/>
  <c r="CM54" i="32" s="1"/>
  <c r="CI55" i="32"/>
  <c r="CJ55" i="32" s="1"/>
  <c r="CI56" i="32"/>
  <c r="CJ56" i="32" s="1"/>
  <c r="CI57" i="32"/>
  <c r="CJ57" i="32" s="1"/>
  <c r="CI58" i="32"/>
  <c r="CJ58" i="32" s="1"/>
  <c r="CI59" i="32"/>
  <c r="CJ59" i="32" s="1"/>
  <c r="CI60" i="32"/>
  <c r="CJ60" i="32" s="1"/>
  <c r="CI61" i="32"/>
  <c r="CJ61" i="32" s="1"/>
  <c r="CI54" i="32"/>
  <c r="CJ54" i="32" s="1"/>
  <c r="AM15" i="32"/>
  <c r="AL15" i="32" s="1"/>
  <c r="AM14" i="32"/>
  <c r="AL14" i="32" s="1"/>
  <c r="AM13" i="32"/>
  <c r="AL13" i="32" s="1"/>
  <c r="AN13" i="32"/>
  <c r="AM12" i="32"/>
  <c r="AN12" i="32" s="1"/>
  <c r="AL24" i="32"/>
  <c r="AM24" i="32"/>
  <c r="AN24" i="32"/>
  <c r="AL25" i="32"/>
  <c r="AM23" i="32"/>
  <c r="AN23" i="32" s="1"/>
  <c r="AM25" i="32"/>
  <c r="AN25" i="32" s="1"/>
  <c r="AL23" i="32"/>
  <c r="AL12" i="32"/>
  <c r="AA26" i="16"/>
  <c r="AL16" i="32"/>
  <c r="AL18" i="32"/>
  <c r="AN18" i="32"/>
  <c r="AL22" i="32" l="1"/>
  <c r="DI92" i="36"/>
  <c r="DF65" i="36"/>
  <c r="DI65" i="36"/>
  <c r="DI66" i="36" s="1"/>
  <c r="DI67" i="36" s="1"/>
  <c r="DI68" i="36" s="1"/>
  <c r="DI69" i="36" s="1"/>
  <c r="DI70" i="36" s="1"/>
  <c r="DI71" i="36" s="1"/>
  <c r="DI72" i="36" s="1"/>
  <c r="DI73" i="36" s="1"/>
  <c r="DI74" i="36" s="1"/>
  <c r="DI75" i="36" s="1"/>
  <c r="DI76" i="36" s="1"/>
  <c r="DI77" i="36" s="1"/>
  <c r="DI78" i="36" s="1"/>
  <c r="DI79" i="36" s="1"/>
  <c r="DI80" i="36" s="1"/>
  <c r="DI81" i="36" s="1"/>
  <c r="DI82" i="36" s="1"/>
  <c r="DI83" i="36" s="1"/>
  <c r="DI84" i="36" s="1"/>
  <c r="DI85" i="36" s="1"/>
  <c r="DI86" i="36" s="1"/>
  <c r="DI87" i="36" s="1"/>
  <c r="DI88" i="36" s="1"/>
  <c r="DI89" i="36" s="1"/>
  <c r="DI90" i="36" s="1"/>
  <c r="DI91" i="36" s="1"/>
  <c r="DE65" i="36"/>
  <c r="AL20" i="32"/>
  <c r="AN14" i="32"/>
  <c r="DE37" i="36"/>
  <c r="DE36" i="36" s="1"/>
  <c r="DI37" i="36"/>
  <c r="DI38" i="36" s="1"/>
  <c r="DI39" i="36" s="1"/>
  <c r="DI40" i="36" s="1"/>
  <c r="DI41" i="36" s="1"/>
  <c r="DI42" i="36" s="1"/>
  <c r="DI43" i="36" s="1"/>
  <c r="DI44" i="36" s="1"/>
  <c r="DI45" i="36" s="1"/>
  <c r="DI46" i="36" s="1"/>
  <c r="DI47" i="36" s="1"/>
  <c r="DI48" i="36" s="1"/>
  <c r="DI49" i="36" s="1"/>
  <c r="DI50" i="36" s="1"/>
  <c r="DI51" i="36" s="1"/>
  <c r="DI52" i="36" s="1"/>
  <c r="DI53" i="36" s="1"/>
  <c r="DI54" i="36" s="1"/>
  <c r="DI55" i="36" s="1"/>
  <c r="DI56" i="36" s="1"/>
  <c r="DI57" i="36" s="1"/>
  <c r="DI58" i="36" s="1"/>
  <c r="DI59" i="36" s="1"/>
  <c r="DI60" i="36" s="1"/>
  <c r="DI61" i="36" s="1"/>
  <c r="DI62" i="36" s="1"/>
  <c r="DI63" i="36" s="1"/>
  <c r="AD20" i="16"/>
  <c r="DF93" i="36"/>
  <c r="DF92" i="36" s="1"/>
  <c r="AN15" i="32"/>
  <c r="AL17" i="32"/>
  <c r="AL21" i="32"/>
  <c r="DF8" i="36"/>
  <c r="AL7" i="32"/>
  <c r="AL8" i="32"/>
  <c r="DF64" i="36"/>
  <c r="DF36" i="36"/>
  <c r="AB21" i="16"/>
  <c r="AD18" i="16"/>
  <c r="AF23" i="16"/>
  <c r="AA22" i="16"/>
  <c r="AG21" i="16"/>
  <c r="AD26" i="16"/>
  <c r="AE22" i="16"/>
  <c r="X26" i="16"/>
  <c r="Q67" i="32"/>
  <c r="DE8" i="36"/>
  <c r="DL29" i="36" s="1"/>
  <c r="DS29" i="36" s="1"/>
  <c r="W22" i="16"/>
  <c r="Z23" i="16"/>
  <c r="AE19" i="16"/>
  <c r="AC21" i="16"/>
  <c r="AH18" i="16"/>
  <c r="Z25" i="16"/>
  <c r="AH24" i="16"/>
  <c r="AF27" i="16"/>
  <c r="AB27" i="16"/>
  <c r="AL4" i="32"/>
  <c r="AK148" i="32" s="1"/>
  <c r="AO148" i="32" s="1"/>
  <c r="CZ56" i="36"/>
  <c r="AR55" i="36"/>
  <c r="AR54" i="36"/>
  <c r="AR53" i="36"/>
  <c r="CW53" i="36"/>
  <c r="AR52" i="36"/>
  <c r="CV52" i="36"/>
  <c r="AR51" i="36"/>
  <c r="CF51" i="36" s="1"/>
  <c r="CU51" i="36"/>
  <c r="AR50" i="36"/>
  <c r="CT50" i="36"/>
  <c r="AR49" i="36"/>
  <c r="T55" i="36"/>
  <c r="T54" i="36"/>
  <c r="BU54" i="36"/>
  <c r="T53" i="36"/>
  <c r="BH53" i="36" s="1"/>
  <c r="T52" i="36"/>
  <c r="BS52" i="36"/>
  <c r="T51" i="36"/>
  <c r="BH51" i="36" s="1"/>
  <c r="BR51" i="36"/>
  <c r="T50" i="36"/>
  <c r="BH50" i="36" s="1"/>
  <c r="T49" i="36"/>
  <c r="BH49" i="36" s="1"/>
  <c r="CZ46" i="36"/>
  <c r="AR45" i="36"/>
  <c r="CJ46" i="36" s="1"/>
  <c r="CY45" i="36"/>
  <c r="AR44" i="36"/>
  <c r="CI44" i="36" s="1"/>
  <c r="CX44" i="36"/>
  <c r="AR43" i="36"/>
  <c r="CW43" i="36"/>
  <c r="AR42" i="36"/>
  <c r="CV42" i="36"/>
  <c r="AR41" i="36"/>
  <c r="CF41" i="36" s="1"/>
  <c r="CU41" i="36"/>
  <c r="AR40" i="36"/>
  <c r="CE46" i="36" s="1"/>
  <c r="CT40" i="36"/>
  <c r="AR39" i="36"/>
  <c r="CK39" i="36" s="1"/>
  <c r="T45" i="36"/>
  <c r="BG46" i="36" s="1"/>
  <c r="BV45" i="36"/>
  <c r="T44" i="36"/>
  <c r="BU44" i="36"/>
  <c r="T43" i="36"/>
  <c r="BT43" i="36"/>
  <c r="T42" i="36"/>
  <c r="BD46" i="36" s="1"/>
  <c r="BS42" i="36"/>
  <c r="T41" i="36"/>
  <c r="BC41" i="36" s="1"/>
  <c r="T32" i="36"/>
  <c r="BD32" i="36" s="1"/>
  <c r="BR41" i="36"/>
  <c r="T40" i="36"/>
  <c r="BH40" i="36" s="1"/>
  <c r="BQ40" i="36"/>
  <c r="T39" i="36"/>
  <c r="T35" i="36"/>
  <c r="CZ36" i="36"/>
  <c r="AR35" i="36"/>
  <c r="CY35" i="36"/>
  <c r="AR34" i="36"/>
  <c r="CI36" i="36" s="1"/>
  <c r="AR32" i="36"/>
  <c r="AR33" i="36"/>
  <c r="CV32" i="36"/>
  <c r="AR31" i="36"/>
  <c r="CF36" i="36" s="1"/>
  <c r="CU31" i="36"/>
  <c r="AR30" i="36"/>
  <c r="CE30" i="36" s="1"/>
  <c r="CT30" i="36"/>
  <c r="AR29" i="36"/>
  <c r="CD36" i="36" s="1"/>
  <c r="BV35" i="36"/>
  <c r="T34" i="36"/>
  <c r="BF34" i="36" s="1"/>
  <c r="BU34" i="36"/>
  <c r="T33" i="36"/>
  <c r="BS32" i="36"/>
  <c r="T31" i="36"/>
  <c r="BR31" i="36"/>
  <c r="T30" i="36"/>
  <c r="BQ30" i="36"/>
  <c r="T29" i="36"/>
  <c r="CZ26" i="36"/>
  <c r="AR25" i="36"/>
  <c r="CK25" i="36" s="1"/>
  <c r="CY25" i="36"/>
  <c r="AR24" i="36"/>
  <c r="CX24" i="36"/>
  <c r="AR23" i="36"/>
  <c r="CH26" i="36" s="1"/>
  <c r="CW23" i="36"/>
  <c r="AR22" i="36"/>
  <c r="CV22" i="36"/>
  <c r="AR21" i="36"/>
  <c r="CK21" i="36" s="1"/>
  <c r="CU21" i="36"/>
  <c r="AR20" i="36"/>
  <c r="CE20" i="36" s="1"/>
  <c r="CT20" i="36"/>
  <c r="AR19" i="36"/>
  <c r="CK19" i="36" s="1"/>
  <c r="BW26" i="36"/>
  <c r="T25" i="36"/>
  <c r="BV25" i="36"/>
  <c r="T24" i="36"/>
  <c r="BF26" i="36" s="1"/>
  <c r="BU24" i="36"/>
  <c r="T23" i="36"/>
  <c r="BT23" i="36"/>
  <c r="T22" i="36"/>
  <c r="BS22" i="36"/>
  <c r="T21" i="36"/>
  <c r="BR21" i="36"/>
  <c r="T20" i="36"/>
  <c r="BQ20" i="36"/>
  <c r="T19" i="36"/>
  <c r="CZ16" i="36"/>
  <c r="AR15" i="36"/>
  <c r="CJ15" i="36" s="1"/>
  <c r="CY15" i="36"/>
  <c r="AR14" i="36"/>
  <c r="CI14" i="36" s="1"/>
  <c r="CX14" i="36"/>
  <c r="AR13" i="36"/>
  <c r="CW13" i="36"/>
  <c r="AR12" i="36"/>
  <c r="CG12" i="36" s="1"/>
  <c r="CV12" i="36"/>
  <c r="AR11" i="36"/>
  <c r="CF11" i="36" s="1"/>
  <c r="CU11" i="36"/>
  <c r="AR10" i="36"/>
  <c r="CK10" i="36" s="1"/>
  <c r="CT10" i="36"/>
  <c r="AR9" i="36"/>
  <c r="CK9" i="36" s="1"/>
  <c r="T15" i="36"/>
  <c r="BG15" i="36" s="1"/>
  <c r="T14" i="36"/>
  <c r="T13" i="36"/>
  <c r="BE16" i="36" s="1"/>
  <c r="T12" i="36"/>
  <c r="BD16" i="36" s="1"/>
  <c r="T11" i="36"/>
  <c r="T10" i="36"/>
  <c r="BR11" i="36"/>
  <c r="BS12" i="36"/>
  <c r="BT13" i="36"/>
  <c r="BU14" i="36"/>
  <c r="BV15" i="36"/>
  <c r="BW16" i="36"/>
  <c r="T9" i="36"/>
  <c r="BQ10" i="36"/>
  <c r="I5" i="16"/>
  <c r="A7" i="16"/>
  <c r="I6" i="16"/>
  <c r="O117" i="32"/>
  <c r="N117" i="32" s="1"/>
  <c r="DM16" i="36"/>
  <c r="DT16" i="36" s="1"/>
  <c r="Q57" i="32"/>
  <c r="O149" i="32"/>
  <c r="N149" i="32" s="1"/>
  <c r="O85" i="32"/>
  <c r="N85" i="32" s="1"/>
  <c r="Q124" i="32"/>
  <c r="O62" i="32"/>
  <c r="N62" i="32" s="1"/>
  <c r="O133" i="32"/>
  <c r="N133" i="32" s="1"/>
  <c r="O101" i="32"/>
  <c r="N101" i="32" s="1"/>
  <c r="O69" i="32"/>
  <c r="N69" i="32" s="1"/>
  <c r="Q140" i="32"/>
  <c r="Q106" i="32"/>
  <c r="Y22" i="16"/>
  <c r="X23" i="16"/>
  <c r="AB23" i="16"/>
  <c r="AC19" i="16"/>
  <c r="AG19" i="16"/>
  <c r="AF20" i="16"/>
  <c r="AE21" i="16"/>
  <c r="AH20" i="16"/>
  <c r="AF18" i="16"/>
  <c r="X25" i="16"/>
  <c r="AB25" i="16"/>
  <c r="AD24" i="16"/>
  <c r="AF25" i="16"/>
  <c r="AH26" i="16"/>
  <c r="W26" i="16"/>
  <c r="X27" i="16"/>
  <c r="AC22" i="16"/>
  <c r="AG22" i="16"/>
  <c r="Y27" i="16"/>
  <c r="AC27" i="16"/>
  <c r="AE24" i="16"/>
  <c r="Y25" i="16"/>
  <c r="AB26" i="16"/>
  <c r="AG27" i="16"/>
  <c r="AE26" i="16"/>
  <c r="AC25" i="16"/>
  <c r="AG23" i="16"/>
  <c r="AA25" i="16"/>
  <c r="W25" i="16"/>
  <c r="AA21" i="16"/>
  <c r="X22" i="16"/>
  <c r="Z22" i="16"/>
  <c r="AB22" i="16"/>
  <c r="W23" i="16"/>
  <c r="Y23" i="16"/>
  <c r="AA23" i="16"/>
  <c r="AD19" i="16"/>
  <c r="AF19" i="16"/>
  <c r="AC20" i="16"/>
  <c r="AE20" i="16"/>
  <c r="AG20" i="16"/>
  <c r="AD21" i="16"/>
  <c r="AF21" i="16"/>
  <c r="AH21" i="16"/>
  <c r="AH19" i="16"/>
  <c r="AG18" i="16"/>
  <c r="AE18" i="16"/>
  <c r="AC18" i="16"/>
  <c r="W24" i="16"/>
  <c r="Y24" i="16"/>
  <c r="AA24" i="16"/>
  <c r="AD23" i="16"/>
  <c r="AH23" i="16"/>
  <c r="AF24" i="16"/>
  <c r="AD25" i="16"/>
  <c r="AH25" i="16"/>
  <c r="AF26" i="16"/>
  <c r="AD27" i="16"/>
  <c r="AH27" i="16"/>
  <c r="Y26" i="16"/>
  <c r="Z27" i="16"/>
  <c r="AD22" i="16"/>
  <c r="AF22" i="16"/>
  <c r="AH22" i="16"/>
  <c r="AA27" i="16"/>
  <c r="W27" i="16"/>
  <c r="Z26" i="16"/>
  <c r="AE27" i="16"/>
  <c r="AG26" i="16"/>
  <c r="AC26" i="16"/>
  <c r="AE25" i="16"/>
  <c r="AG24" i="16"/>
  <c r="AC24" i="16"/>
  <c r="AE23" i="16"/>
  <c r="AB24" i="16"/>
  <c r="Z24" i="16"/>
  <c r="X24" i="16"/>
  <c r="DM8" i="36"/>
  <c r="DT8" i="36" s="1"/>
  <c r="DL13" i="36"/>
  <c r="DS13" i="36" s="1"/>
  <c r="DL34" i="36"/>
  <c r="DS34" i="36" s="1"/>
  <c r="DL31" i="36"/>
  <c r="DS31" i="36" s="1"/>
  <c r="DL23" i="36"/>
  <c r="DS23" i="36" s="1"/>
  <c r="DL15" i="36"/>
  <c r="DS15" i="36" s="1"/>
  <c r="DM34" i="36"/>
  <c r="DT34" i="36" s="1"/>
  <c r="DM26" i="36"/>
  <c r="DT26" i="36" s="1"/>
  <c r="DM18" i="36"/>
  <c r="DT18" i="36" s="1"/>
  <c r="DM10" i="36"/>
  <c r="DT10" i="36" s="1"/>
  <c r="E1" i="32"/>
  <c r="G1" i="32" s="1"/>
  <c r="I1" i="32" s="1"/>
  <c r="K1" i="32" s="1"/>
  <c r="M1" i="32" s="1"/>
  <c r="O1" i="32" s="1"/>
  <c r="Q1" i="32" s="1"/>
  <c r="DE64" i="36"/>
  <c r="DL89" i="36" s="1"/>
  <c r="DS89" i="36" s="1"/>
  <c r="DM20" i="36"/>
  <c r="DT20" i="36" s="1"/>
  <c r="DL9" i="36"/>
  <c r="DS9" i="36" s="1"/>
  <c r="DL25" i="36"/>
  <c r="DS25" i="36" s="1"/>
  <c r="F1" i="32"/>
  <c r="H1" i="32" s="1"/>
  <c r="J1" i="32" s="1"/>
  <c r="L1" i="32" s="1"/>
  <c r="N1" i="32" s="1"/>
  <c r="P1" i="32" s="1"/>
  <c r="R1" i="32" s="1"/>
  <c r="O68" i="32"/>
  <c r="N68" i="32" s="1"/>
  <c r="O141" i="32"/>
  <c r="N141" i="32" s="1"/>
  <c r="O125" i="32"/>
  <c r="N125" i="32" s="1"/>
  <c r="O109" i="32"/>
  <c r="N109" i="32" s="1"/>
  <c r="O93" i="32"/>
  <c r="N93" i="32" s="1"/>
  <c r="O77" i="32"/>
  <c r="N77" i="32" s="1"/>
  <c r="Q63" i="32"/>
  <c r="Q148" i="32"/>
  <c r="Q132" i="32"/>
  <c r="Q116" i="32"/>
  <c r="Q90" i="32"/>
  <c r="A8" i="16"/>
  <c r="O58" i="32"/>
  <c r="N58" i="32" s="1"/>
  <c r="O153" i="32"/>
  <c r="N153" i="32" s="1"/>
  <c r="O145" i="32"/>
  <c r="N145" i="32" s="1"/>
  <c r="O137" i="32"/>
  <c r="N137" i="32" s="1"/>
  <c r="O129" i="32"/>
  <c r="N129" i="32" s="1"/>
  <c r="O121" i="32"/>
  <c r="N121" i="32" s="1"/>
  <c r="O113" i="32"/>
  <c r="N113" i="32" s="1"/>
  <c r="O105" i="32"/>
  <c r="N105" i="32" s="1"/>
  <c r="O97" i="32"/>
  <c r="N97" i="32" s="1"/>
  <c r="O89" i="32"/>
  <c r="N89" i="32" s="1"/>
  <c r="O81" i="32"/>
  <c r="N81" i="32" s="1"/>
  <c r="O73" i="32"/>
  <c r="N73" i="32" s="1"/>
  <c r="Q65" i="32"/>
  <c r="Q61" i="32"/>
  <c r="Q152" i="32"/>
  <c r="Q144" i="32"/>
  <c r="Q136" i="32"/>
  <c r="Q128" i="32"/>
  <c r="Q120" i="32"/>
  <c r="Q112" i="32"/>
  <c r="Q98" i="32"/>
  <c r="Q81" i="32"/>
  <c r="Q59" i="32"/>
  <c r="Q55" i="32"/>
  <c r="Q150" i="32"/>
  <c r="Q146" i="32"/>
  <c r="Q142" i="32"/>
  <c r="Q138" i="32"/>
  <c r="Q134" i="32"/>
  <c r="Q130" i="32"/>
  <c r="Q126" i="32"/>
  <c r="Q122" i="32"/>
  <c r="Q118" i="32"/>
  <c r="Q114" i="32"/>
  <c r="Q110" i="32"/>
  <c r="Q102" i="32"/>
  <c r="Q94" i="32"/>
  <c r="Q86" i="32"/>
  <c r="Q73" i="32"/>
  <c r="Q108" i="32"/>
  <c r="Q104" i="32"/>
  <c r="Q100" i="32"/>
  <c r="Q96" i="32"/>
  <c r="Q92" i="32"/>
  <c r="Q88" i="32"/>
  <c r="Q84" i="32"/>
  <c r="Q77" i="32"/>
  <c r="Q69" i="32"/>
  <c r="O63" i="32"/>
  <c r="N63" i="32" s="1"/>
  <c r="O59" i="32"/>
  <c r="N59" i="32" s="1"/>
  <c r="O55" i="32"/>
  <c r="N55" i="32" s="1"/>
  <c r="O65" i="32"/>
  <c r="N65" i="32" s="1"/>
  <c r="O150" i="32"/>
  <c r="N150" i="32" s="1"/>
  <c r="P150" i="32" s="1"/>
  <c r="O146" i="32"/>
  <c r="N146" i="32" s="1"/>
  <c r="O142" i="32"/>
  <c r="N142" i="32" s="1"/>
  <c r="P142" i="32" s="1"/>
  <c r="O138" i="32"/>
  <c r="N138" i="32" s="1"/>
  <c r="O134" i="32"/>
  <c r="N134" i="32" s="1"/>
  <c r="P134" i="32" s="1"/>
  <c r="O130" i="32"/>
  <c r="N130" i="32" s="1"/>
  <c r="O126" i="32"/>
  <c r="N126" i="32" s="1"/>
  <c r="P126" i="32" s="1"/>
  <c r="O122" i="32"/>
  <c r="N122" i="32" s="1"/>
  <c r="O118" i="32"/>
  <c r="N118" i="32" s="1"/>
  <c r="P118" i="32" s="1"/>
  <c r="O114" i="32"/>
  <c r="N114" i="32" s="1"/>
  <c r="O110" i="32"/>
  <c r="N110" i="32" s="1"/>
  <c r="P110" i="32" s="1"/>
  <c r="O106" i="32"/>
  <c r="N106" i="32" s="1"/>
  <c r="O102" i="32"/>
  <c r="N102" i="32" s="1"/>
  <c r="O98" i="32"/>
  <c r="N98" i="32" s="1"/>
  <c r="O94" i="32"/>
  <c r="N94" i="32" s="1"/>
  <c r="P94" i="32" s="1"/>
  <c r="O90" i="32"/>
  <c r="N90" i="32" s="1"/>
  <c r="O86" i="32"/>
  <c r="N86" i="32" s="1"/>
  <c r="O82" i="32"/>
  <c r="N82" i="32" s="1"/>
  <c r="O78" i="32"/>
  <c r="N78" i="32" s="1"/>
  <c r="O74" i="32"/>
  <c r="N74" i="32" s="1"/>
  <c r="O70" i="32"/>
  <c r="N70" i="32" s="1"/>
  <c r="Q54" i="32"/>
  <c r="Q64" i="32"/>
  <c r="Q62" i="32"/>
  <c r="Q60" i="32"/>
  <c r="Q58" i="32"/>
  <c r="Q56" i="32"/>
  <c r="Q153" i="32"/>
  <c r="Q151" i="32"/>
  <c r="Q149" i="32"/>
  <c r="Q147" i="32"/>
  <c r="Q145" i="32"/>
  <c r="Q143" i="32"/>
  <c r="Q141" i="32"/>
  <c r="Q139" i="32"/>
  <c r="Q137" i="32"/>
  <c r="Q135" i="32"/>
  <c r="Q133" i="32"/>
  <c r="Q131" i="32"/>
  <c r="Q129" i="32"/>
  <c r="Q127" i="32"/>
  <c r="Q125" i="32"/>
  <c r="Q123" i="32"/>
  <c r="Q121" i="32"/>
  <c r="Q119" i="32"/>
  <c r="Q117" i="32"/>
  <c r="Q115" i="32"/>
  <c r="Q113" i="32"/>
  <c r="Q111" i="32"/>
  <c r="Q109" i="32"/>
  <c r="Q107" i="32"/>
  <c r="Q105" i="32"/>
  <c r="Q103" i="32"/>
  <c r="Q101" i="32"/>
  <c r="Q99" i="32"/>
  <c r="Q97" i="32"/>
  <c r="Q95" i="32"/>
  <c r="Q93" i="32"/>
  <c r="Q91" i="32"/>
  <c r="Q89" i="32"/>
  <c r="Q87" i="32"/>
  <c r="Q85" i="32"/>
  <c r="Q83" i="32"/>
  <c r="Q79" i="32"/>
  <c r="Q75" i="32"/>
  <c r="Q71" i="32"/>
  <c r="DM9" i="36"/>
  <c r="DT9" i="36" s="1"/>
  <c r="DM11" i="36"/>
  <c r="DT11" i="36" s="1"/>
  <c r="DM13" i="36"/>
  <c r="DT13" i="36" s="1"/>
  <c r="DM15" i="36"/>
  <c r="DT15" i="36" s="1"/>
  <c r="DM17" i="36"/>
  <c r="DT17" i="36" s="1"/>
  <c r="DM19" i="36"/>
  <c r="DT19" i="36" s="1"/>
  <c r="DM21" i="36"/>
  <c r="DT21" i="36" s="1"/>
  <c r="DM23" i="36"/>
  <c r="DT23" i="36" s="1"/>
  <c r="DM25" i="36"/>
  <c r="DT25" i="36" s="1"/>
  <c r="DM27" i="36"/>
  <c r="DT27" i="36" s="1"/>
  <c r="DM29" i="36"/>
  <c r="DT29" i="36" s="1"/>
  <c r="DM31" i="36"/>
  <c r="DT31" i="36" s="1"/>
  <c r="DM33" i="36"/>
  <c r="DT33" i="36" s="1"/>
  <c r="DL8" i="36"/>
  <c r="DL10" i="36"/>
  <c r="DS10" i="36" s="1"/>
  <c r="DL12" i="36"/>
  <c r="DS12" i="36" s="1"/>
  <c r="DL14" i="36"/>
  <c r="DS14" i="36" s="1"/>
  <c r="DL16" i="36"/>
  <c r="DS16" i="36" s="1"/>
  <c r="DL18" i="36"/>
  <c r="DS18" i="36" s="1"/>
  <c r="DL20" i="36"/>
  <c r="DS20" i="36" s="1"/>
  <c r="DL22" i="36"/>
  <c r="DS22" i="36" s="1"/>
  <c r="DL24" i="36"/>
  <c r="DS24" i="36" s="1"/>
  <c r="DL26" i="36"/>
  <c r="DS26" i="36" s="1"/>
  <c r="DL28" i="36"/>
  <c r="DS28" i="36" s="1"/>
  <c r="DL30" i="36"/>
  <c r="DL32" i="36"/>
  <c r="DS32" i="36" s="1"/>
  <c r="CN52" i="36"/>
  <c r="BL83" i="36"/>
  <c r="T82" i="36"/>
  <c r="BH82" i="36" s="1"/>
  <c r="CN72" i="36"/>
  <c r="AR71" i="36"/>
  <c r="CK71" i="36" s="1"/>
  <c r="CP74" i="36"/>
  <c r="AR73" i="36"/>
  <c r="CH73" i="36" s="1"/>
  <c r="CR76" i="36"/>
  <c r="AR75" i="36"/>
  <c r="CP84" i="36"/>
  <c r="AR83" i="36"/>
  <c r="CK83" i="36" s="1"/>
  <c r="O71" i="32"/>
  <c r="N71" i="32" s="1"/>
  <c r="O72" i="32"/>
  <c r="N72" i="32" s="1"/>
  <c r="O75" i="32"/>
  <c r="N75" i="32" s="1"/>
  <c r="O76" i="32"/>
  <c r="N76" i="32" s="1"/>
  <c r="O79" i="32"/>
  <c r="N79" i="32" s="1"/>
  <c r="O80" i="32"/>
  <c r="N80" i="32" s="1"/>
  <c r="O83" i="32"/>
  <c r="N83" i="32" s="1"/>
  <c r="O84" i="32"/>
  <c r="N84" i="32" s="1"/>
  <c r="O87" i="32"/>
  <c r="N87" i="32" s="1"/>
  <c r="O88" i="32"/>
  <c r="N88" i="32" s="1"/>
  <c r="O91" i="32"/>
  <c r="N91" i="32" s="1"/>
  <c r="O92" i="32"/>
  <c r="N92" i="32" s="1"/>
  <c r="O95" i="32"/>
  <c r="N95" i="32" s="1"/>
  <c r="O96" i="32"/>
  <c r="N96" i="32" s="1"/>
  <c r="O99" i="32"/>
  <c r="N99" i="32" s="1"/>
  <c r="O100" i="32"/>
  <c r="N100" i="32" s="1"/>
  <c r="O103" i="32"/>
  <c r="N103" i="32" s="1"/>
  <c r="O104" i="32"/>
  <c r="N104" i="32" s="1"/>
  <c r="O107" i="32"/>
  <c r="N107" i="32" s="1"/>
  <c r="O108" i="32"/>
  <c r="N108" i="32" s="1"/>
  <c r="O111" i="32"/>
  <c r="N111" i="32" s="1"/>
  <c r="O112" i="32"/>
  <c r="N112" i="32" s="1"/>
  <c r="O115" i="32"/>
  <c r="N115" i="32" s="1"/>
  <c r="O116" i="32"/>
  <c r="N116" i="32" s="1"/>
  <c r="O119" i="32"/>
  <c r="N119" i="32" s="1"/>
  <c r="O120" i="32"/>
  <c r="N120" i="32" s="1"/>
  <c r="O123" i="32"/>
  <c r="N123" i="32" s="1"/>
  <c r="O124" i="32"/>
  <c r="N124" i="32" s="1"/>
  <c r="P124" i="32" s="1"/>
  <c r="R124" i="32" s="1"/>
  <c r="O127" i="32"/>
  <c r="N127" i="32" s="1"/>
  <c r="O128" i="32"/>
  <c r="N128" i="32" s="1"/>
  <c r="O131" i="32"/>
  <c r="N131" i="32" s="1"/>
  <c r="O132" i="32"/>
  <c r="N132" i="32" s="1"/>
  <c r="P132" i="32" s="1"/>
  <c r="O135" i="32"/>
  <c r="N135" i="32" s="1"/>
  <c r="O136" i="32"/>
  <c r="N136" i="32" s="1"/>
  <c r="O139" i="32"/>
  <c r="N139" i="32" s="1"/>
  <c r="O140" i="32"/>
  <c r="N140" i="32" s="1"/>
  <c r="O143" i="32"/>
  <c r="N143" i="32" s="1"/>
  <c r="O144" i="32"/>
  <c r="N144" i="32" s="1"/>
  <c r="O147" i="32"/>
  <c r="N147" i="32" s="1"/>
  <c r="O148" i="32"/>
  <c r="N148" i="32" s="1"/>
  <c r="O151" i="32"/>
  <c r="N151" i="32" s="1"/>
  <c r="O152" i="32"/>
  <c r="N152" i="32" s="1"/>
  <c r="O66" i="32"/>
  <c r="N66" i="32" s="1"/>
  <c r="O67" i="32"/>
  <c r="N67" i="32" s="1"/>
  <c r="O56" i="32"/>
  <c r="N56" i="32" s="1"/>
  <c r="O57" i="32"/>
  <c r="N57" i="32" s="1"/>
  <c r="O60" i="32"/>
  <c r="N60" i="32" s="1"/>
  <c r="O61" i="32"/>
  <c r="N61" i="32" s="1"/>
  <c r="O64" i="32"/>
  <c r="N64" i="32" s="1"/>
  <c r="O54" i="32"/>
  <c r="N54" i="32" s="1"/>
  <c r="L6" i="36"/>
  <c r="T65" i="36"/>
  <c r="BG65" i="36" s="1"/>
  <c r="Q82" i="32"/>
  <c r="Q80" i="32"/>
  <c r="Q78" i="32"/>
  <c r="Q76" i="32"/>
  <c r="Q74" i="32"/>
  <c r="Q72" i="32"/>
  <c r="Q70" i="32"/>
  <c r="Q68" i="32"/>
  <c r="Q66" i="32"/>
  <c r="T60" i="36"/>
  <c r="BB60" i="36" s="1"/>
  <c r="K5" i="36"/>
  <c r="BR61" i="36"/>
  <c r="T71" i="36"/>
  <c r="BC76" i="36" s="1"/>
  <c r="J6" i="36"/>
  <c r="T75" i="36"/>
  <c r="BG75" i="36" s="1"/>
  <c r="AR62" i="36"/>
  <c r="CK62" i="36" s="1"/>
  <c r="T63" i="36"/>
  <c r="BE66" i="36" s="1"/>
  <c r="AR72" i="36"/>
  <c r="CK72" i="36" s="1"/>
  <c r="M5" i="36"/>
  <c r="T72" i="36"/>
  <c r="BH72" i="36" s="1"/>
  <c r="T74" i="36"/>
  <c r="T79" i="36"/>
  <c r="BH79" i="36" s="1"/>
  <c r="T81" i="36"/>
  <c r="BC86" i="36" s="1"/>
  <c r="T84" i="36"/>
  <c r="M2" i="36"/>
  <c r="I5" i="36"/>
  <c r="BW56" i="36"/>
  <c r="T80" i="36"/>
  <c r="T73" i="36"/>
  <c r="BE76" i="36" s="1"/>
  <c r="AR69" i="36"/>
  <c r="CD76" i="36" s="1"/>
  <c r="AR63" i="36"/>
  <c r="CH63" i="36" s="1"/>
  <c r="T64" i="36"/>
  <c r="AR82" i="36"/>
  <c r="J3" i="36"/>
  <c r="H3" i="36"/>
  <c r="BW46" i="36"/>
  <c r="BT53" i="36"/>
  <c r="BQ50" i="36"/>
  <c r="CK26" i="36"/>
  <c r="CK36" i="36"/>
  <c r="CK46" i="36"/>
  <c r="CK56" i="36"/>
  <c r="BH86" i="36"/>
  <c r="CK86" i="36"/>
  <c r="BI26" i="36"/>
  <c r="K2" i="36"/>
  <c r="BO26" i="36"/>
  <c r="CN26" i="36"/>
  <c r="CO26" i="36"/>
  <c r="CR26" i="36"/>
  <c r="BQ33" i="36"/>
  <c r="L3" i="36"/>
  <c r="BR33" i="36"/>
  <c r="BS33" i="36"/>
  <c r="BT33" i="36"/>
  <c r="BW36" i="36"/>
  <c r="BI40" i="36"/>
  <c r="G5" i="36"/>
  <c r="F6" i="36"/>
  <c r="BJ41" i="36"/>
  <c r="BI44" i="36"/>
  <c r="H6" i="36"/>
  <c r="BM44" i="36"/>
  <c r="CN42" i="36"/>
  <c r="CO43" i="36"/>
  <c r="CQ45" i="36"/>
  <c r="BR13" i="36"/>
  <c r="BS13" i="36"/>
  <c r="CV33" i="36"/>
  <c r="CW33" i="36"/>
  <c r="CX34" i="36"/>
  <c r="CT46" i="36"/>
  <c r="CU46" i="36"/>
  <c r="CX46" i="36"/>
  <c r="BV55" i="36"/>
  <c r="CX54" i="36"/>
  <c r="CY55" i="36"/>
  <c r="T59" i="36"/>
  <c r="BQ60" i="36"/>
  <c r="T61" i="36"/>
  <c r="BS62" i="36"/>
  <c r="T62" i="36"/>
  <c r="BT63" i="36"/>
  <c r="T70" i="36"/>
  <c r="BR71" i="36"/>
  <c r="T83" i="36"/>
  <c r="BU84" i="36"/>
  <c r="T85" i="36"/>
  <c r="BW86" i="36"/>
  <c r="CT60" i="36"/>
  <c r="AR59" i="36"/>
  <c r="CU61" i="36"/>
  <c r="AR60" i="36"/>
  <c r="CV62" i="36"/>
  <c r="AR61" i="36"/>
  <c r="CY65" i="36"/>
  <c r="AR64" i="36"/>
  <c r="CZ66" i="36"/>
  <c r="AR65" i="36"/>
  <c r="CU71" i="36"/>
  <c r="AR70" i="36"/>
  <c r="CY75" i="36"/>
  <c r="AR74" i="36"/>
  <c r="CT80" i="36"/>
  <c r="AR79" i="36"/>
  <c r="CV82" i="36"/>
  <c r="AR81" i="36"/>
  <c r="CY85" i="36"/>
  <c r="AR84" i="36"/>
  <c r="CZ86" i="36"/>
  <c r="AR85" i="36"/>
  <c r="CP14" i="36"/>
  <c r="BL23" i="36"/>
  <c r="BM24" i="36"/>
  <c r="CP24" i="36"/>
  <c r="CQ25" i="36"/>
  <c r="BI10" i="36"/>
  <c r="G2" i="36"/>
  <c r="BI20" i="36"/>
  <c r="BJ21" i="36"/>
  <c r="AL43" i="32"/>
  <c r="I2" i="36"/>
  <c r="F3" i="36"/>
  <c r="AL49" i="32"/>
  <c r="AL37" i="32"/>
  <c r="CU83" i="36"/>
  <c r="AR80" i="36"/>
  <c r="T69" i="36"/>
  <c r="G2" i="16"/>
  <c r="AL36" i="32" l="1"/>
  <c r="P67" i="32"/>
  <c r="R67" i="32" s="1"/>
  <c r="AL42" i="32"/>
  <c r="DL90" i="36"/>
  <c r="DS90" i="36" s="1"/>
  <c r="P117" i="32"/>
  <c r="R117" i="32" s="1"/>
  <c r="AL48" i="32"/>
  <c r="P63" i="32"/>
  <c r="R63" i="32" s="1"/>
  <c r="AL63" i="32" s="1"/>
  <c r="DM59" i="36"/>
  <c r="DT59" i="36" s="1"/>
  <c r="DM51" i="36"/>
  <c r="DT51" i="36" s="1"/>
  <c r="DM49" i="36"/>
  <c r="DT49" i="36" s="1"/>
  <c r="DM54" i="36"/>
  <c r="DT54" i="36" s="1"/>
  <c r="DM55" i="36"/>
  <c r="DT55" i="36" s="1"/>
  <c r="DL53" i="36"/>
  <c r="DS53" i="36" s="1"/>
  <c r="DL37" i="36"/>
  <c r="DS37" i="36" s="1"/>
  <c r="DL48" i="36"/>
  <c r="DS48" i="36" s="1"/>
  <c r="DL36" i="36"/>
  <c r="DS36" i="36" s="1"/>
  <c r="DM38" i="36"/>
  <c r="DT38" i="36" s="1"/>
  <c r="DM60" i="36"/>
  <c r="DT60" i="36" s="1"/>
  <c r="DL61" i="36"/>
  <c r="DS61" i="36" s="1"/>
  <c r="DL45" i="36"/>
  <c r="DS45" i="36" s="1"/>
  <c r="DL56" i="36"/>
  <c r="DS56" i="36" s="1"/>
  <c r="DL40" i="36"/>
  <c r="DS40" i="36" s="1"/>
  <c r="DL63" i="36"/>
  <c r="DS63" i="36" s="1"/>
  <c r="AL11" i="32"/>
  <c r="DI93" i="36"/>
  <c r="DI94" i="36" s="1"/>
  <c r="DI95" i="36" s="1"/>
  <c r="DI96" i="36" s="1"/>
  <c r="DI97" i="36" s="1"/>
  <c r="DI98" i="36" s="1"/>
  <c r="DI99" i="36" s="1"/>
  <c r="DI100" i="36" s="1"/>
  <c r="DI101" i="36" s="1"/>
  <c r="DI102" i="36" s="1"/>
  <c r="DI103" i="36" s="1"/>
  <c r="DI104" i="36" s="1"/>
  <c r="DI105" i="36" s="1"/>
  <c r="DI106" i="36" s="1"/>
  <c r="DI107" i="36" s="1"/>
  <c r="DI108" i="36" s="1"/>
  <c r="DI109" i="36" s="1"/>
  <c r="DI110" i="36" s="1"/>
  <c r="DI111" i="36" s="1"/>
  <c r="DI112" i="36" s="1"/>
  <c r="DI113" i="36" s="1"/>
  <c r="DI114" i="36" s="1"/>
  <c r="DI115" i="36" s="1"/>
  <c r="DI116" i="36" s="1"/>
  <c r="DI117" i="36" s="1"/>
  <c r="DI118" i="36" s="1"/>
  <c r="DI119" i="36" s="1"/>
  <c r="DI120" i="36"/>
  <c r="DE93" i="36"/>
  <c r="DE92" i="36" s="1"/>
  <c r="BC62" i="36"/>
  <c r="CF75" i="36"/>
  <c r="AL118" i="32"/>
  <c r="I7" i="16"/>
  <c r="D7" i="16"/>
  <c r="B7" i="16" s="1"/>
  <c r="I8" i="16"/>
  <c r="D8" i="16"/>
  <c r="AL134" i="32"/>
  <c r="AL87" i="32"/>
  <c r="DL44" i="36"/>
  <c r="DS44" i="36" s="1"/>
  <c r="DL52" i="36"/>
  <c r="DS52" i="36" s="1"/>
  <c r="DL60" i="36"/>
  <c r="DS60" i="36" s="1"/>
  <c r="DL41" i="36"/>
  <c r="DS41" i="36" s="1"/>
  <c r="DL49" i="36"/>
  <c r="DS49" i="36" s="1"/>
  <c r="DL57" i="36"/>
  <c r="DS57" i="36" s="1"/>
  <c r="DM39" i="36"/>
  <c r="DT39" i="36" s="1"/>
  <c r="DM44" i="36"/>
  <c r="DT44" i="36" s="1"/>
  <c r="DL100" i="36"/>
  <c r="DS100" i="36" s="1"/>
  <c r="DL116" i="36"/>
  <c r="DS116" i="36" s="1"/>
  <c r="DL105" i="36"/>
  <c r="DS105" i="36" s="1"/>
  <c r="DM62" i="36"/>
  <c r="DT62" i="36" s="1"/>
  <c r="DM46" i="36"/>
  <c r="DT46" i="36" s="1"/>
  <c r="DM57" i="36"/>
  <c r="DT57" i="36" s="1"/>
  <c r="DM41" i="36"/>
  <c r="DT41" i="36" s="1"/>
  <c r="DM116" i="36"/>
  <c r="DT116" i="36" s="1"/>
  <c r="DM108" i="36"/>
  <c r="DT108" i="36" s="1"/>
  <c r="DM100" i="36"/>
  <c r="DT100" i="36" s="1"/>
  <c r="DM92" i="36"/>
  <c r="DT92" i="36" s="1"/>
  <c r="DM111" i="36"/>
  <c r="DT111" i="36" s="1"/>
  <c r="DM103" i="36"/>
  <c r="DT103" i="36" s="1"/>
  <c r="DM95" i="36"/>
  <c r="DT95" i="36" s="1"/>
  <c r="DM56" i="36"/>
  <c r="DT56" i="36" s="1"/>
  <c r="DM43" i="36"/>
  <c r="DT43" i="36" s="1"/>
  <c r="DL103" i="36"/>
  <c r="DS103" i="36" s="1"/>
  <c r="DL98" i="36"/>
  <c r="DS98" i="36" s="1"/>
  <c r="DL118" i="36"/>
  <c r="DS118" i="36" s="1"/>
  <c r="AL142" i="32"/>
  <c r="AL126" i="32"/>
  <c r="AL103" i="32"/>
  <c r="AK132" i="32"/>
  <c r="AO132" i="32" s="1"/>
  <c r="AK93" i="32"/>
  <c r="AQ93" i="32" s="1"/>
  <c r="AL116" i="32"/>
  <c r="DL38" i="36"/>
  <c r="DS38" i="36" s="1"/>
  <c r="DL42" i="36"/>
  <c r="DS42" i="36" s="1"/>
  <c r="DL46" i="36"/>
  <c r="DS46" i="36" s="1"/>
  <c r="DL50" i="36"/>
  <c r="DS50" i="36" s="1"/>
  <c r="DL54" i="36"/>
  <c r="DS54" i="36" s="1"/>
  <c r="DL58" i="36"/>
  <c r="DS58" i="36" s="1"/>
  <c r="DL62" i="36"/>
  <c r="DS62" i="36" s="1"/>
  <c r="DL39" i="36"/>
  <c r="DS39" i="36" s="1"/>
  <c r="DL43" i="36"/>
  <c r="DS43" i="36" s="1"/>
  <c r="DL47" i="36"/>
  <c r="DS47" i="36" s="1"/>
  <c r="DL51" i="36"/>
  <c r="DS51" i="36" s="1"/>
  <c r="DL55" i="36"/>
  <c r="DS55" i="36" s="1"/>
  <c r="DL59" i="36"/>
  <c r="DS59" i="36" s="1"/>
  <c r="DL74" i="36"/>
  <c r="DS74" i="36" s="1"/>
  <c r="DL79" i="36"/>
  <c r="DS79" i="36" s="1"/>
  <c r="DM47" i="36"/>
  <c r="DT47" i="36" s="1"/>
  <c r="DM36" i="36"/>
  <c r="DT36" i="36" s="1"/>
  <c r="DM52" i="36"/>
  <c r="DT52" i="36" s="1"/>
  <c r="DL96" i="36"/>
  <c r="DS96" i="36" s="1"/>
  <c r="DL104" i="36"/>
  <c r="DS104" i="36" s="1"/>
  <c r="DL112" i="36"/>
  <c r="DS112" i="36" s="1"/>
  <c r="DL93" i="36"/>
  <c r="DS93" i="36" s="1"/>
  <c r="DL101" i="36"/>
  <c r="DS101" i="36" s="1"/>
  <c r="DL109" i="36"/>
  <c r="DS109" i="36" s="1"/>
  <c r="DL117" i="36"/>
  <c r="DS117" i="36" s="1"/>
  <c r="DM58" i="36"/>
  <c r="DT58" i="36" s="1"/>
  <c r="DM50" i="36"/>
  <c r="DT50" i="36" s="1"/>
  <c r="DM42" i="36"/>
  <c r="DT42" i="36" s="1"/>
  <c r="DM61" i="36"/>
  <c r="DT61" i="36" s="1"/>
  <c r="DM53" i="36"/>
  <c r="DT53" i="36" s="1"/>
  <c r="DM45" i="36"/>
  <c r="DT45" i="36" s="1"/>
  <c r="DM37" i="36"/>
  <c r="DT37" i="36" s="1"/>
  <c r="DM118" i="36"/>
  <c r="DT118" i="36" s="1"/>
  <c r="DM114" i="36"/>
  <c r="DT114" i="36" s="1"/>
  <c r="DM110" i="36"/>
  <c r="DT110" i="36" s="1"/>
  <c r="DM106" i="36"/>
  <c r="DT106" i="36" s="1"/>
  <c r="DM102" i="36"/>
  <c r="DT102" i="36" s="1"/>
  <c r="DM98" i="36"/>
  <c r="DT98" i="36" s="1"/>
  <c r="DM94" i="36"/>
  <c r="DT94" i="36" s="1"/>
  <c r="DM117" i="36"/>
  <c r="DT117" i="36" s="1"/>
  <c r="DM113" i="36"/>
  <c r="DT113" i="36" s="1"/>
  <c r="DM109" i="36"/>
  <c r="DT109" i="36" s="1"/>
  <c r="DM105" i="36"/>
  <c r="DT105" i="36" s="1"/>
  <c r="DM101" i="36"/>
  <c r="DT101" i="36" s="1"/>
  <c r="DM97" i="36"/>
  <c r="DT97" i="36" s="1"/>
  <c r="DM93" i="36"/>
  <c r="DT93" i="36" s="1"/>
  <c r="DM40" i="36"/>
  <c r="DT40" i="36" s="1"/>
  <c r="DM48" i="36"/>
  <c r="DT48" i="36" s="1"/>
  <c r="DL111" i="36"/>
  <c r="DS111" i="36" s="1"/>
  <c r="DL95" i="36"/>
  <c r="DS95" i="36" s="1"/>
  <c r="DL106" i="36"/>
  <c r="DS106" i="36" s="1"/>
  <c r="DL115" i="36"/>
  <c r="DS115" i="36" s="1"/>
  <c r="DL99" i="36"/>
  <c r="DS99" i="36" s="1"/>
  <c r="DL110" i="36"/>
  <c r="DS110" i="36" s="1"/>
  <c r="DL66" i="36"/>
  <c r="DS66" i="36" s="1"/>
  <c r="DL82" i="36"/>
  <c r="DS82" i="36" s="1"/>
  <c r="DL71" i="36"/>
  <c r="DS71" i="36" s="1"/>
  <c r="DL87" i="36"/>
  <c r="DS87" i="36" s="1"/>
  <c r="AL146" i="32"/>
  <c r="AL138" i="32"/>
  <c r="AL130" i="32"/>
  <c r="AL122" i="32"/>
  <c r="AL111" i="32"/>
  <c r="AL95" i="32"/>
  <c r="AK96" i="32"/>
  <c r="AO96" i="32" s="1"/>
  <c r="AK131" i="32"/>
  <c r="AQ131" i="32" s="1"/>
  <c r="DS8" i="36"/>
  <c r="DS30" i="36"/>
  <c r="AL67" i="32"/>
  <c r="AL114" i="32"/>
  <c r="AL147" i="32"/>
  <c r="AK115" i="32"/>
  <c r="AO115" i="32" s="1"/>
  <c r="AK117" i="32"/>
  <c r="AO117" i="32" s="1"/>
  <c r="AK103" i="32"/>
  <c r="AP103" i="32" s="1"/>
  <c r="AK150" i="32"/>
  <c r="AQ150" i="32" s="1"/>
  <c r="AK106" i="32"/>
  <c r="AQ106" i="32" s="1"/>
  <c r="B5" i="16"/>
  <c r="K4" i="16" s="1"/>
  <c r="P54" i="32"/>
  <c r="R54" i="32" s="1"/>
  <c r="AL54" i="32" s="1"/>
  <c r="P57" i="32"/>
  <c r="R57" i="32" s="1"/>
  <c r="P152" i="32"/>
  <c r="R152" i="32" s="1"/>
  <c r="P148" i="32"/>
  <c r="R148" i="32" s="1"/>
  <c r="P140" i="32"/>
  <c r="R140" i="32" s="1"/>
  <c r="P136" i="32"/>
  <c r="R136" i="32" s="1"/>
  <c r="P120" i="32"/>
  <c r="R120" i="32" s="1"/>
  <c r="P116" i="32"/>
  <c r="R116" i="32" s="1"/>
  <c r="P108" i="32"/>
  <c r="R108" i="32" s="1"/>
  <c r="P100" i="32"/>
  <c r="R100" i="32" s="1"/>
  <c r="P92" i="32"/>
  <c r="R92" i="32" s="1"/>
  <c r="P84" i="32"/>
  <c r="R84" i="32" s="1"/>
  <c r="AL84" i="32" s="1"/>
  <c r="AL98" i="32"/>
  <c r="AK124" i="32"/>
  <c r="AO124" i="32" s="1"/>
  <c r="AK140" i="32"/>
  <c r="AO140" i="32" s="1"/>
  <c r="AL151" i="32"/>
  <c r="AK101" i="32"/>
  <c r="AQ101" i="32" s="1"/>
  <c r="AK91" i="32"/>
  <c r="AO91" i="32" s="1"/>
  <c r="AL112" i="32"/>
  <c r="AK147" i="32"/>
  <c r="AQ147" i="32" s="1"/>
  <c r="DL33" i="36"/>
  <c r="DS33" i="36" s="1"/>
  <c r="DL17" i="36"/>
  <c r="DS17" i="36" s="1"/>
  <c r="DM28" i="36"/>
  <c r="DT28" i="36" s="1"/>
  <c r="DM12" i="36"/>
  <c r="DT12" i="36" s="1"/>
  <c r="DM14" i="36"/>
  <c r="DT14" i="36" s="1"/>
  <c r="DM22" i="36"/>
  <c r="DT22" i="36" s="1"/>
  <c r="DM30" i="36"/>
  <c r="DT30" i="36" s="1"/>
  <c r="DL11" i="36"/>
  <c r="DS11" i="36" s="1"/>
  <c r="DL19" i="36"/>
  <c r="DS19" i="36" s="1"/>
  <c r="DL27" i="36"/>
  <c r="DS27" i="36" s="1"/>
  <c r="DL35" i="36"/>
  <c r="DS35" i="36" s="1"/>
  <c r="DM24" i="36"/>
  <c r="DT24" i="36" s="1"/>
  <c r="DL21" i="36"/>
  <c r="DS21" i="36" s="1"/>
  <c r="DM32" i="36"/>
  <c r="DT32" i="36" s="1"/>
  <c r="DL70" i="36"/>
  <c r="DS70" i="36" s="1"/>
  <c r="DL78" i="36"/>
  <c r="DS78" i="36" s="1"/>
  <c r="DL86" i="36"/>
  <c r="DS86" i="36" s="1"/>
  <c r="DL67" i="36"/>
  <c r="DS67" i="36" s="1"/>
  <c r="DL75" i="36"/>
  <c r="DS75" i="36" s="1"/>
  <c r="DL83" i="36"/>
  <c r="DS83" i="36" s="1"/>
  <c r="DL91" i="36"/>
  <c r="DS91" i="36" s="1"/>
  <c r="BA84" i="36"/>
  <c r="P61" i="32"/>
  <c r="R61" i="32" s="1"/>
  <c r="AL61" i="32" s="1"/>
  <c r="P144" i="32"/>
  <c r="R144" i="32" s="1"/>
  <c r="P128" i="32"/>
  <c r="R128" i="32" s="1"/>
  <c r="P112" i="32"/>
  <c r="P104" i="32"/>
  <c r="R104" i="32" s="1"/>
  <c r="P96" i="32"/>
  <c r="R96" i="32" s="1"/>
  <c r="P88" i="32"/>
  <c r="R88" i="32" s="1"/>
  <c r="P85" i="32"/>
  <c r="R85" i="32" s="1"/>
  <c r="P109" i="32"/>
  <c r="R109" i="32" s="1"/>
  <c r="P62" i="32"/>
  <c r="R62" i="32" s="1"/>
  <c r="AL62" i="32" s="1"/>
  <c r="BA52" i="36"/>
  <c r="CF22" i="36"/>
  <c r="BA31" i="36"/>
  <c r="CD55" i="36"/>
  <c r="DL68" i="36"/>
  <c r="DS68" i="36" s="1"/>
  <c r="DL72" i="36"/>
  <c r="DS72" i="36" s="1"/>
  <c r="DL76" i="36"/>
  <c r="DS76" i="36" s="1"/>
  <c r="DL80" i="36"/>
  <c r="DS80" i="36" s="1"/>
  <c r="DL84" i="36"/>
  <c r="DS84" i="36" s="1"/>
  <c r="DL88" i="36"/>
  <c r="DS88" i="36" s="1"/>
  <c r="DL65" i="36"/>
  <c r="DS65" i="36" s="1"/>
  <c r="DL69" i="36"/>
  <c r="DS69" i="36" s="1"/>
  <c r="DL73" i="36"/>
  <c r="DS73" i="36" s="1"/>
  <c r="DL77" i="36"/>
  <c r="DS77" i="36" s="1"/>
  <c r="DL81" i="36"/>
  <c r="DS81" i="36" s="1"/>
  <c r="DL85" i="36"/>
  <c r="DS85" i="36" s="1"/>
  <c r="BB55" i="36"/>
  <c r="AL144" i="32"/>
  <c r="AL140" i="32"/>
  <c r="AL136" i="32"/>
  <c r="AL132" i="32"/>
  <c r="AL128" i="32"/>
  <c r="AL124" i="32"/>
  <c r="AL120" i="32"/>
  <c r="AL115" i="32"/>
  <c r="AL107" i="32"/>
  <c r="AL99" i="32"/>
  <c r="AL91" i="32"/>
  <c r="P105" i="32"/>
  <c r="R105" i="32" s="1"/>
  <c r="P121" i="32"/>
  <c r="R121" i="32" s="1"/>
  <c r="P133" i="32"/>
  <c r="R133" i="32" s="1"/>
  <c r="P137" i="32"/>
  <c r="R137" i="32" s="1"/>
  <c r="P149" i="32"/>
  <c r="P153" i="32"/>
  <c r="R153" i="32" s="1"/>
  <c r="P106" i="32"/>
  <c r="R106" i="32" s="1"/>
  <c r="P69" i="32"/>
  <c r="R69" i="32" s="1"/>
  <c r="AL69" i="32" s="1"/>
  <c r="AL90" i="32"/>
  <c r="AL106" i="32"/>
  <c r="AK120" i="32"/>
  <c r="AQ120" i="32" s="1"/>
  <c r="AK128" i="32"/>
  <c r="AP128" i="32" s="1"/>
  <c r="AK136" i="32"/>
  <c r="AP136" i="32" s="1"/>
  <c r="AK144" i="32"/>
  <c r="AP144" i="32" s="1"/>
  <c r="AL149" i="32"/>
  <c r="AL153" i="32"/>
  <c r="AK87" i="32"/>
  <c r="AQ87" i="32" s="1"/>
  <c r="AK92" i="32"/>
  <c r="AP92" i="32" s="1"/>
  <c r="AK109" i="32"/>
  <c r="AO109" i="32" s="1"/>
  <c r="AK88" i="32"/>
  <c r="AP88" i="32" s="1"/>
  <c r="AK114" i="32"/>
  <c r="AO114" i="32" s="1"/>
  <c r="AL96" i="32"/>
  <c r="AK123" i="32"/>
  <c r="AQ123" i="32" s="1"/>
  <c r="AK139" i="32"/>
  <c r="AQ139" i="32" s="1"/>
  <c r="AK151" i="32"/>
  <c r="AP151" i="32" s="1"/>
  <c r="AK98" i="32"/>
  <c r="AQ98" i="32" s="1"/>
  <c r="AK113" i="32"/>
  <c r="AQ113" i="32" s="1"/>
  <c r="AK133" i="32"/>
  <c r="AQ133" i="32" s="1"/>
  <c r="AK99" i="32"/>
  <c r="AO99" i="32" s="1"/>
  <c r="AK89" i="32"/>
  <c r="AO89" i="32" s="1"/>
  <c r="AK121" i="32"/>
  <c r="AP121" i="32" s="1"/>
  <c r="P77" i="32"/>
  <c r="R77" i="32" s="1"/>
  <c r="AL77" i="32" s="1"/>
  <c r="P141" i="32"/>
  <c r="R141" i="32" s="1"/>
  <c r="P101" i="32"/>
  <c r="R101" i="32" s="1"/>
  <c r="P97" i="32"/>
  <c r="R97" i="32" s="1"/>
  <c r="P113" i="32"/>
  <c r="R113" i="32" s="1"/>
  <c r="P79" i="32"/>
  <c r="R79" i="32" s="1"/>
  <c r="AL79" i="32" s="1"/>
  <c r="P71" i="32"/>
  <c r="R71" i="32" s="1"/>
  <c r="AL71" i="32" s="1"/>
  <c r="AK90" i="32"/>
  <c r="AQ90" i="32" s="1"/>
  <c r="P86" i="32"/>
  <c r="R86" i="32" s="1"/>
  <c r="P102" i="32"/>
  <c r="R102" i="32" s="1"/>
  <c r="P55" i="32"/>
  <c r="R55" i="32" s="1"/>
  <c r="AL55" i="32" s="1"/>
  <c r="AL145" i="32"/>
  <c r="AL143" i="32"/>
  <c r="AL141" i="32"/>
  <c r="AL139" i="32"/>
  <c r="AL137" i="32"/>
  <c r="AL135" i="32"/>
  <c r="AL133" i="32"/>
  <c r="AL131" i="32"/>
  <c r="AL129" i="32"/>
  <c r="AL127" i="32"/>
  <c r="AL125" i="32"/>
  <c r="AL123" i="32"/>
  <c r="AL121" i="32"/>
  <c r="AL119" i="32"/>
  <c r="AL117" i="32"/>
  <c r="AL113" i="32"/>
  <c r="AL109" i="32"/>
  <c r="AL105" i="32"/>
  <c r="AL101" i="32"/>
  <c r="AL97" i="32"/>
  <c r="AL93" i="32"/>
  <c r="AL89" i="32"/>
  <c r="AL85" i="32"/>
  <c r="AL57" i="32"/>
  <c r="AL86" i="32"/>
  <c r="AL94" i="32"/>
  <c r="AL102" i="32"/>
  <c r="AL110" i="32"/>
  <c r="AK118" i="32"/>
  <c r="AO118" i="32" s="1"/>
  <c r="AK122" i="32"/>
  <c r="AO122" i="32" s="1"/>
  <c r="AK126" i="32"/>
  <c r="AP126" i="32" s="1"/>
  <c r="AK130" i="32"/>
  <c r="AP130" i="32" s="1"/>
  <c r="AK134" i="32"/>
  <c r="AO134" i="32" s="1"/>
  <c r="AK138" i="32"/>
  <c r="AP138" i="32" s="1"/>
  <c r="AK142" i="32"/>
  <c r="AO142" i="32" s="1"/>
  <c r="AK146" i="32"/>
  <c r="AP146" i="32" s="1"/>
  <c r="AL148" i="32"/>
  <c r="AL150" i="32"/>
  <c r="AL152" i="32"/>
  <c r="AK97" i="32"/>
  <c r="AP97" i="32" s="1"/>
  <c r="AK102" i="32"/>
  <c r="AO102" i="32" s="1"/>
  <c r="AK110" i="32"/>
  <c r="AP110" i="32" s="1"/>
  <c r="AK94" i="32"/>
  <c r="AO94" i="32" s="1"/>
  <c r="AK86" i="32"/>
  <c r="AO86" i="32" s="1"/>
  <c r="AK105" i="32"/>
  <c r="AP105" i="32" s="1"/>
  <c r="AL88" i="32"/>
  <c r="AL104" i="32"/>
  <c r="AK119" i="32"/>
  <c r="AO119" i="32" s="1"/>
  <c r="AK127" i="32"/>
  <c r="AP127" i="32" s="1"/>
  <c r="AK135" i="32"/>
  <c r="AP135" i="32" s="1"/>
  <c r="AK143" i="32"/>
  <c r="AP143" i="32" s="1"/>
  <c r="AK149" i="32"/>
  <c r="AO149" i="32" s="1"/>
  <c r="AK153" i="32"/>
  <c r="AP153" i="32" s="1"/>
  <c r="AK100" i="32"/>
  <c r="AO100" i="32" s="1"/>
  <c r="AK108" i="32"/>
  <c r="AO108" i="32" s="1"/>
  <c r="AK104" i="32"/>
  <c r="AP104" i="32" s="1"/>
  <c r="AL100" i="32"/>
  <c r="AK125" i="32"/>
  <c r="AP125" i="32" s="1"/>
  <c r="AK141" i="32"/>
  <c r="AO141" i="32" s="1"/>
  <c r="AK152" i="32"/>
  <c r="AQ152" i="32" s="1"/>
  <c r="AK111" i="32"/>
  <c r="AO111" i="32" s="1"/>
  <c r="AL92" i="32"/>
  <c r="AK137" i="32"/>
  <c r="AO137" i="32" s="1"/>
  <c r="AK129" i="32"/>
  <c r="AK112" i="32"/>
  <c r="AK95" i="32"/>
  <c r="AL108" i="32"/>
  <c r="AK145" i="32"/>
  <c r="AK116" i="32"/>
  <c r="AK107" i="32"/>
  <c r="R149" i="32"/>
  <c r="R112" i="32"/>
  <c r="R94" i="32"/>
  <c r="R110" i="32"/>
  <c r="R118" i="32"/>
  <c r="R126" i="32"/>
  <c r="R134" i="32"/>
  <c r="R142" i="32"/>
  <c r="R150" i="32"/>
  <c r="R132" i="32"/>
  <c r="P129" i="32"/>
  <c r="R129" i="32" s="1"/>
  <c r="P145" i="32"/>
  <c r="R145" i="32" s="1"/>
  <c r="P58" i="32"/>
  <c r="R58" i="32" s="1"/>
  <c r="AL58" i="32" s="1"/>
  <c r="P93" i="32"/>
  <c r="R93" i="32" s="1"/>
  <c r="P125" i="32"/>
  <c r="R125" i="32" s="1"/>
  <c r="DL64" i="36"/>
  <c r="DS64" i="36" s="1"/>
  <c r="DM67" i="36"/>
  <c r="DT67" i="36" s="1"/>
  <c r="DM71" i="36"/>
  <c r="DT71" i="36" s="1"/>
  <c r="DM75" i="36"/>
  <c r="DT75" i="36" s="1"/>
  <c r="DM79" i="36"/>
  <c r="DT79" i="36" s="1"/>
  <c r="DM83" i="36"/>
  <c r="DT83" i="36" s="1"/>
  <c r="DM87" i="36"/>
  <c r="DT87" i="36" s="1"/>
  <c r="DM64" i="36"/>
  <c r="DT64" i="36" s="1"/>
  <c r="DM68" i="36"/>
  <c r="DT68" i="36" s="1"/>
  <c r="DM72" i="36"/>
  <c r="DT72" i="36" s="1"/>
  <c r="DM76" i="36"/>
  <c r="DT76" i="36" s="1"/>
  <c r="DM80" i="36"/>
  <c r="DT80" i="36" s="1"/>
  <c r="DM84" i="36"/>
  <c r="DT84" i="36" s="1"/>
  <c r="DM88" i="36"/>
  <c r="DT88" i="36" s="1"/>
  <c r="DM65" i="36"/>
  <c r="DT65" i="36" s="1"/>
  <c r="DM73" i="36"/>
  <c r="DT73" i="36" s="1"/>
  <c r="DM81" i="36"/>
  <c r="DT81" i="36" s="1"/>
  <c r="DM89" i="36"/>
  <c r="DT89" i="36" s="1"/>
  <c r="DM70" i="36"/>
  <c r="DT70" i="36" s="1"/>
  <c r="DM78" i="36"/>
  <c r="DT78" i="36" s="1"/>
  <c r="DM86" i="36"/>
  <c r="DT86" i="36" s="1"/>
  <c r="DM69" i="36"/>
  <c r="DT69" i="36" s="1"/>
  <c r="DM77" i="36"/>
  <c r="DT77" i="36" s="1"/>
  <c r="DM85" i="36"/>
  <c r="DT85" i="36" s="1"/>
  <c r="DM66" i="36"/>
  <c r="DT66" i="36" s="1"/>
  <c r="DM74" i="36"/>
  <c r="DT74" i="36" s="1"/>
  <c r="DM82" i="36"/>
  <c r="DT82" i="36" s="1"/>
  <c r="DM90" i="36"/>
  <c r="DT90" i="36" s="1"/>
  <c r="BD82" i="36"/>
  <c r="AQ148" i="32"/>
  <c r="AP148" i="32"/>
  <c r="P90" i="32"/>
  <c r="R90" i="32" s="1"/>
  <c r="P98" i="32"/>
  <c r="R98" i="32" s="1"/>
  <c r="P65" i="32"/>
  <c r="R65" i="32" s="1"/>
  <c r="AL65" i="32" s="1"/>
  <c r="P59" i="32"/>
  <c r="R59" i="32" s="1"/>
  <c r="AL59" i="32" s="1"/>
  <c r="CH71" i="36"/>
  <c r="CK51" i="36"/>
  <c r="P89" i="32"/>
  <c r="R89" i="32" s="1"/>
  <c r="P73" i="32"/>
  <c r="R73" i="32" s="1"/>
  <c r="AL73" i="32" s="1"/>
  <c r="CG21" i="36"/>
  <c r="A9" i="16"/>
  <c r="CF56" i="36"/>
  <c r="BD75" i="36"/>
  <c r="BD83" i="36"/>
  <c r="P64" i="32"/>
  <c r="R64" i="32" s="1"/>
  <c r="AL64" i="32" s="1"/>
  <c r="P60" i="32"/>
  <c r="R60" i="32" s="1"/>
  <c r="AL60" i="32" s="1"/>
  <c r="P56" i="32"/>
  <c r="R56" i="32" s="1"/>
  <c r="AL56" i="32" s="1"/>
  <c r="P151" i="32"/>
  <c r="R151" i="32" s="1"/>
  <c r="P147" i="32"/>
  <c r="R147" i="32" s="1"/>
  <c r="P143" i="32"/>
  <c r="R143" i="32" s="1"/>
  <c r="P139" i="32"/>
  <c r="R139" i="32" s="1"/>
  <c r="P135" i="32"/>
  <c r="R135" i="32" s="1"/>
  <c r="P131" i="32"/>
  <c r="R131" i="32" s="1"/>
  <c r="P127" i="32"/>
  <c r="R127" i="32" s="1"/>
  <c r="P123" i="32"/>
  <c r="R123" i="32" s="1"/>
  <c r="P119" i="32"/>
  <c r="R119" i="32" s="1"/>
  <c r="P115" i="32"/>
  <c r="R115" i="32" s="1"/>
  <c r="P111" i="32"/>
  <c r="R111" i="32" s="1"/>
  <c r="P107" i="32"/>
  <c r="R107" i="32" s="1"/>
  <c r="P103" i="32"/>
  <c r="R103" i="32" s="1"/>
  <c r="P99" i="32"/>
  <c r="R99" i="32" s="1"/>
  <c r="P95" i="32"/>
  <c r="R95" i="32" s="1"/>
  <c r="P91" i="32"/>
  <c r="R91" i="32" s="1"/>
  <c r="P87" i="32"/>
  <c r="R87" i="32" s="1"/>
  <c r="P83" i="32"/>
  <c r="R83" i="32" s="1"/>
  <c r="AL83" i="32" s="1"/>
  <c r="P75" i="32"/>
  <c r="R75" i="32" s="1"/>
  <c r="AL75" i="32" s="1"/>
  <c r="P114" i="32"/>
  <c r="R114" i="32" s="1"/>
  <c r="P122" i="32"/>
  <c r="R122" i="32" s="1"/>
  <c r="P130" i="32"/>
  <c r="R130" i="32" s="1"/>
  <c r="P138" i="32"/>
  <c r="R138" i="32" s="1"/>
  <c r="P146" i="32"/>
  <c r="R146" i="32" s="1"/>
  <c r="P81" i="32"/>
  <c r="R81" i="32" s="1"/>
  <c r="AL81" i="32" s="1"/>
  <c r="BH65" i="36"/>
  <c r="BD76" i="36"/>
  <c r="BG66" i="36"/>
  <c r="BG55" i="36"/>
  <c r="BG61" i="36"/>
  <c r="BA65" i="36"/>
  <c r="BG44" i="36"/>
  <c r="BA80" i="36"/>
  <c r="BH44" i="36"/>
  <c r="BG9" i="36"/>
  <c r="CH75" i="36"/>
  <c r="BD86" i="36"/>
  <c r="CJ43" i="36"/>
  <c r="CK75" i="36"/>
  <c r="CH82" i="36"/>
  <c r="BD84" i="36"/>
  <c r="CH72" i="36"/>
  <c r="BF86" i="36"/>
  <c r="BF79" i="36"/>
  <c r="CG71" i="36"/>
  <c r="BG45" i="36"/>
  <c r="BD71" i="36"/>
  <c r="CJ75" i="36"/>
  <c r="CH76" i="36"/>
  <c r="CG72" i="36"/>
  <c r="CH86" i="36"/>
  <c r="CJ72" i="36"/>
  <c r="CJ76" i="36"/>
  <c r="BB29" i="36"/>
  <c r="CI12" i="36"/>
  <c r="CG66" i="36"/>
  <c r="BB63" i="36"/>
  <c r="CF25" i="36"/>
  <c r="BA82" i="36"/>
  <c r="CF72" i="36"/>
  <c r="BG60" i="36"/>
  <c r="CE26" i="36"/>
  <c r="BE32" i="36"/>
  <c r="BH55" i="36"/>
  <c r="BH75" i="36"/>
  <c r="CG16" i="36"/>
  <c r="BG76" i="36"/>
  <c r="BH15" i="36"/>
  <c r="CH85" i="36"/>
  <c r="CF83" i="36"/>
  <c r="CG65" i="36"/>
  <c r="CI62" i="36"/>
  <c r="CG60" i="36"/>
  <c r="CD62" i="36"/>
  <c r="CH83" i="36"/>
  <c r="CF73" i="36"/>
  <c r="CJ73" i="36"/>
  <c r="CJ71" i="36"/>
  <c r="BE45" i="36"/>
  <c r="BF39" i="36"/>
  <c r="CK69" i="36"/>
  <c r="CK11" i="36"/>
  <c r="CF50" i="36"/>
  <c r="BB50" i="36"/>
  <c r="CK73" i="36"/>
  <c r="BF65" i="36"/>
  <c r="CF49" i="36"/>
  <c r="CF71" i="36"/>
  <c r="BG74" i="36"/>
  <c r="BB66" i="36"/>
  <c r="CF76" i="36"/>
  <c r="CF52" i="36"/>
  <c r="BC73" i="36"/>
  <c r="BG64" i="36"/>
  <c r="CK85" i="36"/>
  <c r="CE51" i="36"/>
  <c r="BE65" i="36"/>
  <c r="BG63" i="36"/>
  <c r="CJ56" i="36"/>
  <c r="CJ51" i="36"/>
  <c r="BE53" i="36"/>
  <c r="CD16" i="36"/>
  <c r="CF81" i="36"/>
  <c r="CK29" i="36"/>
  <c r="BE15" i="36"/>
  <c r="CI85" i="36"/>
  <c r="BH64" i="36"/>
  <c r="CG59" i="36"/>
  <c r="CK49" i="36"/>
  <c r="CD10" i="36"/>
  <c r="BG16" i="36"/>
  <c r="BG14" i="36"/>
  <c r="BF15" i="36"/>
  <c r="CD12" i="36"/>
  <c r="CG73" i="36"/>
  <c r="CG62" i="36"/>
  <c r="BC84" i="36"/>
  <c r="BG73" i="36"/>
  <c r="BE14" i="36"/>
  <c r="BA86" i="36"/>
  <c r="CI50" i="36"/>
  <c r="CD72" i="36"/>
  <c r="CG76" i="36"/>
  <c r="CI34" i="36"/>
  <c r="BH45" i="36"/>
  <c r="BG50" i="36"/>
  <c r="BG56" i="36"/>
  <c r="CD69" i="36"/>
  <c r="BF82" i="36"/>
  <c r="BH84" i="36"/>
  <c r="CF14" i="36"/>
  <c r="CF12" i="36"/>
  <c r="CK12" i="36"/>
  <c r="CG9" i="36"/>
  <c r="BG34" i="36"/>
  <c r="BD79" i="36"/>
  <c r="BF84" i="36"/>
  <c r="BG84" i="36"/>
  <c r="BG70" i="36"/>
  <c r="BF55" i="36"/>
  <c r="CG75" i="36"/>
  <c r="CD9" i="36"/>
  <c r="BE75" i="36"/>
  <c r="M6" i="36"/>
  <c r="BB15" i="36"/>
  <c r="CG15" i="36"/>
  <c r="BF75" i="36"/>
  <c r="BB70" i="36"/>
  <c r="BB45" i="36"/>
  <c r="CD33" i="36"/>
  <c r="CE45" i="36"/>
  <c r="CD75" i="36"/>
  <c r="BD42" i="36"/>
  <c r="CD52" i="36"/>
  <c r="BF44" i="36"/>
  <c r="BE62" i="36"/>
  <c r="CE19" i="36"/>
  <c r="CK20" i="36"/>
  <c r="BC51" i="36"/>
  <c r="BG52" i="36"/>
  <c r="CD73" i="36"/>
  <c r="CH69" i="36"/>
  <c r="BE82" i="36"/>
  <c r="BG51" i="36"/>
  <c r="CG63" i="36"/>
  <c r="CG44" i="36"/>
  <c r="CF16" i="36"/>
  <c r="BD81" i="36"/>
  <c r="BH81" i="36"/>
  <c r="CH11" i="36"/>
  <c r="CI82" i="36"/>
  <c r="CD74" i="36"/>
  <c r="CD70" i="36"/>
  <c r="CH61" i="36"/>
  <c r="CG82" i="36"/>
  <c r="CG86" i="36"/>
  <c r="CG69" i="36"/>
  <c r="BE11" i="36"/>
  <c r="BE55" i="36"/>
  <c r="CE52" i="36"/>
  <c r="CG81" i="36"/>
  <c r="CJ55" i="36"/>
  <c r="CG49" i="36"/>
  <c r="BC56" i="36"/>
  <c r="BE71" i="36"/>
  <c r="BC54" i="36"/>
  <c r="BE54" i="36"/>
  <c r="BB71" i="36"/>
  <c r="BF13" i="36"/>
  <c r="CF82" i="36"/>
  <c r="CJ83" i="36"/>
  <c r="CE56" i="36"/>
  <c r="BF66" i="36"/>
  <c r="CG74" i="36"/>
  <c r="BH42" i="36"/>
  <c r="CJ52" i="36"/>
  <c r="CH34" i="36"/>
  <c r="CK34" i="36"/>
  <c r="BH63" i="36"/>
  <c r="BD41" i="36"/>
  <c r="CH64" i="36"/>
  <c r="CG39" i="36"/>
  <c r="CG64" i="36"/>
  <c r="CD29" i="36"/>
  <c r="BB51" i="36"/>
  <c r="BE52" i="36"/>
  <c r="BE56" i="36"/>
  <c r="BA55" i="36"/>
  <c r="BC71" i="36"/>
  <c r="BE73" i="36"/>
  <c r="CK40" i="36"/>
  <c r="BC63" i="36"/>
  <c r="CK14" i="36"/>
  <c r="CJ45" i="36"/>
  <c r="CI10" i="36"/>
  <c r="CJ9" i="36"/>
  <c r="BH14" i="36"/>
  <c r="BB16" i="36"/>
  <c r="BA56" i="36"/>
  <c r="BD45" i="36"/>
  <c r="CF15" i="36"/>
  <c r="BF35" i="36"/>
  <c r="BH34" i="36"/>
  <c r="CD14" i="36"/>
  <c r="CE16" i="36"/>
  <c r="CG10" i="36"/>
  <c r="BG62" i="36"/>
  <c r="BG36" i="36"/>
  <c r="BA85" i="36"/>
  <c r="CE50" i="36"/>
  <c r="CK50" i="36"/>
  <c r="BF62" i="36"/>
  <c r="CI31" i="36"/>
  <c r="BH35" i="36"/>
  <c r="BE51" i="36"/>
  <c r="BF85" i="36"/>
  <c r="BH62" i="36"/>
  <c r="BD14" i="36"/>
  <c r="BF61" i="36"/>
  <c r="BE61" i="36"/>
  <c r="BF14" i="36"/>
  <c r="CF24" i="36"/>
  <c r="CH50" i="36"/>
  <c r="CI33" i="36"/>
  <c r="BC14" i="36"/>
  <c r="BH74" i="36"/>
  <c r="BH52" i="36"/>
  <c r="BE12" i="36"/>
  <c r="CD22" i="36"/>
  <c r="BG49" i="36"/>
  <c r="BE50" i="36"/>
  <c r="CG11" i="36"/>
  <c r="BF25" i="36"/>
  <c r="CE55" i="36"/>
  <c r="CD53" i="36"/>
  <c r="BD56" i="36"/>
  <c r="CG50" i="36"/>
  <c r="BH71" i="36"/>
  <c r="CD49" i="36"/>
  <c r="BF42" i="36"/>
  <c r="CD56" i="36"/>
  <c r="BC49" i="36"/>
  <c r="BD51" i="36"/>
  <c r="CD51" i="36"/>
  <c r="BG54" i="36"/>
  <c r="CG51" i="36"/>
  <c r="BE74" i="36"/>
  <c r="CF55" i="36"/>
  <c r="BE72" i="36"/>
  <c r="BD55" i="36"/>
  <c r="BB53" i="36"/>
  <c r="BC74" i="36"/>
  <c r="BF73" i="36"/>
  <c r="CJ50" i="36"/>
  <c r="BF60" i="36"/>
  <c r="BB64" i="36"/>
  <c r="BE64" i="36"/>
  <c r="BG42" i="36"/>
  <c r="CI30" i="36"/>
  <c r="CG52" i="36"/>
  <c r="CK52" i="36"/>
  <c r="CD34" i="36"/>
  <c r="BE60" i="36"/>
  <c r="BA63" i="36"/>
  <c r="BE63" i="36"/>
  <c r="BF24" i="36"/>
  <c r="BH24" i="36"/>
  <c r="CG19" i="36"/>
  <c r="CG55" i="36"/>
  <c r="CK55" i="36"/>
  <c r="BF41" i="36"/>
  <c r="CK45" i="36"/>
  <c r="CF29" i="36"/>
  <c r="BF51" i="36"/>
  <c r="BC52" i="36"/>
  <c r="BF53" i="36"/>
  <c r="BE49" i="36"/>
  <c r="BD53" i="36"/>
  <c r="BC53" i="36"/>
  <c r="BC72" i="36"/>
  <c r="BF71" i="36"/>
  <c r="BD73" i="36"/>
  <c r="BB73" i="36"/>
  <c r="BH73" i="36"/>
  <c r="BH60" i="36"/>
  <c r="BG71" i="36"/>
  <c r="CG56" i="36"/>
  <c r="CG14" i="36"/>
  <c r="CI16" i="36"/>
  <c r="CE10" i="36"/>
  <c r="CE11" i="36"/>
  <c r="BC75" i="36"/>
  <c r="BA53" i="36"/>
  <c r="BF21" i="36"/>
  <c r="BB24" i="36"/>
  <c r="BF19" i="36"/>
  <c r="BF23" i="36"/>
  <c r="BF22" i="36"/>
  <c r="CD54" i="36"/>
  <c r="CH45" i="36"/>
  <c r="CG30" i="36"/>
  <c r="CF10" i="36"/>
  <c r="CJ42" i="36"/>
  <c r="BD39" i="36"/>
  <c r="BE30" i="36"/>
  <c r="CE9" i="36"/>
  <c r="CE12" i="36"/>
  <c r="CE14" i="36"/>
  <c r="CD50" i="36"/>
  <c r="CI29" i="36"/>
  <c r="BG53" i="36"/>
  <c r="BB65" i="36"/>
  <c r="CH55" i="36"/>
  <c r="BA81" i="36"/>
  <c r="BD49" i="36"/>
  <c r="CI9" i="36"/>
  <c r="BC29" i="36"/>
  <c r="BB81" i="36"/>
  <c r="BE80" i="36"/>
  <c r="BB85" i="36"/>
  <c r="BG80" i="36"/>
  <c r="BB84" i="36"/>
  <c r="BD80" i="36"/>
  <c r="BC80" i="36"/>
  <c r="CF86" i="36"/>
  <c r="BB86" i="36"/>
  <c r="BE24" i="36"/>
  <c r="BD43" i="36"/>
  <c r="BF46" i="36"/>
  <c r="CF30" i="36"/>
  <c r="CF63" i="36"/>
  <c r="CE69" i="36"/>
  <c r="CH29" i="36"/>
  <c r="CH51" i="36"/>
  <c r="CG41" i="36"/>
  <c r="CH81" i="36"/>
  <c r="CI81" i="36"/>
  <c r="CF85" i="36"/>
  <c r="CE53" i="36"/>
  <c r="CE33" i="36"/>
  <c r="CK30" i="36"/>
  <c r="BA44" i="36"/>
  <c r="BD44" i="36"/>
  <c r="BA24" i="36"/>
  <c r="CE25" i="36"/>
  <c r="CI20" i="36"/>
  <c r="CD20" i="36"/>
  <c r="CH22" i="36"/>
  <c r="BC46" i="36"/>
  <c r="BH41" i="36"/>
  <c r="BF45" i="36"/>
  <c r="CF53" i="36"/>
  <c r="CK63" i="36"/>
  <c r="CI63" i="36"/>
  <c r="CE21" i="36"/>
  <c r="CG46" i="36"/>
  <c r="BB35" i="36"/>
  <c r="CF69" i="36"/>
  <c r="CD71" i="36"/>
  <c r="CJ69" i="36"/>
  <c r="BF80" i="36"/>
  <c r="BH80" i="36"/>
  <c r="BB82" i="36"/>
  <c r="CK59" i="36"/>
  <c r="BB42" i="36"/>
  <c r="CI15" i="36"/>
  <c r="CH20" i="36"/>
  <c r="CJ12" i="36"/>
  <c r="CH66" i="36"/>
  <c r="CE15" i="36"/>
  <c r="CF9" i="36"/>
  <c r="CD11" i="36"/>
  <c r="CI11" i="36"/>
  <c r="BB79" i="36"/>
  <c r="BB80" i="36"/>
  <c r="BC11" i="36"/>
  <c r="CK82" i="36"/>
  <c r="CG83" i="36"/>
  <c r="BE13" i="36"/>
  <c r="G6" i="36"/>
  <c r="CK15" i="36"/>
  <c r="BC81" i="36"/>
  <c r="AM8" i="32"/>
  <c r="AL35" i="32"/>
  <c r="AL38" i="32" s="1"/>
  <c r="P74" i="32"/>
  <c r="R74" i="32" s="1"/>
  <c r="AL74" i="32" s="1"/>
  <c r="P68" i="32"/>
  <c r="R68" i="32" s="1"/>
  <c r="AL68" i="32" s="1"/>
  <c r="P70" i="32"/>
  <c r="R70" i="32" s="1"/>
  <c r="AL70" i="32" s="1"/>
  <c r="P80" i="32"/>
  <c r="R80" i="32" s="1"/>
  <c r="AL80" i="32" s="1"/>
  <c r="P76" i="32"/>
  <c r="R76" i="32" s="1"/>
  <c r="AL76" i="32" s="1"/>
  <c r="P72" i="32"/>
  <c r="R72" i="32" s="1"/>
  <c r="AL72" i="32" s="1"/>
  <c r="P82" i="32"/>
  <c r="R82" i="32" s="1"/>
  <c r="AL82" i="32" s="1"/>
  <c r="P78" i="32"/>
  <c r="R78" i="32" s="1"/>
  <c r="AL78" i="32" s="1"/>
  <c r="P66" i="32"/>
  <c r="R66" i="32" s="1"/>
  <c r="AL66" i="32" s="1"/>
  <c r="BE34" i="36"/>
  <c r="BA79" i="36"/>
  <c r="BC79" i="36"/>
  <c r="BD72" i="36"/>
  <c r="BF72" i="36"/>
  <c r="BA50" i="36"/>
  <c r="BD50" i="36"/>
  <c r="CJ79" i="36"/>
  <c r="CH44" i="36"/>
  <c r="CH41" i="36"/>
  <c r="BD31" i="36"/>
  <c r="BD29" i="36"/>
  <c r="BF81" i="36"/>
  <c r="BG72" i="36"/>
  <c r="BB56" i="36"/>
  <c r="BC82" i="36"/>
  <c r="BD74" i="36"/>
  <c r="BF74" i="36"/>
  <c r="BF76" i="36"/>
  <c r="BB52" i="36"/>
  <c r="BD52" i="36"/>
  <c r="BA49" i="36"/>
  <c r="BB49" i="36"/>
  <c r="BH12" i="36"/>
  <c r="BH13" i="36"/>
  <c r="CJ63" i="36"/>
  <c r="CE63" i="36"/>
  <c r="CE32" i="36"/>
  <c r="BF64" i="36"/>
  <c r="BF63" i="36"/>
  <c r="CJ82" i="36"/>
  <c r="CJ86" i="36"/>
  <c r="BD24" i="36"/>
  <c r="CG23" i="36"/>
  <c r="CE29" i="36"/>
  <c r="BE33" i="36"/>
  <c r="CH30" i="36"/>
  <c r="CE36" i="36"/>
  <c r="BE29" i="36"/>
  <c r="BE44" i="36"/>
  <c r="CH49" i="36"/>
  <c r="CI41" i="36"/>
  <c r="CG34" i="36"/>
  <c r="CD32" i="36"/>
  <c r="CJ44" i="36"/>
  <c r="BF33" i="36"/>
  <c r="BD15" i="36"/>
  <c r="BD10" i="36"/>
  <c r="BC12" i="36"/>
  <c r="BF12" i="36"/>
  <c r="CF84" i="36"/>
  <c r="CK81" i="36"/>
  <c r="CD85" i="36"/>
  <c r="CJ85" i="36"/>
  <c r="CJ84" i="36"/>
  <c r="CE54" i="36"/>
  <c r="CI72" i="36"/>
  <c r="BF29" i="36"/>
  <c r="BA42" i="36"/>
  <c r="BC42" i="36"/>
  <c r="CD30" i="36"/>
  <c r="CE31" i="36"/>
  <c r="CG54" i="36"/>
  <c r="CI52" i="36"/>
  <c r="CI32" i="36"/>
  <c r="CE34" i="36"/>
  <c r="BC44" i="36"/>
  <c r="BF20" i="36"/>
  <c r="CF20" i="36"/>
  <c r="CI22" i="36"/>
  <c r="CF40" i="36"/>
  <c r="BC40" i="36"/>
  <c r="BC39" i="36"/>
  <c r="BE41" i="36"/>
  <c r="BA45" i="36"/>
  <c r="CF54" i="36"/>
  <c r="CI51" i="36"/>
  <c r="CD63" i="36"/>
  <c r="CH60" i="36"/>
  <c r="CG45" i="36"/>
  <c r="CD44" i="36"/>
  <c r="CF44" i="36"/>
  <c r="CF23" i="36"/>
  <c r="CE42" i="36"/>
  <c r="CJ62" i="36"/>
  <c r="CG29" i="36"/>
  <c r="CD31" i="36"/>
  <c r="BC34" i="36"/>
  <c r="BE36" i="36"/>
  <c r="BH33" i="36"/>
  <c r="BE35" i="36"/>
  <c r="CI49" i="36"/>
  <c r="CI69" i="36"/>
  <c r="BG12" i="36"/>
  <c r="BA10" i="36"/>
  <c r="CJ30" i="36"/>
  <c r="CK24" i="36"/>
  <c r="BH39" i="36"/>
  <c r="BG41" i="36"/>
  <c r="CH52" i="36"/>
  <c r="CG53" i="36"/>
  <c r="CJ14" i="36"/>
  <c r="CE24" i="36"/>
  <c r="CJ22" i="36"/>
  <c r="CG13" i="36"/>
  <c r="CJ40" i="36"/>
  <c r="CH10" i="36"/>
  <c r="CD15" i="36"/>
  <c r="CF13" i="36"/>
  <c r="CD81" i="36"/>
  <c r="BB11" i="36"/>
  <c r="CF34" i="36"/>
  <c r="CJ10" i="36"/>
  <c r="CJ11" i="36"/>
  <c r="CJ16" i="36"/>
  <c r="CJ49" i="36"/>
  <c r="CH62" i="36"/>
  <c r="BA16" i="36"/>
  <c r="BA9" i="36"/>
  <c r="BA14" i="36"/>
  <c r="CE35" i="36"/>
  <c r="CF79" i="36"/>
  <c r="CD35" i="36"/>
  <c r="CJ29" i="36"/>
  <c r="CH21" i="36"/>
  <c r="CG85" i="36"/>
  <c r="BA34" i="36"/>
  <c r="BH9" i="36"/>
  <c r="CJ81" i="36"/>
  <c r="BC50" i="36"/>
  <c r="BA51" i="36"/>
  <c r="CE49" i="36"/>
  <c r="BF16" i="36"/>
  <c r="BC45" i="36"/>
  <c r="CI83" i="36"/>
  <c r="CE44" i="36"/>
  <c r="BF36" i="36"/>
  <c r="BC55" i="36"/>
  <c r="BH21" i="36"/>
  <c r="BC26" i="36"/>
  <c r="BB21" i="36"/>
  <c r="BG21" i="36"/>
  <c r="BE21" i="36"/>
  <c r="BC21" i="36"/>
  <c r="BA21" i="36"/>
  <c r="BD21" i="36"/>
  <c r="BH85" i="36"/>
  <c r="BE85" i="36"/>
  <c r="BC85" i="36"/>
  <c r="BG81" i="36"/>
  <c r="BG85" i="36"/>
  <c r="BG86" i="36"/>
  <c r="BG82" i="36"/>
  <c r="BG79" i="36"/>
  <c r="BH83" i="36"/>
  <c r="BE81" i="36"/>
  <c r="BC83" i="36"/>
  <c r="BG83" i="36"/>
  <c r="BE83" i="36"/>
  <c r="BH70" i="36"/>
  <c r="BF70" i="36"/>
  <c r="BB76" i="36"/>
  <c r="BD70" i="36"/>
  <c r="BB74" i="36"/>
  <c r="BB72" i="36"/>
  <c r="BD66" i="36"/>
  <c r="BD62" i="36"/>
  <c r="BB62" i="36"/>
  <c r="BA62" i="36"/>
  <c r="BD60" i="36"/>
  <c r="BD61" i="36"/>
  <c r="BC65" i="36"/>
  <c r="BC61" i="36"/>
  <c r="BB61" i="36"/>
  <c r="BA61" i="36"/>
  <c r="BC66" i="36"/>
  <c r="BC60" i="36"/>
  <c r="BH61" i="36"/>
  <c r="BH59" i="36"/>
  <c r="BA60" i="36"/>
  <c r="BC59" i="36"/>
  <c r="BA66" i="36"/>
  <c r="BB59" i="36"/>
  <c r="BD59" i="36"/>
  <c r="BH54" i="36"/>
  <c r="BF54" i="36"/>
  <c r="BF49" i="36"/>
  <c r="BF52" i="36"/>
  <c r="BB54" i="36"/>
  <c r="BF56" i="36"/>
  <c r="BD54" i="36"/>
  <c r="BA54" i="36"/>
  <c r="BG11" i="36"/>
  <c r="BF11" i="36"/>
  <c r="BC10" i="36"/>
  <c r="BH10" i="36"/>
  <c r="BG10" i="36"/>
  <c r="CI42" i="36"/>
  <c r="CD42" i="36"/>
  <c r="CK41" i="36"/>
  <c r="CJ41" i="36"/>
  <c r="BH43" i="36"/>
  <c r="BE46" i="36"/>
  <c r="BB43" i="36"/>
  <c r="BE43" i="36"/>
  <c r="BA43" i="36"/>
  <c r="BG43" i="36"/>
  <c r="BB40" i="36"/>
  <c r="BB46" i="36"/>
  <c r="BG40" i="36"/>
  <c r="BE40" i="36"/>
  <c r="BA40" i="36"/>
  <c r="BB39" i="36"/>
  <c r="BE39" i="36"/>
  <c r="BA39" i="36"/>
  <c r="BA46" i="36"/>
  <c r="BH32" i="36"/>
  <c r="BD36" i="36"/>
  <c r="BF32" i="36"/>
  <c r="BD34" i="36"/>
  <c r="BB32" i="36"/>
  <c r="BC36" i="36"/>
  <c r="BF31" i="36"/>
  <c r="BH30" i="36"/>
  <c r="BG30" i="36"/>
  <c r="BB36" i="36"/>
  <c r="BD30" i="36"/>
  <c r="BF30" i="36"/>
  <c r="BB30" i="36"/>
  <c r="BA30" i="36"/>
  <c r="BA36" i="36"/>
  <c r="BG29" i="36"/>
  <c r="CI25" i="36"/>
  <c r="CH25" i="36"/>
  <c r="CJ25" i="36"/>
  <c r="CD25" i="36"/>
  <c r="CJ20" i="36"/>
  <c r="BH25" i="36"/>
  <c r="BA25" i="36"/>
  <c r="BG26" i="36"/>
  <c r="BD25" i="36"/>
  <c r="BE25" i="36"/>
  <c r="BC25" i="36"/>
  <c r="BB25" i="36"/>
  <c r="BG25" i="36"/>
  <c r="CD19" i="36"/>
  <c r="CJ19" i="36"/>
  <c r="CI19" i="36"/>
  <c r="CH19" i="36"/>
  <c r="BH20" i="36"/>
  <c r="BD20" i="36"/>
  <c r="BC20" i="36"/>
  <c r="BG20" i="36"/>
  <c r="BB20" i="36"/>
  <c r="BE20" i="36"/>
  <c r="BA20" i="36"/>
  <c r="BB26" i="36"/>
  <c r="BC19" i="36"/>
  <c r="BE19" i="36"/>
  <c r="BB19" i="36"/>
  <c r="BG19" i="36"/>
  <c r="BH19" i="36"/>
  <c r="BA26" i="36"/>
  <c r="BD19" i="36"/>
  <c r="BA19" i="36"/>
  <c r="CH24" i="36"/>
  <c r="CI24" i="36"/>
  <c r="CJ24" i="36"/>
  <c r="CD24" i="36"/>
  <c r="CJ23" i="36"/>
  <c r="CH23" i="36"/>
  <c r="CD23" i="36"/>
  <c r="CI23" i="36"/>
  <c r="CK23" i="36"/>
  <c r="CE23" i="36"/>
  <c r="BD23" i="36"/>
  <c r="BB23" i="36"/>
  <c r="BE23" i="36"/>
  <c r="BC23" i="36"/>
  <c r="BA23" i="36"/>
  <c r="BH23" i="36"/>
  <c r="BG23" i="36"/>
  <c r="BE26" i="36"/>
  <c r="BH22" i="36"/>
  <c r="BE22" i="36"/>
  <c r="BB22" i="36"/>
  <c r="BD22" i="36"/>
  <c r="BC22" i="36"/>
  <c r="BG22" i="36"/>
  <c r="BA22" i="36"/>
  <c r="BD26" i="36"/>
  <c r="CH16" i="36"/>
  <c r="CH15" i="36"/>
  <c r="CI13" i="36"/>
  <c r="CJ13" i="36"/>
  <c r="CD13" i="36"/>
  <c r="CH14" i="36"/>
  <c r="CE13" i="36"/>
  <c r="CK13" i="36"/>
  <c r="CH13" i="36"/>
  <c r="CH12" i="36"/>
  <c r="CH9" i="36"/>
  <c r="CI84" i="36"/>
  <c r="CH84" i="36"/>
  <c r="CG84" i="36"/>
  <c r="CD84" i="36"/>
  <c r="CK84" i="36"/>
  <c r="CG79" i="36"/>
  <c r="CD83" i="36"/>
  <c r="CD79" i="36"/>
  <c r="CI79" i="36"/>
  <c r="CD82" i="36"/>
  <c r="CH79" i="36"/>
  <c r="CK79" i="36"/>
  <c r="CD86" i="36"/>
  <c r="CK74" i="36"/>
  <c r="CE74" i="36"/>
  <c r="CI76" i="36"/>
  <c r="CI74" i="36"/>
  <c r="CJ74" i="36"/>
  <c r="CH74" i="36"/>
  <c r="CI75" i="36"/>
  <c r="CI73" i="36"/>
  <c r="CF74" i="36"/>
  <c r="CI71" i="36"/>
  <c r="CK70" i="36"/>
  <c r="CE76" i="36"/>
  <c r="CE70" i="36"/>
  <c r="CF70" i="36"/>
  <c r="CE71" i="36"/>
  <c r="CI70" i="36"/>
  <c r="CE75" i="36"/>
  <c r="CE73" i="36"/>
  <c r="CH70" i="36"/>
  <c r="CJ70" i="36"/>
  <c r="CE72" i="36"/>
  <c r="CG70" i="36"/>
  <c r="CK65" i="36"/>
  <c r="CF65" i="36"/>
  <c r="CE65" i="36"/>
  <c r="CI65" i="36"/>
  <c r="CJ66" i="36"/>
  <c r="CJ65" i="36"/>
  <c r="CH65" i="36"/>
  <c r="CD65" i="36"/>
  <c r="CK64" i="36"/>
  <c r="CI66" i="36"/>
  <c r="CE64" i="36"/>
  <c r="CD64" i="36"/>
  <c r="CI64" i="36"/>
  <c r="CJ64" i="36"/>
  <c r="CF64" i="36"/>
  <c r="CK61" i="36"/>
  <c r="CE61" i="36"/>
  <c r="CI61" i="36"/>
  <c r="CF66" i="36"/>
  <c r="CG61" i="36"/>
  <c r="CJ61" i="36"/>
  <c r="CD61" i="36"/>
  <c r="CF61" i="36"/>
  <c r="CF62" i="36"/>
  <c r="CK60" i="36"/>
  <c r="CE60" i="36"/>
  <c r="CI60" i="36"/>
  <c r="CF60" i="36"/>
  <c r="CD60" i="36"/>
  <c r="CE62" i="36"/>
  <c r="CJ60" i="36"/>
  <c r="CE66" i="36"/>
  <c r="CI59" i="36"/>
  <c r="CD66" i="36"/>
  <c r="CD59" i="36"/>
  <c r="CE59" i="36"/>
  <c r="CF59" i="36"/>
  <c r="CJ59" i="36"/>
  <c r="CH59" i="36"/>
  <c r="CK54" i="36"/>
  <c r="CI54" i="36"/>
  <c r="CJ54" i="36"/>
  <c r="CI56" i="36"/>
  <c r="CI55" i="36"/>
  <c r="CH54" i="36"/>
  <c r="CI53" i="36"/>
  <c r="CH53" i="36"/>
  <c r="CK53" i="36"/>
  <c r="CJ53" i="36"/>
  <c r="CH43" i="36"/>
  <c r="CE43" i="36"/>
  <c r="CD43" i="36"/>
  <c r="CK43" i="36"/>
  <c r="CE40" i="36"/>
  <c r="CD40" i="36"/>
  <c r="CH40" i="36"/>
  <c r="CD39" i="36"/>
  <c r="CE39" i="36"/>
  <c r="CH39" i="36"/>
  <c r="CD45" i="36"/>
  <c r="CJ39" i="36"/>
  <c r="CI39" i="36"/>
  <c r="CH33" i="36"/>
  <c r="CF33" i="36"/>
  <c r="CK33" i="36"/>
  <c r="CG33" i="36"/>
  <c r="CK32" i="36"/>
  <c r="CH32" i="36"/>
  <c r="CF32" i="36"/>
  <c r="CG32" i="36"/>
  <c r="CF31" i="36"/>
  <c r="CK31" i="36"/>
  <c r="CG31" i="36"/>
  <c r="CH31" i="36"/>
  <c r="CG26" i="36"/>
  <c r="BF43" i="36"/>
  <c r="CI45" i="36"/>
  <c r="BD64" i="36"/>
  <c r="BF59" i="36"/>
  <c r="BA33" i="36"/>
  <c r="CF39" i="36"/>
  <c r="BC24" i="36"/>
  <c r="BE31" i="36"/>
  <c r="CJ34" i="36"/>
  <c r="BB44" i="36"/>
  <c r="CF21" i="36"/>
  <c r="CG40" i="36"/>
  <c r="CE41" i="36"/>
  <c r="BE59" i="36"/>
  <c r="CJ21" i="36"/>
  <c r="BB31" i="36"/>
  <c r="BE84" i="36"/>
  <c r="BA12" i="36"/>
  <c r="BC13" i="36"/>
  <c r="BF9" i="36"/>
  <c r="BE79" i="36"/>
  <c r="BA83" i="36"/>
  <c r="BC64" i="36"/>
  <c r="BA32" i="36"/>
  <c r="BA29" i="36"/>
  <c r="BH29" i="36"/>
  <c r="BE42" i="36"/>
  <c r="BG59" i="36"/>
  <c r="BD65" i="36"/>
  <c r="BF40" i="36"/>
  <c r="BD63" i="36"/>
  <c r="BG24" i="36"/>
  <c r="CG20" i="36"/>
  <c r="CG22" i="36"/>
  <c r="CE22" i="36"/>
  <c r="CK22" i="36"/>
  <c r="CF46" i="36"/>
  <c r="CF43" i="36"/>
  <c r="BC43" i="36"/>
  <c r="BB41" i="36"/>
  <c r="BG39" i="36"/>
  <c r="CF45" i="36"/>
  <c r="CI40" i="36"/>
  <c r="CI46" i="36"/>
  <c r="CK44" i="36"/>
  <c r="CD21" i="36"/>
  <c r="CF26" i="36"/>
  <c r="CH42" i="36"/>
  <c r="CF42" i="36"/>
  <c r="CG42" i="36"/>
  <c r="CK42" i="36"/>
  <c r="BC32" i="36"/>
  <c r="BC30" i="36"/>
  <c r="BC31" i="36"/>
  <c r="BH31" i="36"/>
  <c r="BD33" i="36"/>
  <c r="BC33" i="36"/>
  <c r="BB33" i="36"/>
  <c r="BD35" i="36"/>
  <c r="BC35" i="36"/>
  <c r="BA35" i="36"/>
  <c r="BC70" i="36"/>
  <c r="BE70" i="36"/>
  <c r="BD85" i="36"/>
  <c r="BF83" i="36"/>
  <c r="BC9" i="36"/>
  <c r="BG31" i="36"/>
  <c r="BA64" i="36"/>
  <c r="BD40" i="36"/>
  <c r="CG24" i="36"/>
  <c r="CG25" i="36"/>
  <c r="CI43" i="36"/>
  <c r="CI21" i="36"/>
  <c r="CF19" i="36"/>
  <c r="BG32" i="36"/>
  <c r="BG35" i="36"/>
  <c r="BB75" i="36"/>
  <c r="BB83" i="36"/>
  <c r="BF10" i="36"/>
  <c r="BB10" i="36"/>
  <c r="BC16" i="36"/>
  <c r="BH11" i="36"/>
  <c r="CD41" i="36"/>
  <c r="CG43" i="36"/>
  <c r="BA59" i="36"/>
  <c r="BF50" i="36"/>
  <c r="BC15" i="36"/>
  <c r="BB14" i="36"/>
  <c r="BA41" i="36"/>
  <c r="BG33" i="36"/>
  <c r="BB34" i="36"/>
  <c r="CI86" i="36"/>
  <c r="BE86" i="36"/>
  <c r="CH56" i="36"/>
  <c r="CH46" i="36"/>
  <c r="CD46" i="36"/>
  <c r="CG36" i="36"/>
  <c r="CH36" i="36"/>
  <c r="CD26" i="36"/>
  <c r="CJ26" i="36"/>
  <c r="CI26" i="36"/>
  <c r="CK35" i="36"/>
  <c r="CJ35" i="36"/>
  <c r="CH35" i="36"/>
  <c r="CI35" i="36"/>
  <c r="CG35" i="36"/>
  <c r="CJ32" i="36"/>
  <c r="CJ36" i="36"/>
  <c r="CF35" i="36"/>
  <c r="BB9" i="36"/>
  <c r="BE9" i="36"/>
  <c r="BA15" i="36"/>
  <c r="BA11" i="36"/>
  <c r="BD9" i="36"/>
  <c r="CJ31" i="36"/>
  <c r="BD12" i="36"/>
  <c r="BB12" i="36"/>
  <c r="BD11" i="36"/>
  <c r="BD13" i="36"/>
  <c r="BG13" i="36"/>
  <c r="BB13" i="36"/>
  <c r="BA13" i="36"/>
  <c r="CJ33" i="36"/>
  <c r="BE10" i="36"/>
  <c r="CE79" i="36"/>
  <c r="CF80" i="36"/>
  <c r="CJ80" i="36"/>
  <c r="CE81" i="36"/>
  <c r="CE80" i="36"/>
  <c r="CE86" i="36"/>
  <c r="CE82" i="36"/>
  <c r="CK80" i="36"/>
  <c r="CH80" i="36"/>
  <c r="CE83" i="36"/>
  <c r="CI80" i="36"/>
  <c r="CE84" i="36"/>
  <c r="CE85" i="36"/>
  <c r="CG80" i="36"/>
  <c r="CD80" i="36"/>
  <c r="BH69" i="36"/>
  <c r="BA69" i="36"/>
  <c r="BA73" i="36"/>
  <c r="BA75" i="36"/>
  <c r="BB69" i="36"/>
  <c r="BE69" i="36"/>
  <c r="BF69" i="36"/>
  <c r="BD69" i="36"/>
  <c r="BA76" i="36"/>
  <c r="BA71" i="36"/>
  <c r="BC69" i="36"/>
  <c r="BA74" i="36"/>
  <c r="BA72" i="36"/>
  <c r="BA70" i="36"/>
  <c r="BG69" i="36"/>
  <c r="DL94" i="36" l="1"/>
  <c r="DS94" i="36" s="1"/>
  <c r="DL107" i="36"/>
  <c r="DS107" i="36" s="1"/>
  <c r="DL119" i="36"/>
  <c r="DS119" i="36" s="1"/>
  <c r="DM107" i="36"/>
  <c r="DT107" i="36" s="1"/>
  <c r="DM96" i="36"/>
  <c r="DT96" i="36" s="1"/>
  <c r="DM112" i="36"/>
  <c r="DT112" i="36" s="1"/>
  <c r="DL113" i="36"/>
  <c r="DS113" i="36" s="1"/>
  <c r="DL108" i="36"/>
  <c r="DS108" i="36" s="1"/>
  <c r="DL102" i="36"/>
  <c r="DS102" i="36" s="1"/>
  <c r="DL114" i="36"/>
  <c r="DS114" i="36" s="1"/>
  <c r="DM99" i="36"/>
  <c r="DT99" i="36" s="1"/>
  <c r="DM115" i="36"/>
  <c r="DT115" i="36" s="1"/>
  <c r="DM104" i="36"/>
  <c r="DT104" i="36" s="1"/>
  <c r="DL97" i="36"/>
  <c r="DS97" i="36" s="1"/>
  <c r="DL92" i="36"/>
  <c r="DS92" i="36" s="1"/>
  <c r="DF121" i="36"/>
  <c r="DF120" i="36" s="1"/>
  <c r="DE121" i="36"/>
  <c r="DE120" i="36" s="1"/>
  <c r="DI148" i="36"/>
  <c r="DI121" i="36"/>
  <c r="DI122" i="36" s="1"/>
  <c r="DI123" i="36" s="1"/>
  <c r="DI124" i="36" s="1"/>
  <c r="DI125" i="36" s="1"/>
  <c r="DI126" i="36" s="1"/>
  <c r="DI127" i="36" s="1"/>
  <c r="DI128" i="36" s="1"/>
  <c r="DI129" i="36" s="1"/>
  <c r="DI130" i="36" s="1"/>
  <c r="DI131" i="36" s="1"/>
  <c r="DI132" i="36" s="1"/>
  <c r="DI133" i="36" s="1"/>
  <c r="DI134" i="36" s="1"/>
  <c r="DI135" i="36" s="1"/>
  <c r="DI136" i="36" s="1"/>
  <c r="DI137" i="36" s="1"/>
  <c r="DI138" i="36" s="1"/>
  <c r="DI139" i="36" s="1"/>
  <c r="DI140" i="36" s="1"/>
  <c r="DI141" i="36" s="1"/>
  <c r="DI142" i="36" s="1"/>
  <c r="DI143" i="36" s="1"/>
  <c r="DI144" i="36" s="1"/>
  <c r="DI145" i="36" s="1"/>
  <c r="DI146" i="36" s="1"/>
  <c r="DI147" i="36" s="1"/>
  <c r="AQ132" i="32"/>
  <c r="AP131" i="32"/>
  <c r="AO131" i="32"/>
  <c r="AP132" i="32"/>
  <c r="AO106" i="32"/>
  <c r="I9" i="16"/>
  <c r="D9" i="16"/>
  <c r="B9" i="16" s="1"/>
  <c r="AQ96" i="32"/>
  <c r="AP96" i="32"/>
  <c r="AO93" i="32"/>
  <c r="AP93" i="32"/>
  <c r="AQ140" i="32"/>
  <c r="AQ115" i="32"/>
  <c r="AO147" i="32"/>
  <c r="B4" i="16"/>
  <c r="AQ91" i="32"/>
  <c r="AO90" i="32"/>
  <c r="AP147" i="32"/>
  <c r="AP117" i="32"/>
  <c r="AQ117" i="32"/>
  <c r="AO150" i="32"/>
  <c r="AP150" i="32"/>
  <c r="AP115" i="32"/>
  <c r="AO103" i="32"/>
  <c r="AQ103" i="32"/>
  <c r="AP106" i="32"/>
  <c r="AP124" i="32"/>
  <c r="AP91" i="32"/>
  <c r="AQ124" i="32"/>
  <c r="AP101" i="32"/>
  <c r="AO101" i="32"/>
  <c r="AP140" i="32"/>
  <c r="AP109" i="32"/>
  <c r="AO87" i="32"/>
  <c r="AO123" i="32"/>
  <c r="AP98" i="32"/>
  <c r="AO98" i="32"/>
  <c r="AO128" i="32"/>
  <c r="AO92" i="32"/>
  <c r="AP120" i="32"/>
  <c r="AQ109" i="32"/>
  <c r="AQ136" i="32"/>
  <c r="AO151" i="32"/>
  <c r="AQ92" i="32"/>
  <c r="AP89" i="32"/>
  <c r="AO139" i="32"/>
  <c r="AP114" i="32"/>
  <c r="AQ151" i="32"/>
  <c r="AO113" i="32"/>
  <c r="AP99" i="32"/>
  <c r="AP123" i="32"/>
  <c r="AP113" i="32"/>
  <c r="AP87" i="32"/>
  <c r="AQ114" i="32"/>
  <c r="AO143" i="32"/>
  <c r="AO144" i="32"/>
  <c r="AQ144" i="32"/>
  <c r="AQ128" i="32"/>
  <c r="AQ88" i="32"/>
  <c r="AO88" i="32"/>
  <c r="AP139" i="32"/>
  <c r="AP133" i="32"/>
  <c r="AQ89" i="32"/>
  <c r="AO133" i="32"/>
  <c r="AO136" i="32"/>
  <c r="AO120" i="32"/>
  <c r="AQ99" i="32"/>
  <c r="AO121" i="32"/>
  <c r="AQ121" i="32"/>
  <c r="K5" i="16"/>
  <c r="AO126" i="32"/>
  <c r="AQ126" i="32"/>
  <c r="AQ134" i="32"/>
  <c r="AQ127" i="32"/>
  <c r="AQ153" i="32"/>
  <c r="AP142" i="32"/>
  <c r="AQ108" i="32"/>
  <c r="AQ97" i="32"/>
  <c r="AO97" i="32"/>
  <c r="AO135" i="32"/>
  <c r="AP134" i="32"/>
  <c r="AP118" i="32"/>
  <c r="AO127" i="32"/>
  <c r="AP86" i="32"/>
  <c r="AO146" i="32"/>
  <c r="AQ86" i="32"/>
  <c r="AP94" i="32"/>
  <c r="AP111" i="32"/>
  <c r="AQ143" i="32"/>
  <c r="AO153" i="32"/>
  <c r="AP108" i="32"/>
  <c r="AQ146" i="32"/>
  <c r="AQ138" i="32"/>
  <c r="AO130" i="32"/>
  <c r="AQ122" i="32"/>
  <c r="AO110" i="32"/>
  <c r="AQ105" i="32"/>
  <c r="AP102" i="32"/>
  <c r="AO138" i="32"/>
  <c r="AQ110" i="32"/>
  <c r="AQ130" i="32"/>
  <c r="AQ102" i="32"/>
  <c r="AO105" i="32"/>
  <c r="AP122" i="32"/>
  <c r="AP100" i="32"/>
  <c r="AQ104" i="32"/>
  <c r="AQ100" i="32"/>
  <c r="AQ94" i="32"/>
  <c r="AQ118" i="32"/>
  <c r="AQ142" i="32"/>
  <c r="AP90" i="32"/>
  <c r="AQ135" i="32"/>
  <c r="AQ111" i="32"/>
  <c r="AO104" i="32"/>
  <c r="AP137" i="32"/>
  <c r="AQ137" i="32"/>
  <c r="AQ141" i="32"/>
  <c r="AP141" i="32"/>
  <c r="AP152" i="32"/>
  <c r="AO152" i="32"/>
  <c r="AQ125" i="32"/>
  <c r="AO125" i="32"/>
  <c r="AQ149" i="32"/>
  <c r="AP149" i="32"/>
  <c r="AP119" i="32"/>
  <c r="AQ119" i="32"/>
  <c r="AQ107" i="32"/>
  <c r="AP107" i="32"/>
  <c r="AO107" i="32"/>
  <c r="AP145" i="32"/>
  <c r="AO145" i="32"/>
  <c r="AQ145" i="32"/>
  <c r="AO95" i="32"/>
  <c r="AQ95" i="32"/>
  <c r="AP95" i="32"/>
  <c r="AP129" i="32"/>
  <c r="AO129" i="32"/>
  <c r="AQ129" i="32"/>
  <c r="AO116" i="32"/>
  <c r="AQ116" i="32"/>
  <c r="AP116" i="32"/>
  <c r="AP112" i="32"/>
  <c r="AQ112" i="32"/>
  <c r="AO112" i="32"/>
  <c r="B6" i="16"/>
  <c r="A10" i="16"/>
  <c r="BY84" i="36"/>
  <c r="W66" i="36"/>
  <c r="AN7" i="32"/>
  <c r="AY53" i="32"/>
  <c r="BH51" i="32" s="1"/>
  <c r="AT50" i="36"/>
  <c r="V53" i="36"/>
  <c r="AU55" i="36"/>
  <c r="AT73" i="36"/>
  <c r="AU12" i="36"/>
  <c r="DB14" i="36"/>
  <c r="BY82" i="36"/>
  <c r="AU50" i="36"/>
  <c r="W51" i="36"/>
  <c r="DB11" i="36"/>
  <c r="W81" i="36"/>
  <c r="AU75" i="36"/>
  <c r="AT9" i="36"/>
  <c r="BY53" i="36"/>
  <c r="AT52" i="36"/>
  <c r="W80" i="36"/>
  <c r="DB50" i="36"/>
  <c r="W46" i="36"/>
  <c r="DB10" i="36"/>
  <c r="BY63" i="36"/>
  <c r="DB41" i="36"/>
  <c r="DB72" i="36"/>
  <c r="AT63" i="36"/>
  <c r="AU51" i="36"/>
  <c r="W53" i="36"/>
  <c r="DB51" i="36"/>
  <c r="V80" i="36"/>
  <c r="AU9" i="36"/>
  <c r="AU11" i="36"/>
  <c r="AT69" i="36"/>
  <c r="AT51" i="36"/>
  <c r="DB16" i="36"/>
  <c r="BY80" i="36"/>
  <c r="W24" i="36"/>
  <c r="DB69" i="36"/>
  <c r="BY45" i="36"/>
  <c r="AT11" i="36"/>
  <c r="AU69" i="36"/>
  <c r="AU10" i="36"/>
  <c r="AT30" i="36"/>
  <c r="BY64" i="36"/>
  <c r="BY39" i="36"/>
  <c r="W54" i="36"/>
  <c r="AT75" i="36"/>
  <c r="V45" i="36"/>
  <c r="AU56" i="36"/>
  <c r="DB66" i="36"/>
  <c r="DB62" i="36"/>
  <c r="AT14" i="36"/>
  <c r="AT15" i="36"/>
  <c r="BY49" i="36"/>
  <c r="V21" i="36"/>
  <c r="AU63" i="36"/>
  <c r="AT45" i="36"/>
  <c r="BY20" i="36"/>
  <c r="V43" i="36"/>
  <c r="AT10" i="36"/>
  <c r="DB30" i="36"/>
  <c r="AU49" i="36"/>
  <c r="V49" i="36"/>
  <c r="BY56" i="36"/>
  <c r="BY79" i="36"/>
  <c r="AM9" i="32"/>
  <c r="AL41" i="32"/>
  <c r="AL44" i="32" s="1"/>
  <c r="BJ53" i="32" s="1"/>
  <c r="AL9" i="32"/>
  <c r="AL47" i="32" s="1"/>
  <c r="AL50" i="32" s="1"/>
  <c r="BU53" i="32" s="1"/>
  <c r="DB55" i="36"/>
  <c r="DB63" i="36"/>
  <c r="DB12" i="36"/>
  <c r="V14" i="36"/>
  <c r="DB44" i="36"/>
  <c r="DB20" i="36"/>
  <c r="BY42" i="36"/>
  <c r="V79" i="36"/>
  <c r="AT34" i="36"/>
  <c r="AU16" i="36"/>
  <c r="V56" i="36"/>
  <c r="W52" i="36"/>
  <c r="V81" i="36"/>
  <c r="AU52" i="36"/>
  <c r="AT49" i="36"/>
  <c r="DB52" i="36"/>
  <c r="W10" i="36"/>
  <c r="BY33" i="36"/>
  <c r="AU30" i="36"/>
  <c r="AT55" i="36"/>
  <c r="DB71" i="36"/>
  <c r="V20" i="36"/>
  <c r="BY36" i="36"/>
  <c r="V54" i="36"/>
  <c r="DB29" i="36"/>
  <c r="AT41" i="36"/>
  <c r="AT23" i="36"/>
  <c r="V59" i="36"/>
  <c r="DB35" i="36"/>
  <c r="W14" i="36"/>
  <c r="W56" i="36"/>
  <c r="DB56" i="36"/>
  <c r="BY81" i="36"/>
  <c r="DB75" i="36"/>
  <c r="W79" i="36"/>
  <c r="DB9" i="36"/>
  <c r="W86" i="36"/>
  <c r="W34" i="36"/>
  <c r="AU72" i="36"/>
  <c r="BY51" i="36"/>
  <c r="DB32" i="36"/>
  <c r="AU45" i="36"/>
  <c r="AU54" i="36"/>
  <c r="AT66" i="36"/>
  <c r="AT71" i="36"/>
  <c r="AT13" i="36"/>
  <c r="W20" i="36"/>
  <c r="AT25" i="36"/>
  <c r="W36" i="36"/>
  <c r="V39" i="36"/>
  <c r="W40" i="36"/>
  <c r="BY59" i="36"/>
  <c r="BY61" i="36"/>
  <c r="DB45" i="36"/>
  <c r="W84" i="36"/>
  <c r="W39" i="36"/>
  <c r="BY14" i="36"/>
  <c r="AU41" i="36"/>
  <c r="V61" i="36"/>
  <c r="W59" i="36"/>
  <c r="W49" i="36"/>
  <c r="DB15" i="36"/>
  <c r="AT56" i="36"/>
  <c r="V16" i="36"/>
  <c r="AU14" i="36"/>
  <c r="AU15" i="36"/>
  <c r="W82" i="36"/>
  <c r="V51" i="36"/>
  <c r="V84" i="36"/>
  <c r="AT29" i="36"/>
  <c r="AU29" i="36"/>
  <c r="AU66" i="36"/>
  <c r="V55" i="36"/>
  <c r="W55" i="36"/>
  <c r="DB54" i="36"/>
  <c r="AU71" i="36"/>
  <c r="BY54" i="36"/>
  <c r="W65" i="36"/>
  <c r="BY55" i="36"/>
  <c r="W45" i="36"/>
  <c r="DB49" i="36"/>
  <c r="BY31" i="36"/>
  <c r="BY24" i="36"/>
  <c r="AU46" i="36"/>
  <c r="AT46" i="36"/>
  <c r="W50" i="36"/>
  <c r="BY50" i="36"/>
  <c r="V50" i="36"/>
  <c r="W64" i="36"/>
  <c r="V64" i="36"/>
  <c r="W35" i="36"/>
  <c r="V35" i="36"/>
  <c r="BY35" i="36"/>
  <c r="AU22" i="36"/>
  <c r="DB22" i="36"/>
  <c r="BY29" i="36"/>
  <c r="W29" i="36"/>
  <c r="BY44" i="36"/>
  <c r="V44" i="36"/>
  <c r="AT43" i="36"/>
  <c r="AU43" i="36"/>
  <c r="AU62" i="36"/>
  <c r="AT62" i="36"/>
  <c r="AT61" i="36"/>
  <c r="DB61" i="36"/>
  <c r="AU61" i="36"/>
  <c r="AT64" i="36"/>
  <c r="AU64" i="36"/>
  <c r="DB64" i="36"/>
  <c r="AU65" i="36"/>
  <c r="DB65" i="36"/>
  <c r="AT65" i="36"/>
  <c r="AU73" i="36"/>
  <c r="DB73" i="36"/>
  <c r="AT76" i="36"/>
  <c r="DB76" i="36"/>
  <c r="AU76" i="36"/>
  <c r="DB74" i="36"/>
  <c r="AT74" i="36"/>
  <c r="AU74" i="36"/>
  <c r="DB24" i="36"/>
  <c r="AT24" i="36"/>
  <c r="AU24" i="36"/>
  <c r="BY19" i="36"/>
  <c r="W19" i="36"/>
  <c r="V19" i="36"/>
  <c r="W26" i="36"/>
  <c r="V26" i="36"/>
  <c r="BY26" i="36"/>
  <c r="V25" i="36"/>
  <c r="BY25" i="36"/>
  <c r="W25" i="36"/>
  <c r="DB42" i="36"/>
  <c r="AU42" i="36"/>
  <c r="AT42" i="36"/>
  <c r="BY62" i="36"/>
  <c r="V62" i="36"/>
  <c r="W62" i="36"/>
  <c r="V85" i="36"/>
  <c r="BY85" i="36"/>
  <c r="W21" i="36"/>
  <c r="BY21" i="36"/>
  <c r="DB46" i="36"/>
  <c r="W31" i="36"/>
  <c r="V34" i="36"/>
  <c r="V63" i="36"/>
  <c r="W16" i="36"/>
  <c r="BY16" i="36"/>
  <c r="V29" i="36"/>
  <c r="V36" i="36"/>
  <c r="W61" i="36"/>
  <c r="AU44" i="36"/>
  <c r="W85" i="36"/>
  <c r="BY34" i="36"/>
  <c r="W44" i="36"/>
  <c r="V42" i="36"/>
  <c r="AT44" i="36"/>
  <c r="AU26" i="36"/>
  <c r="DB26" i="36"/>
  <c r="AT26" i="36"/>
  <c r="BY86" i="36"/>
  <c r="V86" i="36"/>
  <c r="V41" i="36"/>
  <c r="BY41" i="36"/>
  <c r="W41" i="36"/>
  <c r="DB21" i="36"/>
  <c r="AU21" i="36"/>
  <c r="V32" i="36"/>
  <c r="BY32" i="36"/>
  <c r="W32" i="36"/>
  <c r="BY83" i="36"/>
  <c r="W83" i="36"/>
  <c r="V83" i="36"/>
  <c r="W33" i="36"/>
  <c r="V33" i="36"/>
  <c r="AT39" i="36"/>
  <c r="AU39" i="36"/>
  <c r="DB39" i="36"/>
  <c r="DB40" i="36"/>
  <c r="AT40" i="36"/>
  <c r="AU40" i="36"/>
  <c r="AT53" i="36"/>
  <c r="DB53" i="36"/>
  <c r="AU59" i="36"/>
  <c r="AT59" i="36"/>
  <c r="DB59" i="36"/>
  <c r="DB60" i="36"/>
  <c r="AT60" i="36"/>
  <c r="AU60" i="36"/>
  <c r="AU70" i="36"/>
  <c r="DB70" i="36"/>
  <c r="DB13" i="36"/>
  <c r="AU13" i="36"/>
  <c r="V22" i="36"/>
  <c r="BY22" i="36"/>
  <c r="W22" i="36"/>
  <c r="W23" i="36"/>
  <c r="V23" i="36"/>
  <c r="BY23" i="36"/>
  <c r="DB23" i="36"/>
  <c r="AU23" i="36"/>
  <c r="AT19" i="36"/>
  <c r="AU19" i="36"/>
  <c r="DB19" i="36"/>
  <c r="AU25" i="36"/>
  <c r="DB25" i="36"/>
  <c r="W30" i="36"/>
  <c r="BY30" i="36"/>
  <c r="V30" i="36"/>
  <c r="BY46" i="36"/>
  <c r="V46" i="36"/>
  <c r="BY40" i="36"/>
  <c r="V40" i="36"/>
  <c r="W43" i="36"/>
  <c r="BY43" i="36"/>
  <c r="BY52" i="36"/>
  <c r="V52" i="36"/>
  <c r="BY66" i="36"/>
  <c r="V66" i="36"/>
  <c r="W60" i="36"/>
  <c r="V60" i="36"/>
  <c r="BY60" i="36"/>
  <c r="BY65" i="36"/>
  <c r="V65" i="36"/>
  <c r="DB43" i="36"/>
  <c r="V31" i="36"/>
  <c r="V24" i="36"/>
  <c r="AT20" i="36"/>
  <c r="W42" i="36"/>
  <c r="DB34" i="36"/>
  <c r="AT21" i="36"/>
  <c r="V82" i="36"/>
  <c r="AT72" i="36"/>
  <c r="AT12" i="36"/>
  <c r="AT16" i="36"/>
  <c r="AT22" i="36"/>
  <c r="AT70" i="36"/>
  <c r="AU53" i="36"/>
  <c r="AU20" i="36"/>
  <c r="W63" i="36"/>
  <c r="AU34" i="36"/>
  <c r="AT54" i="36"/>
  <c r="BY10" i="36"/>
  <c r="V10" i="36"/>
  <c r="BY13" i="36"/>
  <c r="V13" i="36"/>
  <c r="W13" i="36"/>
  <c r="DB31" i="36"/>
  <c r="AU31" i="36"/>
  <c r="AT31" i="36"/>
  <c r="W15" i="36"/>
  <c r="BY15" i="36"/>
  <c r="V15" i="36"/>
  <c r="V9" i="36"/>
  <c r="W9" i="36"/>
  <c r="BY9" i="36"/>
  <c r="AT36" i="36"/>
  <c r="AU36" i="36"/>
  <c r="DB33" i="36"/>
  <c r="AT33" i="36"/>
  <c r="AU33" i="36"/>
  <c r="BY12" i="36"/>
  <c r="V12" i="36"/>
  <c r="W12" i="36"/>
  <c r="V11" i="36"/>
  <c r="BY11" i="36"/>
  <c r="W11" i="36"/>
  <c r="AT35" i="36"/>
  <c r="AU35" i="36"/>
  <c r="AT32" i="36"/>
  <c r="AU32" i="36"/>
  <c r="DB36" i="36"/>
  <c r="V70" i="36"/>
  <c r="W70" i="36"/>
  <c r="BY70" i="36"/>
  <c r="W74" i="36"/>
  <c r="V74" i="36"/>
  <c r="BY74" i="36"/>
  <c r="V71" i="36"/>
  <c r="W71" i="36"/>
  <c r="BY71" i="36"/>
  <c r="BY75" i="36"/>
  <c r="W75" i="36"/>
  <c r="V75" i="36"/>
  <c r="BY69" i="36"/>
  <c r="V69" i="36"/>
  <c r="W69" i="36"/>
  <c r="AU84" i="36"/>
  <c r="DB84" i="36"/>
  <c r="AT84" i="36"/>
  <c r="AU83" i="36"/>
  <c r="DB83" i="36"/>
  <c r="AT83" i="36"/>
  <c r="AU86" i="36"/>
  <c r="DB86" i="36"/>
  <c r="AT86" i="36"/>
  <c r="DB81" i="36"/>
  <c r="AT81" i="36"/>
  <c r="AU81" i="36"/>
  <c r="W72" i="36"/>
  <c r="V72" i="36"/>
  <c r="BY72" i="36"/>
  <c r="V76" i="36"/>
  <c r="W76" i="36"/>
  <c r="BY76" i="36"/>
  <c r="V73" i="36"/>
  <c r="BY73" i="36"/>
  <c r="W73" i="36"/>
  <c r="AT80" i="36"/>
  <c r="AU80" i="36"/>
  <c r="DB80" i="36"/>
  <c r="AU85" i="36"/>
  <c r="DB85" i="36"/>
  <c r="AT85" i="36"/>
  <c r="AU82" i="36"/>
  <c r="DB82" i="36"/>
  <c r="AT82" i="36"/>
  <c r="DB79" i="36"/>
  <c r="AU79" i="36"/>
  <c r="AT79" i="36"/>
  <c r="X24" i="36" l="1"/>
  <c r="AZ24" i="36" s="1"/>
  <c r="DE149" i="36"/>
  <c r="DE148" i="36" s="1"/>
  <c r="DI149" i="36"/>
  <c r="DI150" i="36" s="1"/>
  <c r="DI151" i="36" s="1"/>
  <c r="DI152" i="36" s="1"/>
  <c r="DI153" i="36" s="1"/>
  <c r="DI154" i="36" s="1"/>
  <c r="DI155" i="36" s="1"/>
  <c r="DI156" i="36" s="1"/>
  <c r="DI157" i="36" s="1"/>
  <c r="DI158" i="36" s="1"/>
  <c r="DI159" i="36" s="1"/>
  <c r="DI160" i="36" s="1"/>
  <c r="DI161" i="36" s="1"/>
  <c r="DI162" i="36" s="1"/>
  <c r="DI163" i="36" s="1"/>
  <c r="DI164" i="36" s="1"/>
  <c r="DI165" i="36" s="1"/>
  <c r="DI166" i="36" s="1"/>
  <c r="DI167" i="36" s="1"/>
  <c r="DI168" i="36" s="1"/>
  <c r="DI169" i="36" s="1"/>
  <c r="DI170" i="36" s="1"/>
  <c r="DI171" i="36" s="1"/>
  <c r="DI172" i="36" s="1"/>
  <c r="DI173" i="36" s="1"/>
  <c r="DI174" i="36" s="1"/>
  <c r="DI175" i="36" s="1"/>
  <c r="DF149" i="36"/>
  <c r="DF148" i="36" s="1"/>
  <c r="DL152" i="36" s="1"/>
  <c r="DS152" i="36" s="1"/>
  <c r="DI176" i="36"/>
  <c r="DM144" i="36"/>
  <c r="DT144" i="36" s="1"/>
  <c r="DM122" i="36"/>
  <c r="DT122" i="36" s="1"/>
  <c r="DL140" i="36"/>
  <c r="DS140" i="36" s="1"/>
  <c r="DL145" i="36"/>
  <c r="DS145" i="36" s="1"/>
  <c r="DM133" i="36"/>
  <c r="DT133" i="36" s="1"/>
  <c r="DL129" i="36"/>
  <c r="DS129" i="36" s="1"/>
  <c r="DM141" i="36"/>
  <c r="DT141" i="36" s="1"/>
  <c r="DM146" i="36"/>
  <c r="DT146" i="36" s="1"/>
  <c r="DL121" i="36"/>
  <c r="DS121" i="36" s="1"/>
  <c r="DM129" i="36"/>
  <c r="DT129" i="36" s="1"/>
  <c r="DM145" i="36"/>
  <c r="DT145" i="36" s="1"/>
  <c r="DM134" i="36"/>
  <c r="DT134" i="36" s="1"/>
  <c r="DL133" i="36"/>
  <c r="DS133" i="36" s="1"/>
  <c r="DL144" i="36"/>
  <c r="DS144" i="36" s="1"/>
  <c r="DL128" i="36"/>
  <c r="DS128" i="36" s="1"/>
  <c r="DM123" i="36"/>
  <c r="DT123" i="36" s="1"/>
  <c r="DM131" i="36"/>
  <c r="DT131" i="36" s="1"/>
  <c r="DM139" i="36"/>
  <c r="DT139" i="36" s="1"/>
  <c r="DM120" i="36"/>
  <c r="DT120" i="36" s="1"/>
  <c r="DM128" i="36"/>
  <c r="DT128" i="36" s="1"/>
  <c r="DM136" i="36"/>
  <c r="DT136" i="36" s="1"/>
  <c r="DL135" i="36"/>
  <c r="DS135" i="36" s="1"/>
  <c r="DL146" i="36"/>
  <c r="DS146" i="36" s="1"/>
  <c r="DL130" i="36"/>
  <c r="DS130" i="36" s="1"/>
  <c r="DL147" i="36"/>
  <c r="DS147" i="36" s="1"/>
  <c r="DL131" i="36"/>
  <c r="DS131" i="36" s="1"/>
  <c r="DL142" i="36"/>
  <c r="DS142" i="36" s="1"/>
  <c r="DL126" i="36"/>
  <c r="DS126" i="36" s="1"/>
  <c r="DM138" i="36"/>
  <c r="DT138" i="36" s="1"/>
  <c r="DL124" i="36"/>
  <c r="DS124" i="36" s="1"/>
  <c r="DM125" i="36"/>
  <c r="DT125" i="36" s="1"/>
  <c r="DM130" i="36"/>
  <c r="DT130" i="36" s="1"/>
  <c r="DL137" i="36"/>
  <c r="DS137" i="36" s="1"/>
  <c r="DL132" i="36"/>
  <c r="DS132" i="36" s="1"/>
  <c r="DM121" i="36"/>
  <c r="DT121" i="36" s="1"/>
  <c r="DM137" i="36"/>
  <c r="DT137" i="36" s="1"/>
  <c r="DM126" i="36"/>
  <c r="DT126" i="36" s="1"/>
  <c r="DM142" i="36"/>
  <c r="DT142" i="36" s="1"/>
  <c r="DL141" i="36"/>
  <c r="DS141" i="36" s="1"/>
  <c r="DL125" i="36"/>
  <c r="DS125" i="36" s="1"/>
  <c r="DL136" i="36"/>
  <c r="DS136" i="36" s="1"/>
  <c r="DL120" i="36"/>
  <c r="DS120" i="36" s="1"/>
  <c r="DM127" i="36"/>
  <c r="DT127" i="36" s="1"/>
  <c r="DM135" i="36"/>
  <c r="DT135" i="36" s="1"/>
  <c r="DM143" i="36"/>
  <c r="DT143" i="36" s="1"/>
  <c r="DM124" i="36"/>
  <c r="DT124" i="36" s="1"/>
  <c r="DM132" i="36"/>
  <c r="DT132" i="36" s="1"/>
  <c r="DM140" i="36"/>
  <c r="DT140" i="36" s="1"/>
  <c r="DL143" i="36"/>
  <c r="DS143" i="36" s="1"/>
  <c r="DL127" i="36"/>
  <c r="DS127" i="36" s="1"/>
  <c r="DL138" i="36"/>
  <c r="DS138" i="36" s="1"/>
  <c r="DL122" i="36"/>
  <c r="DS122" i="36" s="1"/>
  <c r="DL139" i="36"/>
  <c r="DS139" i="36" s="1"/>
  <c r="DL123" i="36"/>
  <c r="DS123" i="36" s="1"/>
  <c r="DL134" i="36"/>
  <c r="DS134" i="36" s="1"/>
  <c r="AV46" i="36"/>
  <c r="CC46" i="36" s="1"/>
  <c r="I10" i="16"/>
  <c r="D10" i="16"/>
  <c r="AV42" i="36"/>
  <c r="CC42" i="36" s="1"/>
  <c r="K6" i="16"/>
  <c r="AV25" i="36"/>
  <c r="CC25" i="36" s="1"/>
  <c r="AV13" i="36"/>
  <c r="CC13" i="36" s="1"/>
  <c r="B8" i="16"/>
  <c r="A11" i="16"/>
  <c r="AV69" i="36"/>
  <c r="CC69" i="36" s="1"/>
  <c r="X84" i="36"/>
  <c r="AZ84" i="36" s="1"/>
  <c r="X82" i="36"/>
  <c r="AZ82" i="36" s="1"/>
  <c r="AV11" i="36"/>
  <c r="CC11" i="36" s="1"/>
  <c r="AV50" i="36"/>
  <c r="CC50" i="36" s="1"/>
  <c r="AY52" i="32"/>
  <c r="BH52" i="32" s="1"/>
  <c r="AV23" i="36"/>
  <c r="CC23" i="36" s="1"/>
  <c r="AV55" i="36"/>
  <c r="CC55" i="36" s="1"/>
  <c r="X53" i="36"/>
  <c r="AZ53" i="36" s="1"/>
  <c r="AV73" i="36"/>
  <c r="CC73" i="36" s="1"/>
  <c r="AV14" i="36"/>
  <c r="CC14" i="36" s="1"/>
  <c r="AV16" i="36"/>
  <c r="CC16" i="36" s="1"/>
  <c r="AV72" i="36"/>
  <c r="CC72" i="36" s="1"/>
  <c r="AV15" i="36"/>
  <c r="CC15" i="36" s="1"/>
  <c r="AV45" i="36"/>
  <c r="CC45" i="36" s="1"/>
  <c r="AV9" i="36"/>
  <c r="CC9" i="36" s="1"/>
  <c r="AV52" i="36"/>
  <c r="CC52" i="36" s="1"/>
  <c r="AV41" i="36"/>
  <c r="CC41" i="36" s="1"/>
  <c r="AV63" i="36"/>
  <c r="CC63" i="36" s="1"/>
  <c r="AV10" i="36"/>
  <c r="CC10" i="36" s="1"/>
  <c r="X45" i="36"/>
  <c r="AZ45" i="36" s="1"/>
  <c r="X63" i="36"/>
  <c r="AZ63" i="36" s="1"/>
  <c r="AV51" i="36"/>
  <c r="CC51" i="36" s="1"/>
  <c r="X80" i="36"/>
  <c r="AZ80" i="36" s="1"/>
  <c r="AV62" i="36"/>
  <c r="CC62" i="36" s="1"/>
  <c r="X81" i="36"/>
  <c r="AZ81" i="36" s="1"/>
  <c r="X36" i="36"/>
  <c r="AZ36" i="36" s="1"/>
  <c r="X59" i="36"/>
  <c r="AZ59" i="36" s="1"/>
  <c r="AV54" i="36"/>
  <c r="CC54" i="36" s="1"/>
  <c r="AV12" i="36"/>
  <c r="CC12" i="36" s="1"/>
  <c r="AV34" i="36"/>
  <c r="CC34" i="36" s="1"/>
  <c r="X42" i="36"/>
  <c r="AZ42" i="36" s="1"/>
  <c r="X21" i="36"/>
  <c r="AZ21" i="36" s="1"/>
  <c r="X64" i="36"/>
  <c r="AZ64" i="36" s="1"/>
  <c r="AV75" i="36"/>
  <c r="CC75" i="36" s="1"/>
  <c r="X20" i="36"/>
  <c r="AZ20" i="36" s="1"/>
  <c r="AV36" i="36"/>
  <c r="CC36" i="36" s="1"/>
  <c r="X12" i="36"/>
  <c r="AZ12" i="36" s="1"/>
  <c r="X13" i="36"/>
  <c r="AZ13" i="36" s="1"/>
  <c r="AV20" i="36"/>
  <c r="CC20" i="36" s="1"/>
  <c r="X31" i="36"/>
  <c r="AZ31" i="36" s="1"/>
  <c r="X51" i="36"/>
  <c r="AZ51" i="36" s="1"/>
  <c r="AV71" i="36"/>
  <c r="CC71" i="36" s="1"/>
  <c r="AV30" i="36"/>
  <c r="CC30" i="36" s="1"/>
  <c r="X85" i="36"/>
  <c r="AZ85" i="36" s="1"/>
  <c r="X62" i="36"/>
  <c r="AZ62" i="36" s="1"/>
  <c r="AV24" i="36"/>
  <c r="CC24" i="36" s="1"/>
  <c r="AV74" i="36"/>
  <c r="CC74" i="36" s="1"/>
  <c r="AV76" i="36"/>
  <c r="CC76" i="36" s="1"/>
  <c r="X49" i="36"/>
  <c r="AZ49" i="36" s="1"/>
  <c r="AV32" i="36"/>
  <c r="CC32" i="36" s="1"/>
  <c r="X43" i="36"/>
  <c r="AZ43" i="36" s="1"/>
  <c r="X33" i="36"/>
  <c r="AZ33" i="36" s="1"/>
  <c r="AV44" i="36"/>
  <c r="CC44" i="36" s="1"/>
  <c r="AV49" i="36"/>
  <c r="CC49" i="36" s="1"/>
  <c r="X54" i="36"/>
  <c r="AZ54" i="36" s="1"/>
  <c r="AV29" i="36"/>
  <c r="CC29" i="36" s="1"/>
  <c r="X39" i="36"/>
  <c r="AZ39" i="36" s="1"/>
  <c r="AV66" i="36"/>
  <c r="CC66" i="36" s="1"/>
  <c r="X79" i="36"/>
  <c r="AZ79" i="36" s="1"/>
  <c r="X14" i="36"/>
  <c r="AZ14" i="36" s="1"/>
  <c r="X56" i="36"/>
  <c r="AZ56" i="36" s="1"/>
  <c r="AV39" i="36"/>
  <c r="CC39" i="36" s="1"/>
  <c r="AV19" i="36"/>
  <c r="CC19" i="36" s="1"/>
  <c r="BU52" i="32"/>
  <c r="CD52" i="32" s="1"/>
  <c r="CD51" i="32"/>
  <c r="AV35" i="36"/>
  <c r="CC35" i="36" s="1"/>
  <c r="BS51" i="32"/>
  <c r="BJ52" i="32"/>
  <c r="BS52" i="32" s="1"/>
  <c r="AN8" i="32"/>
  <c r="AN9" i="32" s="1"/>
  <c r="AV56" i="36"/>
  <c r="CC56" i="36" s="1"/>
  <c r="X61" i="36"/>
  <c r="AZ61" i="36" s="1"/>
  <c r="X9" i="36"/>
  <c r="AZ9" i="36" s="1"/>
  <c r="AV43" i="36"/>
  <c r="CC43" i="36" s="1"/>
  <c r="X16" i="36"/>
  <c r="AZ16" i="36" s="1"/>
  <c r="X70" i="36"/>
  <c r="AZ70" i="36" s="1"/>
  <c r="X55" i="36"/>
  <c r="AZ55" i="36" s="1"/>
  <c r="X44" i="36"/>
  <c r="AZ44" i="36" s="1"/>
  <c r="X66" i="36"/>
  <c r="AZ66" i="36" s="1"/>
  <c r="X23" i="36"/>
  <c r="AZ23" i="36" s="1"/>
  <c r="X22" i="36"/>
  <c r="AZ22" i="36" s="1"/>
  <c r="AV60" i="36"/>
  <c r="CC60" i="36" s="1"/>
  <c r="AV53" i="36"/>
  <c r="CC53" i="36" s="1"/>
  <c r="AV40" i="36"/>
  <c r="CC40" i="36" s="1"/>
  <c r="X32" i="36"/>
  <c r="AZ32" i="36" s="1"/>
  <c r="X86" i="36"/>
  <c r="AZ86" i="36" s="1"/>
  <c r="AV26" i="36"/>
  <c r="CC26" i="36" s="1"/>
  <c r="AV70" i="36"/>
  <c r="CC70" i="36" s="1"/>
  <c r="X83" i="36"/>
  <c r="AZ83" i="36" s="1"/>
  <c r="X34" i="36"/>
  <c r="AZ34" i="36" s="1"/>
  <c r="X19" i="36"/>
  <c r="AZ19" i="36" s="1"/>
  <c r="X29" i="36"/>
  <c r="AZ29" i="36" s="1"/>
  <c r="X65" i="36"/>
  <c r="AZ65" i="36" s="1"/>
  <c r="X60" i="36"/>
  <c r="X52" i="36"/>
  <c r="X40" i="36"/>
  <c r="X46" i="36"/>
  <c r="X30" i="36"/>
  <c r="AZ30" i="36" s="1"/>
  <c r="AV59" i="36"/>
  <c r="CC59" i="36" s="1"/>
  <c r="AV21" i="36"/>
  <c r="CC21" i="36" s="1"/>
  <c r="X41" i="36"/>
  <c r="AZ41" i="36" s="1"/>
  <c r="X25" i="36"/>
  <c r="AZ25" i="36" s="1"/>
  <c r="X26" i="36"/>
  <c r="AZ26" i="36" s="1"/>
  <c r="AV65" i="36"/>
  <c r="CC65" i="36" s="1"/>
  <c r="AV64" i="36"/>
  <c r="CC64" i="36" s="1"/>
  <c r="AV61" i="36"/>
  <c r="CC61" i="36" s="1"/>
  <c r="AV22" i="36"/>
  <c r="CC22" i="36" s="1"/>
  <c r="X35" i="36"/>
  <c r="AZ35" i="36" s="1"/>
  <c r="X50" i="36"/>
  <c r="AZ50" i="36" s="1"/>
  <c r="X71" i="36"/>
  <c r="AZ71" i="36" s="1"/>
  <c r="AV31" i="36"/>
  <c r="CC31" i="36" s="1"/>
  <c r="X11" i="36"/>
  <c r="AZ11" i="36" s="1"/>
  <c r="AV33" i="36"/>
  <c r="CC33" i="36" s="1"/>
  <c r="X15" i="36"/>
  <c r="AZ15" i="36" s="1"/>
  <c r="X10" i="36"/>
  <c r="X76" i="36"/>
  <c r="AZ76" i="36" s="1"/>
  <c r="AV80" i="36"/>
  <c r="CC80" i="36" s="1"/>
  <c r="AV85" i="36"/>
  <c r="CC85" i="36" s="1"/>
  <c r="X73" i="36"/>
  <c r="AZ73" i="36" s="1"/>
  <c r="AV81" i="36"/>
  <c r="CC81" i="36" s="1"/>
  <c r="AV86" i="36"/>
  <c r="CC86" i="36" s="1"/>
  <c r="AV84" i="36"/>
  <c r="CC84" i="36" s="1"/>
  <c r="X69" i="36"/>
  <c r="AZ69" i="36" s="1"/>
  <c r="AV79" i="36"/>
  <c r="CC79" i="36" s="1"/>
  <c r="AV82" i="36"/>
  <c r="CC82" i="36" s="1"/>
  <c r="X72" i="36"/>
  <c r="AZ72" i="36" s="1"/>
  <c r="AV83" i="36"/>
  <c r="CC83" i="36" s="1"/>
  <c r="X75" i="36"/>
  <c r="AZ75" i="36" s="1"/>
  <c r="X74" i="36"/>
  <c r="AZ74" i="36" s="1"/>
  <c r="DF177" i="36" l="1"/>
  <c r="DF176" i="36" s="1"/>
  <c r="DE177" i="36"/>
  <c r="DE176" i="36" s="1"/>
  <c r="DI204" i="36"/>
  <c r="DI177" i="36"/>
  <c r="DI178" i="36" s="1"/>
  <c r="DI179" i="36" s="1"/>
  <c r="DI180" i="36" s="1"/>
  <c r="DI181" i="36" s="1"/>
  <c r="DI182" i="36" s="1"/>
  <c r="DI183" i="36" s="1"/>
  <c r="DI184" i="36" s="1"/>
  <c r="DI185" i="36" s="1"/>
  <c r="DI186" i="36" s="1"/>
  <c r="DI187" i="36" s="1"/>
  <c r="DI188" i="36" s="1"/>
  <c r="DI189" i="36" s="1"/>
  <c r="DI190" i="36" s="1"/>
  <c r="DI191" i="36" s="1"/>
  <c r="DI192" i="36" s="1"/>
  <c r="DI193" i="36" s="1"/>
  <c r="DI194" i="36" s="1"/>
  <c r="DI195" i="36" s="1"/>
  <c r="DI196" i="36" s="1"/>
  <c r="DI197" i="36" s="1"/>
  <c r="DI198" i="36" s="1"/>
  <c r="DI199" i="36" s="1"/>
  <c r="DI200" i="36" s="1"/>
  <c r="DI201" i="36" s="1"/>
  <c r="DI202" i="36" s="1"/>
  <c r="DI203" i="36" s="1"/>
  <c r="DM174" i="36"/>
  <c r="DT174" i="36" s="1"/>
  <c r="DM166" i="36"/>
  <c r="DT166" i="36" s="1"/>
  <c r="DM158" i="36"/>
  <c r="DT158" i="36" s="1"/>
  <c r="DM150" i="36"/>
  <c r="DT150" i="36" s="1"/>
  <c r="DM169" i="36"/>
  <c r="DT169" i="36" s="1"/>
  <c r="DM161" i="36"/>
  <c r="DT161" i="36" s="1"/>
  <c r="DM153" i="36"/>
  <c r="DT153" i="36" s="1"/>
  <c r="DM172" i="36"/>
  <c r="DT172" i="36" s="1"/>
  <c r="DM156" i="36"/>
  <c r="DT156" i="36" s="1"/>
  <c r="DM167" i="36"/>
  <c r="DT167" i="36" s="1"/>
  <c r="DM151" i="36"/>
  <c r="DT151" i="36" s="1"/>
  <c r="DM160" i="36"/>
  <c r="DT160" i="36" s="1"/>
  <c r="DM171" i="36"/>
  <c r="DT171" i="36" s="1"/>
  <c r="DM155" i="36"/>
  <c r="DT155" i="36" s="1"/>
  <c r="DL175" i="36"/>
  <c r="DS175" i="36" s="1"/>
  <c r="DM170" i="36"/>
  <c r="DT170" i="36" s="1"/>
  <c r="DM162" i="36"/>
  <c r="DT162" i="36" s="1"/>
  <c r="DM154" i="36"/>
  <c r="DT154" i="36" s="1"/>
  <c r="DM173" i="36"/>
  <c r="DT173" i="36" s="1"/>
  <c r="DM165" i="36"/>
  <c r="DT165" i="36" s="1"/>
  <c r="DM157" i="36"/>
  <c r="DT157" i="36" s="1"/>
  <c r="DM149" i="36"/>
  <c r="DT149" i="36" s="1"/>
  <c r="DM164" i="36"/>
  <c r="DT164" i="36" s="1"/>
  <c r="DM148" i="36"/>
  <c r="DT148" i="36" s="1"/>
  <c r="DM159" i="36"/>
  <c r="DT159" i="36" s="1"/>
  <c r="DM168" i="36"/>
  <c r="DT168" i="36" s="1"/>
  <c r="DM152" i="36"/>
  <c r="DT152" i="36" s="1"/>
  <c r="DM163" i="36"/>
  <c r="DT163" i="36" s="1"/>
  <c r="DL163" i="36"/>
  <c r="DS163" i="36" s="1"/>
  <c r="DL174" i="36"/>
  <c r="DS174" i="36" s="1"/>
  <c r="DL158" i="36"/>
  <c r="DS158" i="36" s="1"/>
  <c r="DL169" i="36"/>
  <c r="DS169" i="36" s="1"/>
  <c r="DL153" i="36"/>
  <c r="DS153" i="36" s="1"/>
  <c r="DL164" i="36"/>
  <c r="DS164" i="36" s="1"/>
  <c r="DL148" i="36"/>
  <c r="DS148" i="36" s="1"/>
  <c r="DL159" i="36"/>
  <c r="DS159" i="36" s="1"/>
  <c r="DL170" i="36"/>
  <c r="DS170" i="36" s="1"/>
  <c r="DL154" i="36"/>
  <c r="DS154" i="36" s="1"/>
  <c r="DL165" i="36"/>
  <c r="DS165" i="36" s="1"/>
  <c r="DL149" i="36"/>
  <c r="DS149" i="36" s="1"/>
  <c r="DL160" i="36"/>
  <c r="DS160" i="36" s="1"/>
  <c r="DL171" i="36"/>
  <c r="DS171" i="36" s="1"/>
  <c r="DL155" i="36"/>
  <c r="DS155" i="36" s="1"/>
  <c r="DL166" i="36"/>
  <c r="DS166" i="36" s="1"/>
  <c r="DL150" i="36"/>
  <c r="DS150" i="36" s="1"/>
  <c r="DL161" i="36"/>
  <c r="DS161" i="36" s="1"/>
  <c r="DL172" i="36"/>
  <c r="DS172" i="36" s="1"/>
  <c r="DL156" i="36"/>
  <c r="DS156" i="36" s="1"/>
  <c r="DL167" i="36"/>
  <c r="DS167" i="36" s="1"/>
  <c r="DL151" i="36"/>
  <c r="DS151" i="36" s="1"/>
  <c r="DL162" i="36"/>
  <c r="DS162" i="36" s="1"/>
  <c r="DL173" i="36"/>
  <c r="DS173" i="36" s="1"/>
  <c r="DL157" i="36"/>
  <c r="DS157" i="36" s="1"/>
  <c r="DL168" i="36"/>
  <c r="DS168" i="36" s="1"/>
  <c r="I11" i="16"/>
  <c r="D11" i="16"/>
  <c r="B11" i="16" s="1"/>
  <c r="A12" i="16"/>
  <c r="AZ40" i="36"/>
  <c r="AZ60" i="36"/>
  <c r="AZ46" i="36"/>
  <c r="AZ52" i="36"/>
  <c r="AZ10" i="36"/>
  <c r="DL197" i="36" l="1"/>
  <c r="DS197" i="36" s="1"/>
  <c r="DL189" i="36"/>
  <c r="DS189" i="36" s="1"/>
  <c r="DL181" i="36"/>
  <c r="DS181" i="36" s="1"/>
  <c r="DL200" i="36"/>
  <c r="DS200" i="36" s="1"/>
  <c r="DL192" i="36"/>
  <c r="DS192" i="36" s="1"/>
  <c r="DL184" i="36"/>
  <c r="DS184" i="36" s="1"/>
  <c r="DL176" i="36"/>
  <c r="DS176" i="36" s="1"/>
  <c r="DM188" i="36"/>
  <c r="DT188" i="36" s="1"/>
  <c r="DM199" i="36"/>
  <c r="DT199" i="36" s="1"/>
  <c r="DM183" i="36"/>
  <c r="DT183" i="36" s="1"/>
  <c r="DM194" i="36"/>
  <c r="DT194" i="36" s="1"/>
  <c r="DM178" i="36"/>
  <c r="DT178" i="36" s="1"/>
  <c r="DM189" i="36"/>
  <c r="DT189" i="36" s="1"/>
  <c r="DL203" i="36"/>
  <c r="DS203" i="36" s="1"/>
  <c r="DL195" i="36"/>
  <c r="DS195" i="36" s="1"/>
  <c r="DL187" i="36"/>
  <c r="DS187" i="36" s="1"/>
  <c r="DL179" i="36"/>
  <c r="DS179" i="36" s="1"/>
  <c r="DL198" i="36"/>
  <c r="DS198" i="36" s="1"/>
  <c r="DL190" i="36"/>
  <c r="DS190" i="36" s="1"/>
  <c r="DL182" i="36"/>
  <c r="DS182" i="36" s="1"/>
  <c r="DM200" i="36"/>
  <c r="DT200" i="36" s="1"/>
  <c r="DM184" i="36"/>
  <c r="DT184" i="36" s="1"/>
  <c r="DM195" i="36"/>
  <c r="DT195" i="36" s="1"/>
  <c r="DM179" i="36"/>
  <c r="DT179" i="36" s="1"/>
  <c r="DM190" i="36"/>
  <c r="DT190" i="36" s="1"/>
  <c r="DM201" i="36"/>
  <c r="DT201" i="36" s="1"/>
  <c r="DM185" i="36"/>
  <c r="DT185" i="36" s="1"/>
  <c r="DL201" i="36"/>
  <c r="DS201" i="36" s="1"/>
  <c r="DL193" i="36"/>
  <c r="DS193" i="36" s="1"/>
  <c r="DL185" i="36"/>
  <c r="DS185" i="36" s="1"/>
  <c r="DL177" i="36"/>
  <c r="DS177" i="36" s="1"/>
  <c r="DL196" i="36"/>
  <c r="DS196" i="36" s="1"/>
  <c r="DL188" i="36"/>
  <c r="DS188" i="36" s="1"/>
  <c r="DL180" i="36"/>
  <c r="DS180" i="36" s="1"/>
  <c r="DM196" i="36"/>
  <c r="DT196" i="36" s="1"/>
  <c r="DM180" i="36"/>
  <c r="DT180" i="36" s="1"/>
  <c r="DM191" i="36"/>
  <c r="DT191" i="36" s="1"/>
  <c r="DM202" i="36"/>
  <c r="DT202" i="36" s="1"/>
  <c r="DM186" i="36"/>
  <c r="DT186" i="36" s="1"/>
  <c r="DM197" i="36"/>
  <c r="DT197" i="36" s="1"/>
  <c r="DM181" i="36"/>
  <c r="DT181" i="36" s="1"/>
  <c r="DL199" i="36"/>
  <c r="DS199" i="36" s="1"/>
  <c r="DL191" i="36"/>
  <c r="DS191" i="36" s="1"/>
  <c r="DL183" i="36"/>
  <c r="DS183" i="36" s="1"/>
  <c r="DL202" i="36"/>
  <c r="DS202" i="36" s="1"/>
  <c r="DL194" i="36"/>
  <c r="DS194" i="36" s="1"/>
  <c r="DL186" i="36"/>
  <c r="DS186" i="36" s="1"/>
  <c r="DL178" i="36"/>
  <c r="DS178" i="36" s="1"/>
  <c r="DM192" i="36"/>
  <c r="DT192" i="36" s="1"/>
  <c r="DM176" i="36"/>
  <c r="DT176" i="36" s="1"/>
  <c r="DM187" i="36"/>
  <c r="DT187" i="36" s="1"/>
  <c r="DM198" i="36"/>
  <c r="DT198" i="36" s="1"/>
  <c r="DM182" i="36"/>
  <c r="DT182" i="36" s="1"/>
  <c r="DM193" i="36"/>
  <c r="DT193" i="36" s="1"/>
  <c r="DM177" i="36"/>
  <c r="DT177" i="36" s="1"/>
  <c r="DI232" i="36"/>
  <c r="DE205" i="36"/>
  <c r="DE204" i="36" s="1"/>
  <c r="DI205" i="36"/>
  <c r="DI206" i="36" s="1"/>
  <c r="DI207" i="36" s="1"/>
  <c r="DI208" i="36" s="1"/>
  <c r="DI209" i="36" s="1"/>
  <c r="DI210" i="36" s="1"/>
  <c r="DI211" i="36" s="1"/>
  <c r="DI212" i="36" s="1"/>
  <c r="DI213" i="36" s="1"/>
  <c r="DI214" i="36" s="1"/>
  <c r="DI215" i="36" s="1"/>
  <c r="DI216" i="36" s="1"/>
  <c r="DI217" i="36" s="1"/>
  <c r="DI218" i="36" s="1"/>
  <c r="DI219" i="36" s="1"/>
  <c r="DI220" i="36" s="1"/>
  <c r="DI221" i="36" s="1"/>
  <c r="DI222" i="36" s="1"/>
  <c r="DI223" i="36" s="1"/>
  <c r="DI224" i="36" s="1"/>
  <c r="DI225" i="36" s="1"/>
  <c r="DI226" i="36" s="1"/>
  <c r="DI227" i="36" s="1"/>
  <c r="DI228" i="36" s="1"/>
  <c r="DI229" i="36" s="1"/>
  <c r="DI230" i="36" s="1"/>
  <c r="DI231" i="36" s="1"/>
  <c r="DF205" i="36"/>
  <c r="DF204" i="36" s="1"/>
  <c r="I12" i="16"/>
  <c r="D12" i="16"/>
  <c r="K7" i="16"/>
  <c r="B10" i="16"/>
  <c r="A13" i="16"/>
  <c r="D13" i="16" s="1"/>
  <c r="DI233" i="36" l="1"/>
  <c r="DI234" i="36" s="1"/>
  <c r="DI235" i="36" s="1"/>
  <c r="DI236" i="36" s="1"/>
  <c r="DI237" i="36" s="1"/>
  <c r="DI238" i="36" s="1"/>
  <c r="DI239" i="36" s="1"/>
  <c r="DI240" i="36" s="1"/>
  <c r="DI241" i="36" s="1"/>
  <c r="DI242" i="36" s="1"/>
  <c r="DI243" i="36" s="1"/>
  <c r="DI244" i="36" s="1"/>
  <c r="DI245" i="36" s="1"/>
  <c r="DI246" i="36" s="1"/>
  <c r="DI247" i="36" s="1"/>
  <c r="DI248" i="36" s="1"/>
  <c r="DI249" i="36" s="1"/>
  <c r="DI250" i="36" s="1"/>
  <c r="DI251" i="36" s="1"/>
  <c r="DI252" i="36" s="1"/>
  <c r="DI253" i="36" s="1"/>
  <c r="DI254" i="36" s="1"/>
  <c r="DI255" i="36" s="1"/>
  <c r="DI256" i="36" s="1"/>
  <c r="DI257" i="36" s="1"/>
  <c r="DI258" i="36" s="1"/>
  <c r="DI259" i="36" s="1"/>
  <c r="DF233" i="36"/>
  <c r="DF232" i="36" s="1"/>
  <c r="DI260" i="36"/>
  <c r="DE233" i="36"/>
  <c r="DE232" i="36" s="1"/>
  <c r="DL210" i="36"/>
  <c r="DS210" i="36" s="1"/>
  <c r="DL226" i="36"/>
  <c r="DS226" i="36" s="1"/>
  <c r="DL215" i="36"/>
  <c r="DS215" i="36" s="1"/>
  <c r="DL206" i="36"/>
  <c r="DS206" i="36" s="1"/>
  <c r="DL222" i="36"/>
  <c r="DS222" i="36" s="1"/>
  <c r="DL211" i="36"/>
  <c r="DS211" i="36" s="1"/>
  <c r="DL227" i="36"/>
  <c r="DS227" i="36" s="1"/>
  <c r="DL212" i="36"/>
  <c r="DS212" i="36" s="1"/>
  <c r="DL228" i="36"/>
  <c r="DS228" i="36" s="1"/>
  <c r="DL217" i="36"/>
  <c r="DS217" i="36" s="1"/>
  <c r="DL231" i="36"/>
  <c r="DS231" i="36" s="1"/>
  <c r="DM218" i="36"/>
  <c r="DT218" i="36" s="1"/>
  <c r="DM229" i="36"/>
  <c r="DT229" i="36" s="1"/>
  <c r="DM213" i="36"/>
  <c r="DT213" i="36" s="1"/>
  <c r="DM220" i="36"/>
  <c r="DT220" i="36" s="1"/>
  <c r="DM215" i="36"/>
  <c r="DT215" i="36" s="1"/>
  <c r="DM208" i="36"/>
  <c r="DT208" i="36" s="1"/>
  <c r="DL208" i="36"/>
  <c r="DS208" i="36" s="1"/>
  <c r="DL224" i="36"/>
  <c r="DS224" i="36" s="1"/>
  <c r="DL213" i="36"/>
  <c r="DS213" i="36" s="1"/>
  <c r="DL229" i="36"/>
  <c r="DS229" i="36" s="1"/>
  <c r="DM222" i="36"/>
  <c r="DT222" i="36" s="1"/>
  <c r="DM206" i="36"/>
  <c r="DT206" i="36" s="1"/>
  <c r="DM217" i="36"/>
  <c r="DT217" i="36" s="1"/>
  <c r="DM228" i="36"/>
  <c r="DT228" i="36" s="1"/>
  <c r="DM223" i="36"/>
  <c r="DT223" i="36" s="1"/>
  <c r="DM216" i="36"/>
  <c r="DT216" i="36" s="1"/>
  <c r="DM211" i="36"/>
  <c r="DT211" i="36" s="1"/>
  <c r="DL218" i="36"/>
  <c r="DS218" i="36" s="1"/>
  <c r="DL207" i="36"/>
  <c r="DS207" i="36" s="1"/>
  <c r="DL223" i="36"/>
  <c r="DS223" i="36" s="1"/>
  <c r="DL214" i="36"/>
  <c r="DS214" i="36" s="1"/>
  <c r="DL230" i="36"/>
  <c r="DS230" i="36" s="1"/>
  <c r="DL219" i="36"/>
  <c r="DS219" i="36" s="1"/>
  <c r="DL204" i="36"/>
  <c r="DS204" i="36" s="1"/>
  <c r="DL220" i="36"/>
  <c r="DS220" i="36" s="1"/>
  <c r="DL209" i="36"/>
  <c r="DS209" i="36" s="1"/>
  <c r="DL225" i="36"/>
  <c r="DS225" i="36" s="1"/>
  <c r="DM226" i="36"/>
  <c r="DT226" i="36" s="1"/>
  <c r="DM210" i="36"/>
  <c r="DT210" i="36" s="1"/>
  <c r="DM221" i="36"/>
  <c r="DT221" i="36" s="1"/>
  <c r="DM205" i="36"/>
  <c r="DT205" i="36" s="1"/>
  <c r="DM204" i="36"/>
  <c r="DT204" i="36" s="1"/>
  <c r="DM224" i="36"/>
  <c r="DT224" i="36" s="1"/>
  <c r="DM219" i="36"/>
  <c r="DT219" i="36" s="1"/>
  <c r="DL216" i="36"/>
  <c r="DS216" i="36" s="1"/>
  <c r="DL205" i="36"/>
  <c r="DS205" i="36" s="1"/>
  <c r="DL221" i="36"/>
  <c r="DS221" i="36" s="1"/>
  <c r="DM230" i="36"/>
  <c r="DT230" i="36" s="1"/>
  <c r="DM214" i="36"/>
  <c r="DT214" i="36" s="1"/>
  <c r="DM225" i="36"/>
  <c r="DT225" i="36" s="1"/>
  <c r="DM209" i="36"/>
  <c r="DT209" i="36" s="1"/>
  <c r="DM212" i="36"/>
  <c r="DT212" i="36" s="1"/>
  <c r="DM207" i="36"/>
  <c r="DT207" i="36" s="1"/>
  <c r="DM227" i="36"/>
  <c r="DT227" i="36" s="1"/>
  <c r="I13" i="16"/>
  <c r="B13" i="16"/>
  <c r="A14" i="16"/>
  <c r="D14" i="16" s="1"/>
  <c r="DM246" i="36" l="1"/>
  <c r="DT246" i="36" s="1"/>
  <c r="DM257" i="36"/>
  <c r="DT257" i="36" s="1"/>
  <c r="DM241" i="36"/>
  <c r="DT241" i="36" s="1"/>
  <c r="DL247" i="36"/>
  <c r="DS247" i="36" s="1"/>
  <c r="DL242" i="36"/>
  <c r="DS242" i="36" s="1"/>
  <c r="DL237" i="36"/>
  <c r="DS237" i="36" s="1"/>
  <c r="DL232" i="36"/>
  <c r="DS232" i="36" s="1"/>
  <c r="DM250" i="36"/>
  <c r="DT250" i="36" s="1"/>
  <c r="DM234" i="36"/>
  <c r="DT234" i="36" s="1"/>
  <c r="DM245" i="36"/>
  <c r="DT245" i="36" s="1"/>
  <c r="DL255" i="36"/>
  <c r="DS255" i="36" s="1"/>
  <c r="DL250" i="36"/>
  <c r="DS250" i="36" s="1"/>
  <c r="DL245" i="36"/>
  <c r="DS245" i="36" s="1"/>
  <c r="DL240" i="36"/>
  <c r="DS240" i="36" s="1"/>
  <c r="DL252" i="36"/>
  <c r="DS252" i="36" s="1"/>
  <c r="DL257" i="36"/>
  <c r="DS257" i="36" s="1"/>
  <c r="DL235" i="36"/>
  <c r="DS235" i="36" s="1"/>
  <c r="DM235" i="36"/>
  <c r="DT235" i="36" s="1"/>
  <c r="DM251" i="36"/>
  <c r="DT251" i="36" s="1"/>
  <c r="DM240" i="36"/>
  <c r="DT240" i="36" s="1"/>
  <c r="DM256" i="36"/>
  <c r="DT256" i="36" s="1"/>
  <c r="DL233" i="36"/>
  <c r="DS233" i="36" s="1"/>
  <c r="DL238" i="36"/>
  <c r="DS238" i="36" s="1"/>
  <c r="DL243" i="36"/>
  <c r="DS243" i="36" s="1"/>
  <c r="DM239" i="36"/>
  <c r="DT239" i="36" s="1"/>
  <c r="DM255" i="36"/>
  <c r="DT255" i="36" s="1"/>
  <c r="DM244" i="36"/>
  <c r="DT244" i="36" s="1"/>
  <c r="DL254" i="36"/>
  <c r="DS254" i="36" s="1"/>
  <c r="DM247" i="36"/>
  <c r="DT247" i="36" s="1"/>
  <c r="DM252" i="36"/>
  <c r="DT252" i="36" s="1"/>
  <c r="DM254" i="36"/>
  <c r="DT254" i="36" s="1"/>
  <c r="DM238" i="36"/>
  <c r="DT238" i="36" s="1"/>
  <c r="DM249" i="36"/>
  <c r="DT249" i="36" s="1"/>
  <c r="DM233" i="36"/>
  <c r="DT233" i="36" s="1"/>
  <c r="DL258" i="36"/>
  <c r="DS258" i="36" s="1"/>
  <c r="DL253" i="36"/>
  <c r="DS253" i="36" s="1"/>
  <c r="DL248" i="36"/>
  <c r="DS248" i="36" s="1"/>
  <c r="DM258" i="36"/>
  <c r="DT258" i="36" s="1"/>
  <c r="DM242" i="36"/>
  <c r="DT242" i="36" s="1"/>
  <c r="DM253" i="36"/>
  <c r="DT253" i="36" s="1"/>
  <c r="DM237" i="36"/>
  <c r="DT237" i="36" s="1"/>
  <c r="DL239" i="36"/>
  <c r="DS239" i="36" s="1"/>
  <c r="DL234" i="36"/>
  <c r="DS234" i="36" s="1"/>
  <c r="DL256" i="36"/>
  <c r="DS256" i="36" s="1"/>
  <c r="DL236" i="36"/>
  <c r="DS236" i="36" s="1"/>
  <c r="DL241" i="36"/>
  <c r="DS241" i="36" s="1"/>
  <c r="DL246" i="36"/>
  <c r="DS246" i="36" s="1"/>
  <c r="DL251" i="36"/>
  <c r="DS251" i="36" s="1"/>
  <c r="DM243" i="36"/>
  <c r="DT243" i="36" s="1"/>
  <c r="DM232" i="36"/>
  <c r="DT232" i="36" s="1"/>
  <c r="DM248" i="36"/>
  <c r="DT248" i="36" s="1"/>
  <c r="DL244" i="36"/>
  <c r="DS244" i="36" s="1"/>
  <c r="DL249" i="36"/>
  <c r="DS249" i="36" s="1"/>
  <c r="DL259" i="36"/>
  <c r="DS259" i="36" s="1"/>
  <c r="DM236" i="36"/>
  <c r="DT236" i="36" s="1"/>
  <c r="DI288" i="36"/>
  <c r="DI261" i="36"/>
  <c r="DI262" i="36" s="1"/>
  <c r="DI263" i="36" s="1"/>
  <c r="DI264" i="36" s="1"/>
  <c r="DI265" i="36" s="1"/>
  <c r="DI266" i="36" s="1"/>
  <c r="DI267" i="36" s="1"/>
  <c r="DI268" i="36" s="1"/>
  <c r="DI269" i="36" s="1"/>
  <c r="DI270" i="36" s="1"/>
  <c r="DI271" i="36" s="1"/>
  <c r="DI272" i="36" s="1"/>
  <c r="DI273" i="36" s="1"/>
  <c r="DI274" i="36" s="1"/>
  <c r="DI275" i="36" s="1"/>
  <c r="DI276" i="36" s="1"/>
  <c r="DI277" i="36" s="1"/>
  <c r="DI278" i="36" s="1"/>
  <c r="DI279" i="36" s="1"/>
  <c r="DI280" i="36" s="1"/>
  <c r="DI281" i="36" s="1"/>
  <c r="DI282" i="36" s="1"/>
  <c r="DI283" i="36" s="1"/>
  <c r="DI284" i="36" s="1"/>
  <c r="DI285" i="36" s="1"/>
  <c r="DI286" i="36" s="1"/>
  <c r="DI287" i="36" s="1"/>
  <c r="DF261" i="36"/>
  <c r="DF260" i="36" s="1"/>
  <c r="DE261" i="36"/>
  <c r="DE260" i="36" s="1"/>
  <c r="I14" i="16"/>
  <c r="K8" i="16"/>
  <c r="B12" i="16"/>
  <c r="A15" i="16"/>
  <c r="DE289" i="36" l="1"/>
  <c r="DE288" i="36" s="1"/>
  <c r="DI316" i="36"/>
  <c r="DF289" i="36"/>
  <c r="DF288" i="36" s="1"/>
  <c r="DI289" i="36"/>
  <c r="DI290" i="36" s="1"/>
  <c r="DI291" i="36" s="1"/>
  <c r="DI292" i="36" s="1"/>
  <c r="DI293" i="36" s="1"/>
  <c r="DI294" i="36" s="1"/>
  <c r="DI295" i="36" s="1"/>
  <c r="DI296" i="36" s="1"/>
  <c r="DI297" i="36" s="1"/>
  <c r="DI298" i="36" s="1"/>
  <c r="DI299" i="36" s="1"/>
  <c r="DI300" i="36" s="1"/>
  <c r="DI301" i="36" s="1"/>
  <c r="DI302" i="36" s="1"/>
  <c r="DI303" i="36" s="1"/>
  <c r="DI304" i="36" s="1"/>
  <c r="DI305" i="36" s="1"/>
  <c r="DI306" i="36" s="1"/>
  <c r="DI307" i="36" s="1"/>
  <c r="DI308" i="36" s="1"/>
  <c r="DI309" i="36" s="1"/>
  <c r="DI310" i="36" s="1"/>
  <c r="DI311" i="36" s="1"/>
  <c r="DI312" i="36" s="1"/>
  <c r="DI313" i="36" s="1"/>
  <c r="DI314" i="36" s="1"/>
  <c r="DI315" i="36" s="1"/>
  <c r="DM280" i="36"/>
  <c r="DT280" i="36" s="1"/>
  <c r="DM282" i="36"/>
  <c r="DT282" i="36" s="1"/>
  <c r="DM277" i="36"/>
  <c r="DT277" i="36" s="1"/>
  <c r="DM260" i="36"/>
  <c r="DT260" i="36" s="1"/>
  <c r="DL270" i="36"/>
  <c r="DS270" i="36" s="1"/>
  <c r="DL286" i="36"/>
  <c r="DS286" i="36" s="1"/>
  <c r="DL275" i="36"/>
  <c r="DS275" i="36" s="1"/>
  <c r="DM272" i="36"/>
  <c r="DT272" i="36" s="1"/>
  <c r="DM270" i="36"/>
  <c r="DT270" i="36" s="1"/>
  <c r="DM265" i="36"/>
  <c r="DT265" i="36" s="1"/>
  <c r="DM284" i="36"/>
  <c r="DT284" i="36" s="1"/>
  <c r="DL272" i="36"/>
  <c r="DS272" i="36" s="1"/>
  <c r="DL261" i="36"/>
  <c r="DS261" i="36" s="1"/>
  <c r="DL285" i="36"/>
  <c r="DS285" i="36" s="1"/>
  <c r="DM267" i="36"/>
  <c r="DT267" i="36" s="1"/>
  <c r="DM274" i="36"/>
  <c r="DT274" i="36" s="1"/>
  <c r="DM269" i="36"/>
  <c r="DT269" i="36" s="1"/>
  <c r="DM276" i="36"/>
  <c r="DT276" i="36" s="1"/>
  <c r="DL274" i="36"/>
  <c r="DS274" i="36" s="1"/>
  <c r="DL263" i="36"/>
  <c r="DS263" i="36" s="1"/>
  <c r="DL279" i="36"/>
  <c r="DS279" i="36" s="1"/>
  <c r="DM264" i="36"/>
  <c r="DT264" i="36" s="1"/>
  <c r="DM262" i="36"/>
  <c r="DT262" i="36" s="1"/>
  <c r="DM263" i="36"/>
  <c r="DT263" i="36" s="1"/>
  <c r="DL260" i="36"/>
  <c r="DL276" i="36"/>
  <c r="DS276" i="36" s="1"/>
  <c r="DL265" i="36"/>
  <c r="DS265" i="36" s="1"/>
  <c r="DL273" i="36"/>
  <c r="DS273" i="36" s="1"/>
  <c r="DM275" i="36"/>
  <c r="DT275" i="36" s="1"/>
  <c r="DM266" i="36"/>
  <c r="DT266" i="36" s="1"/>
  <c r="DM261" i="36"/>
  <c r="DT261" i="36" s="1"/>
  <c r="DL262" i="36"/>
  <c r="DS262" i="36" s="1"/>
  <c r="DL278" i="36"/>
  <c r="DS278" i="36" s="1"/>
  <c r="DL267" i="36"/>
  <c r="DS267" i="36" s="1"/>
  <c r="DL283" i="36"/>
  <c r="DS283" i="36" s="1"/>
  <c r="DM286" i="36"/>
  <c r="DT286" i="36" s="1"/>
  <c r="DM281" i="36"/>
  <c r="DT281" i="36" s="1"/>
  <c r="DM279" i="36"/>
  <c r="DT279" i="36" s="1"/>
  <c r="DL264" i="36"/>
  <c r="DS264" i="36" s="1"/>
  <c r="DL280" i="36"/>
  <c r="DS280" i="36" s="1"/>
  <c r="DL269" i="36"/>
  <c r="DS269" i="36" s="1"/>
  <c r="DL281" i="36"/>
  <c r="DS281" i="36" s="1"/>
  <c r="DL287" i="36"/>
  <c r="DS287" i="36" s="1"/>
  <c r="DM285" i="36"/>
  <c r="DT285" i="36" s="1"/>
  <c r="DM271" i="36"/>
  <c r="DT271" i="36" s="1"/>
  <c r="DL266" i="36"/>
  <c r="DS266" i="36" s="1"/>
  <c r="DL282" i="36"/>
  <c r="DS282" i="36" s="1"/>
  <c r="DL271" i="36"/>
  <c r="DS271" i="36" s="1"/>
  <c r="DM283" i="36"/>
  <c r="DT283" i="36" s="1"/>
  <c r="DM278" i="36"/>
  <c r="DT278" i="36" s="1"/>
  <c r="DM273" i="36"/>
  <c r="DT273" i="36" s="1"/>
  <c r="DM268" i="36"/>
  <c r="DT268" i="36" s="1"/>
  <c r="DL268" i="36"/>
  <c r="DS268" i="36" s="1"/>
  <c r="DL284" i="36"/>
  <c r="DS284" i="36" s="1"/>
  <c r="DL277" i="36"/>
  <c r="DS277" i="36" s="1"/>
  <c r="I15" i="16"/>
  <c r="D15" i="16"/>
  <c r="B15" i="16" s="1"/>
  <c r="K9" i="16" s="1"/>
  <c r="A16" i="16"/>
  <c r="DE317" i="36" l="1"/>
  <c r="DE316" i="36" s="1"/>
  <c r="DI344" i="36"/>
  <c r="DI317" i="36"/>
  <c r="DI318" i="36" s="1"/>
  <c r="DI319" i="36" s="1"/>
  <c r="DI320" i="36" s="1"/>
  <c r="DI321" i="36" s="1"/>
  <c r="DI322" i="36" s="1"/>
  <c r="DI323" i="36" s="1"/>
  <c r="DI324" i="36" s="1"/>
  <c r="DI325" i="36" s="1"/>
  <c r="DI326" i="36" s="1"/>
  <c r="DI327" i="36" s="1"/>
  <c r="DI328" i="36" s="1"/>
  <c r="DI329" i="36" s="1"/>
  <c r="DI330" i="36" s="1"/>
  <c r="DI331" i="36" s="1"/>
  <c r="DI332" i="36" s="1"/>
  <c r="DI333" i="36" s="1"/>
  <c r="DI334" i="36" s="1"/>
  <c r="DI335" i="36" s="1"/>
  <c r="DI336" i="36" s="1"/>
  <c r="DI337" i="36" s="1"/>
  <c r="DI338" i="36" s="1"/>
  <c r="DI339" i="36" s="1"/>
  <c r="DI340" i="36" s="1"/>
  <c r="DI341" i="36" s="1"/>
  <c r="DI342" i="36" s="1"/>
  <c r="DI343" i="36" s="1"/>
  <c r="DF317" i="36"/>
  <c r="DF316" i="36" s="1"/>
  <c r="DL7" i="36"/>
  <c r="DS260" i="36"/>
  <c r="DS7" i="36" s="1"/>
  <c r="DM314" i="36"/>
  <c r="DM298" i="36"/>
  <c r="DM309" i="36"/>
  <c r="DM293" i="36"/>
  <c r="DL295" i="36"/>
  <c r="DL290" i="36"/>
  <c r="DL312" i="36"/>
  <c r="DM312" i="36"/>
  <c r="DM296" i="36"/>
  <c r="DM307" i="36"/>
  <c r="DM291" i="36"/>
  <c r="DL291" i="36"/>
  <c r="DL313" i="36"/>
  <c r="DL308" i="36"/>
  <c r="DM310" i="36"/>
  <c r="DM294" i="36"/>
  <c r="DM305" i="36"/>
  <c r="DM289" i="36"/>
  <c r="DL314" i="36"/>
  <c r="DL309" i="36"/>
  <c r="DL304" i="36"/>
  <c r="DM308" i="36"/>
  <c r="DM292" i="36"/>
  <c r="DM303" i="36"/>
  <c r="DL315" i="36"/>
  <c r="DL310" i="36"/>
  <c r="DL305" i="36"/>
  <c r="DL300" i="36"/>
  <c r="DL298" i="36"/>
  <c r="DL288" i="36"/>
  <c r="DM311" i="36"/>
  <c r="DL299" i="36"/>
  <c r="DL294" i="36"/>
  <c r="DM306" i="36"/>
  <c r="DM290" i="36"/>
  <c r="DM301" i="36"/>
  <c r="DL311" i="36"/>
  <c r="DL306" i="36"/>
  <c r="DL301" i="36"/>
  <c r="DL296" i="36"/>
  <c r="DM304" i="36"/>
  <c r="DM288" i="36"/>
  <c r="DM299" i="36"/>
  <c r="DL307" i="36"/>
  <c r="DL302" i="36"/>
  <c r="DL297" i="36"/>
  <c r="DL292" i="36"/>
  <c r="DM302" i="36"/>
  <c r="DM313" i="36"/>
  <c r="DM297" i="36"/>
  <c r="DL303" i="36"/>
  <c r="DL293" i="36"/>
  <c r="DM300" i="36"/>
  <c r="DM295" i="36"/>
  <c r="DL289" i="36"/>
  <c r="I16" i="16"/>
  <c r="D16" i="16"/>
  <c r="B14" i="16"/>
  <c r="A17" i="16"/>
  <c r="DF345" i="36" l="1"/>
  <c r="DF344" i="36" s="1"/>
  <c r="DI345" i="36"/>
  <c r="DI346" i="36" s="1"/>
  <c r="DI347" i="36" s="1"/>
  <c r="DI348" i="36" s="1"/>
  <c r="DI349" i="36" s="1"/>
  <c r="DI350" i="36" s="1"/>
  <c r="DI351" i="36" s="1"/>
  <c r="DI352" i="36" s="1"/>
  <c r="DI353" i="36" s="1"/>
  <c r="DI354" i="36" s="1"/>
  <c r="DI355" i="36" s="1"/>
  <c r="DI356" i="36" s="1"/>
  <c r="DI357" i="36" s="1"/>
  <c r="DI358" i="36" s="1"/>
  <c r="DI359" i="36" s="1"/>
  <c r="DI360" i="36" s="1"/>
  <c r="DI361" i="36" s="1"/>
  <c r="DI362" i="36" s="1"/>
  <c r="DI363" i="36" s="1"/>
  <c r="DI364" i="36" s="1"/>
  <c r="DI365" i="36" s="1"/>
  <c r="DI366" i="36" s="1"/>
  <c r="DI367" i="36" s="1"/>
  <c r="DI368" i="36" s="1"/>
  <c r="DI369" i="36" s="1"/>
  <c r="DI370" i="36" s="1"/>
  <c r="DI371" i="36" s="1"/>
  <c r="DE345" i="36"/>
  <c r="DE344" i="36" s="1"/>
  <c r="DI372" i="36"/>
  <c r="DM340" i="36"/>
  <c r="DM331" i="36"/>
  <c r="DM324" i="36"/>
  <c r="DL331" i="36"/>
  <c r="DL342" i="36"/>
  <c r="DL326" i="36"/>
  <c r="DM329" i="36"/>
  <c r="DM334" i="36"/>
  <c r="DM316" i="36"/>
  <c r="DL333" i="36"/>
  <c r="DL317" i="36"/>
  <c r="DL328" i="36"/>
  <c r="DM317" i="36"/>
  <c r="DM322" i="36"/>
  <c r="DM328" i="36"/>
  <c r="DM336" i="36"/>
  <c r="DL343" i="36"/>
  <c r="DL327" i="36"/>
  <c r="DL338" i="36"/>
  <c r="DL322" i="36"/>
  <c r="DM337" i="36"/>
  <c r="DM342" i="36"/>
  <c r="DM332" i="36"/>
  <c r="DL329" i="36"/>
  <c r="DL340" i="36"/>
  <c r="DL324" i="36"/>
  <c r="DM325" i="36"/>
  <c r="DM330" i="36"/>
  <c r="DL339" i="36"/>
  <c r="DL334" i="36"/>
  <c r="DM318" i="36"/>
  <c r="DL341" i="36"/>
  <c r="DL325" i="36"/>
  <c r="DL320" i="36"/>
  <c r="DM338" i="36"/>
  <c r="DM339" i="36"/>
  <c r="DL335" i="36"/>
  <c r="DL319" i="36"/>
  <c r="DM321" i="36"/>
  <c r="DM327" i="36"/>
  <c r="DL321" i="36"/>
  <c r="DL332" i="36"/>
  <c r="DM341" i="36"/>
  <c r="DM323" i="36"/>
  <c r="DM319" i="36"/>
  <c r="DL323" i="36"/>
  <c r="DL318" i="36"/>
  <c r="DM320" i="36"/>
  <c r="DL336" i="36"/>
  <c r="DM333" i="36"/>
  <c r="DM335" i="36"/>
  <c r="DL330" i="36"/>
  <c r="DM326" i="36"/>
  <c r="DL337" i="36"/>
  <c r="DL316" i="36"/>
  <c r="I17" i="16"/>
  <c r="D17" i="16"/>
  <c r="B17" i="16" s="1"/>
  <c r="A18" i="16"/>
  <c r="DI373" i="36" l="1"/>
  <c r="DI374" i="36" s="1"/>
  <c r="DI375" i="36" s="1"/>
  <c r="DI376" i="36" s="1"/>
  <c r="DI377" i="36" s="1"/>
  <c r="DI378" i="36" s="1"/>
  <c r="DI379" i="36" s="1"/>
  <c r="DI380" i="36" s="1"/>
  <c r="DI381" i="36" s="1"/>
  <c r="DI382" i="36" s="1"/>
  <c r="DI383" i="36" s="1"/>
  <c r="DI384" i="36" s="1"/>
  <c r="DI385" i="36" s="1"/>
  <c r="DI386" i="36" s="1"/>
  <c r="DI387" i="36" s="1"/>
  <c r="DI388" i="36" s="1"/>
  <c r="DI389" i="36" s="1"/>
  <c r="DI390" i="36" s="1"/>
  <c r="DI391" i="36" s="1"/>
  <c r="DI392" i="36" s="1"/>
  <c r="DI393" i="36" s="1"/>
  <c r="DI394" i="36" s="1"/>
  <c r="DI395" i="36" s="1"/>
  <c r="DI396" i="36" s="1"/>
  <c r="DI397" i="36" s="1"/>
  <c r="DI398" i="36" s="1"/>
  <c r="DI399" i="36" s="1"/>
  <c r="DF373" i="36"/>
  <c r="DF372" i="36" s="1"/>
  <c r="DE373" i="36"/>
  <c r="DE372" i="36" s="1"/>
  <c r="DI400" i="36"/>
  <c r="DL352" i="36"/>
  <c r="DL368" i="36"/>
  <c r="DL357" i="36"/>
  <c r="DL346" i="36"/>
  <c r="DL362" i="36"/>
  <c r="DL351" i="36"/>
  <c r="DL367" i="36"/>
  <c r="DM348" i="36"/>
  <c r="DM370" i="36"/>
  <c r="DM360" i="36"/>
  <c r="DM350" i="36"/>
  <c r="DL345" i="36"/>
  <c r="DL350" i="36"/>
  <c r="DL355" i="36"/>
  <c r="DM362" i="36"/>
  <c r="DM352" i="36"/>
  <c r="DL344" i="36"/>
  <c r="DL360" i="36"/>
  <c r="DL349" i="36"/>
  <c r="DL365" i="36"/>
  <c r="DL354" i="36"/>
  <c r="DL370" i="36"/>
  <c r="DL359" i="36"/>
  <c r="DM364" i="36"/>
  <c r="DM359" i="36"/>
  <c r="DM354" i="36"/>
  <c r="DM349" i="36"/>
  <c r="DM344" i="36"/>
  <c r="DM366" i="36"/>
  <c r="DM361" i="36"/>
  <c r="DL348" i="36"/>
  <c r="DL364" i="36"/>
  <c r="DL353" i="36"/>
  <c r="DL369" i="36"/>
  <c r="DL358" i="36"/>
  <c r="DL347" i="36"/>
  <c r="DL363" i="36"/>
  <c r="DM356" i="36"/>
  <c r="DM351" i="36"/>
  <c r="DM346" i="36"/>
  <c r="DM368" i="36"/>
  <c r="DM363" i="36"/>
  <c r="DM358" i="36"/>
  <c r="DM353" i="36"/>
  <c r="DM365" i="36"/>
  <c r="DM355" i="36"/>
  <c r="DM345" i="36"/>
  <c r="DL356" i="36"/>
  <c r="DL361" i="36"/>
  <c r="DL366" i="36"/>
  <c r="DL371" i="36"/>
  <c r="DM367" i="36"/>
  <c r="DM357" i="36"/>
  <c r="DM347" i="36"/>
  <c r="DM369" i="36"/>
  <c r="I18" i="16"/>
  <c r="D18" i="16"/>
  <c r="K10" i="16"/>
  <c r="B16" i="16"/>
  <c r="A19" i="16"/>
  <c r="D19" i="16" s="1"/>
  <c r="DI401" i="36" l="1"/>
  <c r="DI402" i="36" s="1"/>
  <c r="DI403" i="36" s="1"/>
  <c r="DI404" i="36" s="1"/>
  <c r="DI405" i="36" s="1"/>
  <c r="DI406" i="36" s="1"/>
  <c r="DI407" i="36" s="1"/>
  <c r="DI408" i="36" s="1"/>
  <c r="DI409" i="36" s="1"/>
  <c r="DI410" i="36" s="1"/>
  <c r="DI411" i="36" s="1"/>
  <c r="DI412" i="36" s="1"/>
  <c r="DI413" i="36" s="1"/>
  <c r="DI414" i="36" s="1"/>
  <c r="DI415" i="36" s="1"/>
  <c r="DI416" i="36" s="1"/>
  <c r="DI417" i="36" s="1"/>
  <c r="DI418" i="36" s="1"/>
  <c r="DI419" i="36" s="1"/>
  <c r="DI420" i="36" s="1"/>
  <c r="DI421" i="36" s="1"/>
  <c r="DI422" i="36" s="1"/>
  <c r="DI423" i="36" s="1"/>
  <c r="DI424" i="36" s="1"/>
  <c r="DI425" i="36" s="1"/>
  <c r="DI426" i="36" s="1"/>
  <c r="DI427" i="36" s="1"/>
  <c r="DE401" i="36"/>
  <c r="DE400" i="36" s="1"/>
  <c r="DF401" i="36"/>
  <c r="DF400" i="36" s="1"/>
  <c r="DI428" i="36"/>
  <c r="DM380" i="36"/>
  <c r="DM375" i="36"/>
  <c r="DM387" i="36"/>
  <c r="DM385" i="36"/>
  <c r="DM390" i="36"/>
  <c r="DL386" i="36"/>
  <c r="DL383" i="36"/>
  <c r="DM381" i="36"/>
  <c r="DL384" i="36"/>
  <c r="DL389" i="36"/>
  <c r="DM372" i="36"/>
  <c r="DM395" i="36"/>
  <c r="DM384" i="36"/>
  <c r="DM393" i="36"/>
  <c r="DL374" i="36"/>
  <c r="DL390" i="36"/>
  <c r="DL379" i="36"/>
  <c r="DL395" i="36"/>
  <c r="DM389" i="36"/>
  <c r="DM394" i="36"/>
  <c r="DL380" i="36"/>
  <c r="DL396" i="36"/>
  <c r="DL385" i="36"/>
  <c r="DL375" i="36"/>
  <c r="DM397" i="36"/>
  <c r="DL376" i="36"/>
  <c r="DL381" i="36"/>
  <c r="DM396" i="36"/>
  <c r="DM391" i="36"/>
  <c r="DM392" i="36"/>
  <c r="DM379" i="36"/>
  <c r="DM374" i="36"/>
  <c r="DL378" i="36"/>
  <c r="DL394" i="36"/>
  <c r="DM398" i="36"/>
  <c r="DL399" i="36"/>
  <c r="DL373" i="36"/>
  <c r="DM388" i="36"/>
  <c r="DM383" i="36"/>
  <c r="DM376" i="36"/>
  <c r="DM377" i="36"/>
  <c r="DM382" i="36"/>
  <c r="DL382" i="36"/>
  <c r="DL398" i="36"/>
  <c r="DL387" i="36"/>
  <c r="DM373" i="36"/>
  <c r="DM378" i="36"/>
  <c r="DL372" i="36"/>
  <c r="DL388" i="36"/>
  <c r="DL377" i="36"/>
  <c r="DL393" i="36"/>
  <c r="DL391" i="36"/>
  <c r="DM386" i="36"/>
  <c r="DL392" i="36"/>
  <c r="DL397" i="36"/>
  <c r="I19" i="16"/>
  <c r="B19" i="16"/>
  <c r="A20" i="16"/>
  <c r="DE429" i="36" l="1"/>
  <c r="DE428" i="36" s="1"/>
  <c r="DI429" i="36"/>
  <c r="DI430" i="36" s="1"/>
  <c r="DI431" i="36" s="1"/>
  <c r="DI432" i="36" s="1"/>
  <c r="DI433" i="36" s="1"/>
  <c r="DI434" i="36" s="1"/>
  <c r="DI435" i="36" s="1"/>
  <c r="DI436" i="36" s="1"/>
  <c r="DI437" i="36" s="1"/>
  <c r="DI438" i="36" s="1"/>
  <c r="DI439" i="36" s="1"/>
  <c r="DI440" i="36" s="1"/>
  <c r="DI441" i="36" s="1"/>
  <c r="DI442" i="36" s="1"/>
  <c r="DI443" i="36" s="1"/>
  <c r="DI444" i="36" s="1"/>
  <c r="DI445" i="36" s="1"/>
  <c r="DI446" i="36" s="1"/>
  <c r="DI447" i="36" s="1"/>
  <c r="DI448" i="36" s="1"/>
  <c r="DI449" i="36" s="1"/>
  <c r="DI450" i="36" s="1"/>
  <c r="DI451" i="36" s="1"/>
  <c r="DI452" i="36" s="1"/>
  <c r="DI453" i="36" s="1"/>
  <c r="DI454" i="36" s="1"/>
  <c r="DI455" i="36" s="1"/>
  <c r="DF429" i="36"/>
  <c r="DF428" i="36" s="1"/>
  <c r="DL406" i="36"/>
  <c r="DL422" i="36"/>
  <c r="DL411" i="36"/>
  <c r="DL400" i="36"/>
  <c r="DL416" i="36"/>
  <c r="DL405" i="36"/>
  <c r="DL421" i="36"/>
  <c r="DM412" i="36"/>
  <c r="DM407" i="36"/>
  <c r="DM402" i="36"/>
  <c r="DM424" i="36"/>
  <c r="DM419" i="36"/>
  <c r="DM414" i="36"/>
  <c r="DL402" i="36"/>
  <c r="DL418" i="36"/>
  <c r="DL407" i="36"/>
  <c r="DL423" i="36"/>
  <c r="DL401" i="36"/>
  <c r="DM420" i="36"/>
  <c r="DM410" i="36"/>
  <c r="DM422" i="36"/>
  <c r="DM409" i="36"/>
  <c r="DL414" i="36"/>
  <c r="DL403" i="36"/>
  <c r="DL419" i="36"/>
  <c r="DL408" i="36"/>
  <c r="DL424" i="36"/>
  <c r="DL413" i="36"/>
  <c r="DL427" i="36"/>
  <c r="DM423" i="36"/>
  <c r="DM418" i="36"/>
  <c r="DM413" i="36"/>
  <c r="DM408" i="36"/>
  <c r="DM403" i="36"/>
  <c r="DM425" i="36"/>
  <c r="DL410" i="36"/>
  <c r="DL426" i="36"/>
  <c r="DL415" i="36"/>
  <c r="DL404" i="36"/>
  <c r="DL420" i="36"/>
  <c r="DL409" i="36"/>
  <c r="DL425" i="36"/>
  <c r="DM404" i="36"/>
  <c r="DM426" i="36"/>
  <c r="DM421" i="36"/>
  <c r="DM416" i="36"/>
  <c r="DM411" i="36"/>
  <c r="DM406" i="36"/>
  <c r="DM401" i="36"/>
  <c r="DL412" i="36"/>
  <c r="DL417" i="36"/>
  <c r="DM415" i="36"/>
  <c r="DM405" i="36"/>
  <c r="DM400" i="36"/>
  <c r="DM417" i="36"/>
  <c r="I20" i="16"/>
  <c r="D20" i="16"/>
  <c r="K11" i="16"/>
  <c r="B18" i="16"/>
  <c r="A21" i="16"/>
  <c r="DL436" i="36" l="1"/>
  <c r="DL452" i="36"/>
  <c r="DL441" i="36"/>
  <c r="DL430" i="36"/>
  <c r="DL446" i="36"/>
  <c r="DL435" i="36"/>
  <c r="DL451" i="36"/>
  <c r="DM432" i="36"/>
  <c r="DM454" i="36"/>
  <c r="DM444" i="36"/>
  <c r="DM434" i="36"/>
  <c r="DL429" i="36"/>
  <c r="DL434" i="36"/>
  <c r="DL439" i="36"/>
  <c r="DM451" i="36"/>
  <c r="DM441" i="36"/>
  <c r="DM431" i="36"/>
  <c r="DL428" i="36"/>
  <c r="DL444" i="36"/>
  <c r="DL433" i="36"/>
  <c r="DL449" i="36"/>
  <c r="DL438" i="36"/>
  <c r="DL454" i="36"/>
  <c r="DL443" i="36"/>
  <c r="DM448" i="36"/>
  <c r="DM443" i="36"/>
  <c r="DM438" i="36"/>
  <c r="DM433" i="36"/>
  <c r="DM428" i="36"/>
  <c r="DM450" i="36"/>
  <c r="DM445" i="36"/>
  <c r="DL432" i="36"/>
  <c r="DL448" i="36"/>
  <c r="DL437" i="36"/>
  <c r="DL453" i="36"/>
  <c r="DL442" i="36"/>
  <c r="DL431" i="36"/>
  <c r="DL447" i="36"/>
  <c r="DM440" i="36"/>
  <c r="DM435" i="36"/>
  <c r="DM430" i="36"/>
  <c r="DM452" i="36"/>
  <c r="DM447" i="36"/>
  <c r="DM442" i="36"/>
  <c r="DM437" i="36"/>
  <c r="DM449" i="36"/>
  <c r="DM439" i="36"/>
  <c r="DM429" i="36"/>
  <c r="DL440" i="36"/>
  <c r="DL445" i="36"/>
  <c r="DL450" i="36"/>
  <c r="DL455" i="36"/>
  <c r="DM446" i="36"/>
  <c r="DM436" i="36"/>
  <c r="DM453" i="36"/>
  <c r="I21" i="16"/>
  <c r="D21" i="16"/>
  <c r="B21" i="16" s="1"/>
  <c r="A22" i="16"/>
  <c r="D22" i="16" s="1"/>
  <c r="I22" i="16" l="1"/>
  <c r="K12" i="16"/>
  <c r="B20" i="16"/>
  <c r="A23" i="16"/>
  <c r="D23" i="16" s="1"/>
  <c r="I23" i="16" l="1"/>
  <c r="B23" i="16"/>
  <c r="A24" i="16"/>
  <c r="I24" i="16" l="1"/>
  <c r="D24" i="16"/>
  <c r="K13" i="16"/>
  <c r="B22" i="16"/>
  <c r="A25" i="16"/>
  <c r="I25" i="16" l="1"/>
  <c r="D25" i="16"/>
  <c r="A26" i="16"/>
  <c r="I26" i="16" l="1"/>
  <c r="D26" i="16"/>
  <c r="B25" i="16"/>
  <c r="K14" i="16" s="1"/>
  <c r="A27" i="16"/>
  <c r="I27" i="16" l="1"/>
  <c r="D27" i="16"/>
  <c r="B27" i="16" s="1"/>
  <c r="B26" i="16" s="1"/>
  <c r="B24" i="16"/>
  <c r="A28" i="16"/>
  <c r="I28" i="16" l="1"/>
  <c r="D28" i="16"/>
  <c r="K15" i="16"/>
  <c r="A29" i="16"/>
  <c r="I29" i="16" l="1"/>
  <c r="D29" i="16"/>
  <c r="A30" i="16"/>
  <c r="I30" i="16" l="1"/>
  <c r="D30" i="16"/>
  <c r="B29" i="16"/>
  <c r="B28" i="16" s="1"/>
  <c r="A31" i="16"/>
  <c r="I31" i="16" l="1"/>
  <c r="D31" i="16"/>
  <c r="K16" i="16"/>
  <c r="A32" i="16"/>
  <c r="I32" i="16" l="1"/>
  <c r="D32" i="16"/>
  <c r="B31" i="16"/>
  <c r="B30" i="16" s="1"/>
  <c r="A33" i="16"/>
  <c r="I33" i="16" l="1"/>
  <c r="D33" i="16"/>
  <c r="K17" i="16"/>
  <c r="A34" i="16"/>
  <c r="I34" i="16" l="1"/>
  <c r="D34" i="16"/>
  <c r="B33" i="16"/>
  <c r="B32" i="16" s="1"/>
  <c r="A35" i="16"/>
  <c r="I35" i="16" l="1"/>
  <c r="D35" i="16"/>
  <c r="K18" i="16"/>
  <c r="A36" i="16"/>
  <c r="D36" i="16" s="1"/>
  <c r="B35" i="16" l="1"/>
  <c r="B34" i="16" s="1"/>
  <c r="A37" i="16"/>
  <c r="D37" i="16" s="1"/>
  <c r="K19" i="16" l="1"/>
  <c r="A38" i="16"/>
  <c r="D38" i="16" s="1"/>
  <c r="B37" i="16" l="1"/>
  <c r="A39" i="16"/>
  <c r="D39" i="16" s="1"/>
  <c r="K20" i="16" l="1"/>
  <c r="B36" i="16"/>
  <c r="A40" i="16"/>
  <c r="D40" i="16" s="1"/>
  <c r="B39" i="16" l="1"/>
  <c r="A41" i="16"/>
  <c r="D41" i="16" s="1"/>
  <c r="K21" i="16" l="1"/>
  <c r="B38" i="16"/>
  <c r="A42" i="16"/>
  <c r="D42" i="16" s="1"/>
  <c r="B41" i="16" l="1"/>
  <c r="A43" i="16"/>
  <c r="D43" i="16" s="1"/>
  <c r="K22" i="16" l="1"/>
  <c r="B40" i="16"/>
  <c r="A44" i="16"/>
  <c r="D44" i="16" s="1"/>
  <c r="B43" i="16" l="1"/>
  <c r="A45" i="16"/>
  <c r="D45" i="16" s="1"/>
  <c r="K23" i="16" l="1"/>
  <c r="B42" i="16"/>
  <c r="A46" i="16"/>
  <c r="D46" i="16" s="1"/>
  <c r="B45" i="16" l="1"/>
  <c r="A47" i="16"/>
  <c r="D47" i="16" s="1"/>
  <c r="K24" i="16" l="1"/>
  <c r="B44" i="16"/>
  <c r="A48" i="16"/>
  <c r="D48" i="16" s="1"/>
  <c r="B47" i="16" l="1"/>
  <c r="A49" i="16"/>
  <c r="D49" i="16" s="1"/>
  <c r="K25" i="16" l="1"/>
  <c r="B46" i="16"/>
  <c r="A50" i="16"/>
  <c r="D50" i="16" s="1"/>
  <c r="B49" i="16" l="1"/>
  <c r="A51" i="16"/>
  <c r="D51" i="16" s="1"/>
  <c r="K26" i="16" l="1"/>
  <c r="B48" i="16"/>
  <c r="A52" i="16"/>
  <c r="D52" i="16" s="1"/>
  <c r="B51" i="16" l="1"/>
  <c r="A53" i="16"/>
  <c r="D53" i="16" s="1"/>
  <c r="K27" i="16" l="1"/>
  <c r="B50" i="16"/>
  <c r="A54" i="16"/>
  <c r="D54" i="16" s="1"/>
  <c r="B53" i="16" l="1"/>
  <c r="A55" i="16"/>
  <c r="D55" i="16" s="1"/>
  <c r="K28" i="16" l="1"/>
  <c r="B52" i="16"/>
  <c r="A56" i="16"/>
  <c r="D56" i="16" s="1"/>
  <c r="B55" i="16" l="1"/>
  <c r="A57" i="16"/>
  <c r="D57" i="16" s="1"/>
  <c r="K29" i="16" l="1"/>
  <c r="B54" i="16"/>
  <c r="A58" i="16"/>
  <c r="D58" i="16" s="1"/>
  <c r="B57" i="16" l="1"/>
  <c r="A59" i="16"/>
  <c r="D59" i="16" s="1"/>
  <c r="K30" i="16" l="1"/>
  <c r="B56" i="16"/>
  <c r="A60" i="16"/>
  <c r="D60" i="16" s="1"/>
  <c r="B59" i="16" l="1"/>
  <c r="A61" i="16"/>
  <c r="D61" i="16" s="1"/>
  <c r="K31" i="16" l="1"/>
  <c r="B58" i="16"/>
  <c r="A62" i="16"/>
  <c r="D62" i="16" s="1"/>
  <c r="B61" i="16" l="1"/>
  <c r="A63" i="16"/>
  <c r="D63" i="16" s="1"/>
  <c r="K32" i="16" l="1"/>
  <c r="B60" i="16"/>
  <c r="A64" i="16"/>
  <c r="D64" i="16" s="1"/>
  <c r="B63" i="16" l="1"/>
  <c r="A65" i="16"/>
  <c r="D65" i="16" s="1"/>
  <c r="K33" i="16" l="1"/>
  <c r="B62" i="16"/>
  <c r="A66" i="16"/>
  <c r="D66" i="16" s="1"/>
  <c r="B65" i="16" l="1"/>
  <c r="A67" i="16"/>
  <c r="D67" i="16" s="1"/>
  <c r="K34" i="16" l="1"/>
  <c r="B64" i="16"/>
  <c r="B67" i="16"/>
  <c r="K35" i="16" l="1"/>
  <c r="B66" i="16"/>
  <c r="E11" i="16" s="1"/>
  <c r="E10" i="16" l="1"/>
  <c r="E4" i="16"/>
  <c r="E8" i="16"/>
  <c r="E5" i="16"/>
  <c r="E9" i="16"/>
  <c r="E7" i="16"/>
  <c r="E6" i="16"/>
  <c r="L35" i="16"/>
  <c r="L4" i="16"/>
  <c r="L7" i="16"/>
  <c r="L12" i="16"/>
  <c r="L5" i="16"/>
  <c r="L9" i="16"/>
  <c r="L16" i="16"/>
  <c r="L6" i="16"/>
  <c r="L8" i="16"/>
  <c r="L14" i="16"/>
  <c r="L15" i="16"/>
  <c r="L13" i="16"/>
  <c r="L11" i="16"/>
  <c r="L10" i="16"/>
  <c r="L19" i="16"/>
  <c r="L17" i="16"/>
  <c r="L18" i="16"/>
  <c r="L20" i="16"/>
  <c r="L21" i="16"/>
  <c r="L22" i="16"/>
  <c r="L23" i="16"/>
  <c r="L24" i="16"/>
  <c r="L25" i="16"/>
  <c r="L26" i="16"/>
  <c r="L27" i="16"/>
  <c r="L28" i="16"/>
  <c r="L29" i="16"/>
  <c r="L31" i="16"/>
  <c r="L33" i="16"/>
  <c r="L34" i="16"/>
  <c r="L30" i="16"/>
  <c r="L32" i="16"/>
  <c r="N6" i="16" l="1"/>
  <c r="U18" i="16" s="1"/>
  <c r="N8" i="16"/>
  <c r="W18" i="16" s="1"/>
  <c r="N10" i="16"/>
  <c r="Y18" i="16" s="1"/>
  <c r="N12" i="16"/>
  <c r="AA18" i="16" s="1"/>
  <c r="N14" i="16"/>
  <c r="N16" i="16"/>
  <c r="W19" i="16" s="1"/>
  <c r="N18" i="16"/>
  <c r="N20" i="16"/>
  <c r="N22" i="16"/>
  <c r="AA19" i="16" s="1"/>
  <c r="N24" i="16"/>
  <c r="N26" i="16"/>
  <c r="N28" i="16"/>
  <c r="N30" i="16"/>
  <c r="N32" i="16"/>
  <c r="N34" i="16"/>
  <c r="Y21" i="16" s="1"/>
  <c r="N5" i="16"/>
  <c r="N7" i="16"/>
  <c r="V18" i="16" s="1"/>
  <c r="N9" i="16"/>
  <c r="X18" i="16" s="1"/>
  <c r="N11" i="16"/>
  <c r="N13" i="16"/>
  <c r="AB18" i="16" s="1"/>
  <c r="N15" i="16"/>
  <c r="N17" i="16"/>
  <c r="N19" i="16"/>
  <c r="N21" i="16"/>
  <c r="N23" i="16"/>
  <c r="AB19" i="16" s="1"/>
  <c r="N25" i="16"/>
  <c r="N27" i="16"/>
  <c r="N29" i="16"/>
  <c r="N31" i="16"/>
  <c r="V24" i="16" s="1"/>
  <c r="N33" i="16"/>
  <c r="N35" i="16"/>
  <c r="N4" i="16"/>
  <c r="Z20" i="16" l="1"/>
  <c r="Y20" i="16"/>
  <c r="Y19" i="16"/>
  <c r="X21" i="16"/>
  <c r="AB20" i="16"/>
  <c r="W21" i="16"/>
  <c r="AA20" i="16"/>
  <c r="X20" i="16"/>
  <c r="X19" i="16"/>
  <c r="W20" i="16"/>
  <c r="V25" i="16"/>
  <c r="Z21" i="16"/>
  <c r="V21" i="16"/>
  <c r="Z19" i="16"/>
  <c r="V19" i="16"/>
  <c r="Z18" i="16"/>
  <c r="V20" i="16"/>
  <c r="U20" i="16"/>
  <c r="U23" i="16"/>
  <c r="U24" i="16"/>
  <c r="U25" i="16"/>
  <c r="U21" i="16"/>
  <c r="U19" i="16"/>
  <c r="V22" i="16"/>
  <c r="U22" i="16"/>
  <c r="E13" i="16" l="1"/>
  <c r="E12" i="16"/>
  <c r="E15" i="16"/>
  <c r="E14" i="16"/>
  <c r="E18" i="16"/>
  <c r="E16" i="16"/>
  <c r="E17" i="16"/>
  <c r="E19" i="16"/>
  <c r="E20" i="16"/>
  <c r="E22" i="16"/>
  <c r="E21" i="16"/>
  <c r="E24" i="16"/>
  <c r="E23" i="16"/>
  <c r="E25" i="16"/>
  <c r="E27" i="16"/>
  <c r="E26" i="16"/>
  <c r="E29" i="16"/>
  <c r="E28" i="16"/>
  <c r="E32" i="16"/>
  <c r="E30" i="16"/>
  <c r="E34" i="16"/>
  <c r="E31" i="16"/>
  <c r="E33" i="16"/>
  <c r="E35" i="16"/>
  <c r="E36" i="16"/>
  <c r="E38" i="16"/>
  <c r="E37" i="16"/>
  <c r="E39" i="16"/>
  <c r="E42" i="16"/>
  <c r="E41" i="16"/>
  <c r="E40" i="16"/>
  <c r="E44" i="16"/>
  <c r="E43" i="16"/>
  <c r="E45" i="16"/>
  <c r="E46" i="16"/>
  <c r="E47" i="16"/>
  <c r="E49" i="16"/>
  <c r="E48" i="16"/>
  <c r="E50" i="16"/>
  <c r="E51" i="16"/>
  <c r="E52" i="16"/>
  <c r="E53" i="16"/>
  <c r="E54" i="16"/>
  <c r="E56" i="16"/>
  <c r="E55" i="16"/>
  <c r="E57" i="16"/>
  <c r="E58" i="16"/>
  <c r="E59" i="16"/>
  <c r="E60" i="16"/>
  <c r="E61" i="16"/>
  <c r="E62" i="16"/>
  <c r="E63" i="16"/>
  <c r="E65" i="16"/>
  <c r="E64" i="16"/>
  <c r="E66" i="16"/>
  <c r="E67" i="16"/>
  <c r="O26" i="16" l="1"/>
  <c r="O34" i="16"/>
  <c r="O23" i="16"/>
  <c r="O27" i="16"/>
  <c r="O31" i="16"/>
  <c r="O35" i="16"/>
  <c r="O24" i="16"/>
  <c r="O32" i="16"/>
  <c r="O29" i="16"/>
  <c r="O33" i="16"/>
  <c r="O30" i="16"/>
  <c r="O25" i="16"/>
  <c r="O22" i="16"/>
  <c r="O28" i="16"/>
  <c r="V26" i="16" l="1"/>
  <c r="S27" i="16"/>
  <c r="U26" i="16"/>
  <c r="U27" i="16"/>
  <c r="V27" i="16"/>
  <c r="T27" i="16"/>
  <c r="O21" i="16"/>
  <c r="T26" i="16"/>
  <c r="O20" i="16"/>
  <c r="S26" i="16"/>
  <c r="O19" i="16"/>
  <c r="T25" i="16"/>
  <c r="O18" i="16"/>
  <c r="S25" i="16"/>
  <c r="O17" i="16"/>
  <c r="T24" i="16"/>
  <c r="O16" i="16"/>
  <c r="S24" i="16"/>
  <c r="O15" i="16"/>
  <c r="O14" i="16"/>
  <c r="S23" i="16"/>
  <c r="O13" i="16"/>
  <c r="T22" i="16"/>
  <c r="O12" i="16"/>
  <c r="S22" i="16"/>
  <c r="S19" i="16"/>
  <c r="O6" i="16"/>
  <c r="O4" i="16"/>
  <c r="P4" i="16" s="1"/>
  <c r="Q4" i="16" s="1"/>
  <c r="S18" i="16"/>
  <c r="O11" i="16"/>
  <c r="T21" i="16"/>
  <c r="O7" i="16"/>
  <c r="T19" i="16"/>
  <c r="O5" i="16"/>
  <c r="T18" i="16"/>
  <c r="O10" i="16"/>
  <c r="S21" i="16"/>
  <c r="O9" i="16"/>
  <c r="T20" i="16"/>
  <c r="O8" i="16"/>
  <c r="S20" i="16"/>
  <c r="P5" i="16" l="1"/>
  <c r="Q5" i="16" s="1"/>
  <c r="P26" i="16"/>
  <c r="Q26" i="16" s="1"/>
  <c r="P31" i="16"/>
  <c r="Q31" i="16" s="1"/>
  <c r="P29" i="16"/>
  <c r="Q29" i="16" s="1"/>
  <c r="P34" i="16"/>
  <c r="Q34" i="16" s="1"/>
  <c r="P35" i="16"/>
  <c r="Q35" i="16" s="1"/>
  <c r="P33" i="16"/>
  <c r="Q33" i="16" s="1"/>
  <c r="P28" i="16"/>
  <c r="Q28" i="16" s="1"/>
  <c r="P23" i="16"/>
  <c r="Q23" i="16" s="1"/>
  <c r="P24" i="16"/>
  <c r="Q24" i="16" s="1"/>
  <c r="P30" i="16"/>
  <c r="Q30" i="16" s="1"/>
  <c r="P27" i="16"/>
  <c r="Q27" i="16" s="1"/>
  <c r="P32" i="16"/>
  <c r="Q32" i="16" s="1"/>
  <c r="P25" i="16"/>
  <c r="Q25" i="16" s="1"/>
  <c r="P22" i="16"/>
  <c r="Q22" i="16" s="1"/>
  <c r="P9" i="16"/>
  <c r="Q9" i="16" s="1"/>
  <c r="P7" i="16"/>
  <c r="Q7" i="16" s="1"/>
  <c r="P11" i="16"/>
  <c r="Q11" i="16" s="1"/>
  <c r="P21" i="16"/>
  <c r="Q21" i="16" s="1"/>
  <c r="P20" i="16"/>
  <c r="Q20" i="16" s="1"/>
  <c r="P19" i="16"/>
  <c r="Q19" i="16" s="1"/>
  <c r="P16" i="16"/>
  <c r="Q16" i="16" s="1"/>
  <c r="P18" i="16"/>
  <c r="Q18" i="16" s="1"/>
  <c r="P17" i="16"/>
  <c r="Q17" i="16" s="1"/>
  <c r="P15" i="16"/>
  <c r="Q15" i="16" s="1"/>
  <c r="P14" i="16"/>
  <c r="Q14" i="16" s="1"/>
  <c r="P12" i="16"/>
  <c r="Q12" i="16" s="1"/>
  <c r="P13" i="16"/>
  <c r="Q13" i="16" s="1"/>
  <c r="P8" i="16"/>
  <c r="Q8" i="16" s="1"/>
  <c r="P6" i="16"/>
  <c r="Q6" i="16" s="1"/>
  <c r="P10" i="16"/>
  <c r="Q10" i="16" s="1"/>
  <c r="S9" i="16" l="1"/>
  <c r="S37" i="16" s="1"/>
  <c r="AC4" i="16"/>
  <c r="AC32" i="16" s="1"/>
  <c r="S7" i="16"/>
  <c r="S35" i="16" s="1"/>
  <c r="S6" i="16"/>
  <c r="S34" i="16" s="1"/>
  <c r="AG9" i="16"/>
  <c r="AG37" i="16" s="1"/>
  <c r="AF9" i="16"/>
  <c r="AF37" i="16" s="1"/>
  <c r="AC5" i="16"/>
  <c r="AC33" i="16" s="1"/>
  <c r="AB8" i="16"/>
  <c r="AB36" i="16" s="1"/>
  <c r="Z9" i="16"/>
  <c r="Z37" i="16" s="1"/>
  <c r="U4" i="16"/>
  <c r="U32" i="16" s="1"/>
  <c r="V4" i="16"/>
  <c r="V32" i="16" s="1"/>
  <c r="AC10" i="16"/>
  <c r="AC38" i="16" s="1"/>
  <c r="Z13" i="16"/>
  <c r="Z41" i="16" s="1"/>
  <c r="AF7" i="16"/>
  <c r="AF35" i="16" s="1"/>
  <c r="AA5" i="16"/>
  <c r="AA33" i="16" s="1"/>
  <c r="V8" i="16"/>
  <c r="V36" i="16" s="1"/>
  <c r="AA7" i="16"/>
  <c r="AA35" i="16" s="1"/>
  <c r="S11" i="16"/>
  <c r="S39" i="16" s="1"/>
  <c r="Y4" i="16"/>
  <c r="Y32" i="16" s="1"/>
  <c r="Y11" i="16"/>
  <c r="Y39" i="16" s="1"/>
  <c r="V13" i="16"/>
  <c r="V41" i="16" s="1"/>
  <c r="AE12" i="16"/>
  <c r="AE40" i="16" s="1"/>
  <c r="AD9" i="16"/>
  <c r="AD37" i="16" s="1"/>
  <c r="AE5" i="16"/>
  <c r="AE33" i="16" s="1"/>
  <c r="AA11" i="16"/>
  <c r="AA39" i="16" s="1"/>
  <c r="X11" i="16"/>
  <c r="X39" i="16" s="1"/>
  <c r="AF11" i="16"/>
  <c r="AF39" i="16" s="1"/>
  <c r="AB5" i="16"/>
  <c r="AB33" i="16" s="1"/>
  <c r="AA9" i="16"/>
  <c r="AA37" i="16" s="1"/>
  <c r="AH12" i="16"/>
  <c r="AH40" i="16" s="1"/>
  <c r="Z6" i="16"/>
  <c r="Z34" i="16" s="1"/>
  <c r="T12" i="16"/>
  <c r="T40" i="16" s="1"/>
  <c r="AH5" i="16"/>
  <c r="AH33" i="16" s="1"/>
  <c r="AF10" i="16"/>
  <c r="AF38" i="16" s="1"/>
  <c r="X7" i="16"/>
  <c r="X35" i="16" s="1"/>
  <c r="AH9" i="16"/>
  <c r="AH37" i="16" s="1"/>
  <c r="AE9" i="16"/>
  <c r="AE37" i="16" s="1"/>
  <c r="X9" i="16"/>
  <c r="X37" i="16" s="1"/>
  <c r="U5" i="16"/>
  <c r="U33" i="16" s="1"/>
  <c r="AE8" i="16"/>
  <c r="AE36" i="16" s="1"/>
  <c r="Y5" i="16"/>
  <c r="Y33" i="16" s="1"/>
  <c r="W4" i="16"/>
  <c r="W32" i="16" s="1"/>
  <c r="W5" i="16"/>
  <c r="W33" i="16" s="1"/>
  <c r="V7" i="16"/>
  <c r="V35" i="16" s="1"/>
  <c r="AH13" i="16"/>
  <c r="AH41" i="16" s="1"/>
  <c r="W11" i="16"/>
  <c r="W39" i="16" s="1"/>
  <c r="AD6" i="16"/>
  <c r="AD34" i="16" s="1"/>
  <c r="AF13" i="16"/>
  <c r="AF41" i="16" s="1"/>
  <c r="AF8" i="16"/>
  <c r="AF36" i="16" s="1"/>
  <c r="AC9" i="16"/>
  <c r="AC37" i="16" s="1"/>
  <c r="AG8" i="16"/>
  <c r="AG36" i="16" s="1"/>
  <c r="AE4" i="16"/>
  <c r="AE32" i="16" s="1"/>
  <c r="T8" i="16"/>
  <c r="T36" i="16" s="1"/>
  <c r="AC8" i="16"/>
  <c r="AC36" i="16" s="1"/>
  <c r="X13" i="16"/>
  <c r="X41" i="16" s="1"/>
  <c r="X4" i="16"/>
  <c r="X32" i="16" s="1"/>
  <c r="AH10" i="16"/>
  <c r="AH38" i="16" s="1"/>
  <c r="AD5" i="16"/>
  <c r="AD33" i="16" s="1"/>
  <c r="AA13" i="16"/>
  <c r="AA41" i="16" s="1"/>
  <c r="AB6" i="16"/>
  <c r="AB34" i="16" s="1"/>
  <c r="AE10" i="16"/>
  <c r="AE38" i="16" s="1"/>
  <c r="AD10" i="16"/>
  <c r="AD38" i="16" s="1"/>
  <c r="U13" i="16"/>
  <c r="U41" i="16" s="1"/>
  <c r="Z11" i="16"/>
  <c r="Z39" i="16" s="1"/>
  <c r="AG6" i="16"/>
  <c r="AG34" i="16" s="1"/>
  <c r="AH7" i="16"/>
  <c r="AH35" i="16" s="1"/>
  <c r="U11" i="16"/>
  <c r="U39" i="16" s="1"/>
  <c r="AF12" i="16"/>
  <c r="AF40" i="16" s="1"/>
  <c r="AB10" i="16"/>
  <c r="AB38" i="16" s="1"/>
  <c r="AA12" i="16"/>
  <c r="AA40" i="16" s="1"/>
  <c r="AD7" i="16"/>
  <c r="AD35" i="16" s="1"/>
  <c r="W8" i="16"/>
  <c r="W36" i="16" s="1"/>
  <c r="T13" i="16"/>
  <c r="T41" i="16" s="1"/>
  <c r="AG7" i="16"/>
  <c r="AG35" i="16" s="1"/>
  <c r="AG12" i="16"/>
  <c r="AG40" i="16" s="1"/>
  <c r="V12" i="16"/>
  <c r="V40" i="16" s="1"/>
  <c r="X5" i="16"/>
  <c r="X33" i="16" s="1"/>
  <c r="U7" i="16"/>
  <c r="U35" i="16" s="1"/>
  <c r="V10" i="16"/>
  <c r="V38" i="16" s="1"/>
  <c r="V5" i="16"/>
  <c r="V33" i="16" s="1"/>
  <c r="Z12" i="16"/>
  <c r="Z40" i="16" s="1"/>
  <c r="AH4" i="16"/>
  <c r="AH32" i="16" s="1"/>
  <c r="W13" i="16"/>
  <c r="W41" i="16" s="1"/>
  <c r="T6" i="16"/>
  <c r="T34" i="16" s="1"/>
  <c r="T7" i="16"/>
  <c r="T35" i="16" s="1"/>
  <c r="U6" i="16"/>
  <c r="U34" i="16" s="1"/>
  <c r="W10" i="16"/>
  <c r="W38" i="16" s="1"/>
  <c r="AB12" i="16"/>
  <c r="AB40" i="16" s="1"/>
  <c r="Z10" i="16"/>
  <c r="Z38" i="16" s="1"/>
  <c r="Y6" i="16"/>
  <c r="Y34" i="16" s="1"/>
  <c r="Z8" i="16"/>
  <c r="Z36" i="16" s="1"/>
  <c r="U8" i="16"/>
  <c r="U36" i="16" s="1"/>
  <c r="S12" i="16"/>
  <c r="S40" i="16" s="1"/>
  <c r="AC7" i="16"/>
  <c r="AC35" i="16" s="1"/>
  <c r="AD12" i="16"/>
  <c r="AD40" i="16" s="1"/>
  <c r="Z5" i="16"/>
  <c r="Z33" i="16" s="1"/>
  <c r="V6" i="16"/>
  <c r="V34" i="16" s="1"/>
  <c r="AA10" i="16"/>
  <c r="AA38" i="16" s="1"/>
  <c r="AH8" i="16"/>
  <c r="AH36" i="16" s="1"/>
  <c r="AD8" i="16"/>
  <c r="AD36" i="16" s="1"/>
  <c r="AF5" i="16"/>
  <c r="AF33" i="16" s="1"/>
  <c r="AD13" i="16"/>
  <c r="AD41" i="16" s="1"/>
  <c r="AE7" i="16"/>
  <c r="AE35" i="16" s="1"/>
  <c r="AB7" i="16"/>
  <c r="AB35" i="16" s="1"/>
  <c r="AE11" i="16"/>
  <c r="AE39" i="16" s="1"/>
  <c r="T9" i="16"/>
  <c r="T37" i="16" s="1"/>
  <c r="X6" i="16"/>
  <c r="X34" i="16" s="1"/>
  <c r="AA6" i="16"/>
  <c r="AA34" i="16" s="1"/>
  <c r="U9" i="16"/>
  <c r="U37" i="16" s="1"/>
  <c r="AE6" i="16"/>
  <c r="AE34" i="16" s="1"/>
  <c r="AG4" i="16"/>
  <c r="AG32" i="16" s="1"/>
  <c r="V9" i="16"/>
  <c r="V37" i="16" s="1"/>
  <c r="AA8" i="16"/>
  <c r="AA36" i="16" s="1"/>
  <c r="X8" i="16"/>
  <c r="X36" i="16" s="1"/>
  <c r="AH6" i="16"/>
  <c r="AH34" i="16" s="1"/>
  <c r="Y13" i="16"/>
  <c r="Y41" i="16" s="1"/>
  <c r="AC13" i="16"/>
  <c r="AC41" i="16" s="1"/>
  <c r="T5" i="16"/>
  <c r="T33" i="16" s="1"/>
  <c r="S5" i="16"/>
  <c r="S33" i="16" s="1"/>
  <c r="T4" i="16"/>
  <c r="T32" i="16" s="1"/>
  <c r="Y12" i="16"/>
  <c r="Y40" i="16" s="1"/>
  <c r="S4" i="16"/>
  <c r="S32" i="16" s="1"/>
  <c r="V11" i="16"/>
  <c r="V39" i="16" s="1"/>
  <c r="Y7" i="16"/>
  <c r="Y35" i="16" s="1"/>
  <c r="AE13" i="16"/>
  <c r="AE41" i="16" s="1"/>
  <c r="AB4" i="16"/>
  <c r="AB32" i="16" s="1"/>
  <c r="X12" i="16"/>
  <c r="X40" i="16" s="1"/>
  <c r="AG11" i="16"/>
  <c r="AG39" i="16" s="1"/>
  <c r="AB9" i="16"/>
  <c r="AB37" i="16" s="1"/>
  <c r="Y8" i="16"/>
  <c r="Y36" i="16" s="1"/>
  <c r="AF4" i="16"/>
  <c r="AF32" i="16" s="1"/>
  <c r="AD4" i="16"/>
  <c r="AD32" i="16" s="1"/>
  <c r="W9" i="16"/>
  <c r="W37" i="16" s="1"/>
  <c r="W7" i="16"/>
  <c r="W35" i="16" s="1"/>
  <c r="Z7" i="16"/>
  <c r="Z35" i="16" s="1"/>
  <c r="S10" i="16"/>
  <c r="S38" i="16" s="1"/>
  <c r="U10" i="16"/>
  <c r="U38" i="16" s="1"/>
  <c r="AB11" i="16"/>
  <c r="AB39" i="16" s="1"/>
  <c r="AG13" i="16"/>
  <c r="AG41" i="16" s="1"/>
  <c r="T11" i="16"/>
  <c r="T39" i="16" s="1"/>
  <c r="AB13" i="16"/>
  <c r="AB41" i="16" s="1"/>
  <c r="Z4" i="16"/>
  <c r="Z32" i="16" s="1"/>
  <c r="AA4" i="16"/>
  <c r="AA32" i="16" s="1"/>
  <c r="AD11" i="16"/>
  <c r="AD39" i="16" s="1"/>
  <c r="U12" i="16"/>
  <c r="U40" i="16" s="1"/>
  <c r="S8" i="16"/>
  <c r="S36" i="16" s="1"/>
  <c r="AC11" i="16"/>
  <c r="AC39" i="16" s="1"/>
  <c r="W12" i="16"/>
  <c r="W40" i="16" s="1"/>
  <c r="T10" i="16"/>
  <c r="T38" i="16" s="1"/>
  <c r="AC6" i="16"/>
  <c r="AC34" i="16" s="1"/>
  <c r="AC12" i="16"/>
  <c r="AC40" i="16" s="1"/>
  <c r="S13" i="16"/>
  <c r="S41" i="16" s="1"/>
  <c r="X10" i="16"/>
  <c r="X38" i="16" s="1"/>
  <c r="Y9" i="16"/>
  <c r="Y37" i="16" s="1"/>
  <c r="W6" i="16"/>
  <c r="W34" i="16" s="1"/>
  <c r="Y10" i="16"/>
  <c r="Y38" i="16" s="1"/>
  <c r="AH11" i="16"/>
  <c r="AH39" i="16" s="1"/>
  <c r="AG5" i="16"/>
  <c r="AG33" i="16" s="1"/>
  <c r="AG10" i="16"/>
  <c r="AG38" i="16" s="1"/>
  <c r="AF6" i="16"/>
  <c r="AF34" i="16" s="1"/>
  <c r="AA86" i="36" l="1"/>
  <c r="DK434" i="36" s="1"/>
  <c r="AA35" i="36"/>
  <c r="DK153" i="36" s="1"/>
  <c r="AA15" i="36"/>
  <c r="DK52" i="36" s="1"/>
  <c r="C25" i="36"/>
  <c r="DK84" i="36" s="1"/>
  <c r="C34" i="36"/>
  <c r="DK130" i="36" s="1"/>
  <c r="AA54" i="36"/>
  <c r="DJ285" i="36" s="1"/>
  <c r="C10" i="36"/>
  <c r="DK8" i="36" s="1"/>
  <c r="AA81" i="36"/>
  <c r="DJ442" i="36" s="1"/>
  <c r="C79" i="36"/>
  <c r="DJ402" i="36" s="1"/>
  <c r="AA31" i="36"/>
  <c r="DJ161" i="36" s="1"/>
  <c r="C72" i="36"/>
  <c r="DJ364" i="36" s="1"/>
  <c r="AA21" i="36"/>
  <c r="DJ109" i="36" s="1"/>
  <c r="AA45" i="36"/>
  <c r="DK229" i="36" s="1"/>
  <c r="AA11" i="36"/>
  <c r="DK37" i="36" s="1"/>
  <c r="AA79" i="36"/>
  <c r="DJ430" i="36" s="1"/>
  <c r="C22" i="36"/>
  <c r="DJ82" i="36" s="1"/>
  <c r="C82" i="36"/>
  <c r="DK408" i="36" s="1"/>
  <c r="AA46" i="36"/>
  <c r="DK230" i="36" s="1"/>
  <c r="AA51" i="36"/>
  <c r="DJ273" i="36" s="1"/>
  <c r="AA60" i="36"/>
  <c r="DJ328" i="36" s="1"/>
  <c r="C69" i="36"/>
  <c r="DJ347" i="36" s="1"/>
  <c r="AA61" i="36"/>
  <c r="DJ329" i="36" s="1"/>
  <c r="C30" i="36"/>
  <c r="DJ129" i="36" s="1"/>
  <c r="C29" i="36"/>
  <c r="DJ126" i="36" s="1"/>
  <c r="C73" i="36"/>
  <c r="DJ367" i="36" s="1"/>
  <c r="AA34" i="36"/>
  <c r="DK170" i="36" s="1"/>
  <c r="AA84" i="36"/>
  <c r="DK443" i="36" s="1"/>
  <c r="AA75" i="36"/>
  <c r="DK392" i="36" s="1"/>
  <c r="AA50" i="36"/>
  <c r="DK260" i="36" s="1"/>
  <c r="AA36" i="36"/>
  <c r="DK175" i="36" s="1"/>
  <c r="C70" i="36"/>
  <c r="DJ356" i="36" s="1"/>
  <c r="C46" i="36"/>
  <c r="DK202" i="36" s="1"/>
  <c r="C16" i="36"/>
  <c r="DK20" i="36" s="1"/>
  <c r="AA23" i="36"/>
  <c r="DK95" i="36" s="1"/>
  <c r="AA72" i="36"/>
  <c r="DJ393" i="36" s="1"/>
  <c r="C65" i="36"/>
  <c r="DJ315" i="36" s="1"/>
  <c r="C19" i="36"/>
  <c r="AA53" i="36"/>
  <c r="DJ282" i="36" s="1"/>
  <c r="AA74" i="36"/>
  <c r="DK394" i="36" s="1"/>
  <c r="C11" i="36"/>
  <c r="C59" i="36"/>
  <c r="C85" i="36"/>
  <c r="DK416" i="36" s="1"/>
  <c r="C31" i="36"/>
  <c r="DK127" i="36" s="1"/>
  <c r="C66" i="36"/>
  <c r="DK309" i="36" s="1"/>
  <c r="C49" i="36"/>
  <c r="DJ236" i="36" s="1"/>
  <c r="AA42" i="36"/>
  <c r="DK217" i="36" s="1"/>
  <c r="AA69" i="36"/>
  <c r="DJ375" i="36" s="1"/>
  <c r="AA26" i="36"/>
  <c r="DK113" i="36" s="1"/>
  <c r="C53" i="36"/>
  <c r="DK246" i="36" s="1"/>
  <c r="C24" i="36"/>
  <c r="DK74" i="36" s="1"/>
  <c r="C76" i="36"/>
  <c r="AA70" i="36"/>
  <c r="DJ381" i="36" s="1"/>
  <c r="AA83" i="36"/>
  <c r="DK442" i="36" s="1"/>
  <c r="AA43" i="36"/>
  <c r="DK218" i="36" s="1"/>
  <c r="C21" i="36"/>
  <c r="DJ80" i="36" s="1"/>
  <c r="AA20" i="36"/>
  <c r="DJ99" i="36" s="1"/>
  <c r="C33" i="36"/>
  <c r="DJ144" i="36" s="1"/>
  <c r="AA82" i="36"/>
  <c r="DJ446" i="36" s="1"/>
  <c r="AA65" i="36"/>
  <c r="DJ343" i="36" s="1"/>
  <c r="AA29" i="36"/>
  <c r="DJ150" i="36" s="1"/>
  <c r="C63" i="36"/>
  <c r="DJ311" i="36" s="1"/>
  <c r="AA73" i="36"/>
  <c r="AA71" i="36"/>
  <c r="DJ387" i="36" s="1"/>
  <c r="C80" i="36"/>
  <c r="DJ409" i="36" s="1"/>
  <c r="C45" i="36"/>
  <c r="DK196" i="36" s="1"/>
  <c r="C44" i="36"/>
  <c r="DK191" i="36" s="1"/>
  <c r="C61" i="36"/>
  <c r="DJ305" i="36" s="1"/>
  <c r="C13" i="36"/>
  <c r="DJ31" i="36" s="1"/>
  <c r="AA66" i="36"/>
  <c r="DK322" i="36" s="1"/>
  <c r="AA39" i="36"/>
  <c r="DJ206" i="36" s="1"/>
  <c r="AA16" i="36"/>
  <c r="DK60" i="36" s="1"/>
  <c r="AA56" i="36"/>
  <c r="DK286" i="36" s="1"/>
  <c r="C15" i="36"/>
  <c r="DK24" i="36" s="1"/>
  <c r="C32" i="36"/>
  <c r="DJ138" i="36" s="1"/>
  <c r="AA59" i="36"/>
  <c r="DJ318" i="36" s="1"/>
  <c r="C43" i="36"/>
  <c r="DK179" i="36" s="1"/>
  <c r="C86" i="36"/>
  <c r="DK406" i="36" s="1"/>
  <c r="AA49" i="36"/>
  <c r="DJ264" i="36" s="1"/>
  <c r="C42" i="36"/>
  <c r="DJ197" i="36" s="1"/>
  <c r="C9" i="36"/>
  <c r="DJ9" i="36" s="1"/>
  <c r="AA9" i="36"/>
  <c r="DJ39" i="36" s="1"/>
  <c r="AA10" i="36"/>
  <c r="DJ43" i="36" s="1"/>
  <c r="AA33" i="36"/>
  <c r="DK166" i="36" s="1"/>
  <c r="AA24" i="36"/>
  <c r="DJ118" i="36" s="1"/>
  <c r="C71" i="36"/>
  <c r="C51" i="36"/>
  <c r="DJ249" i="36" s="1"/>
  <c r="AA14" i="36"/>
  <c r="DK51" i="36" s="1"/>
  <c r="AA52" i="36"/>
  <c r="DK273" i="36" s="1"/>
  <c r="AA63" i="36"/>
  <c r="DJ340" i="36" s="1"/>
  <c r="C55" i="36"/>
  <c r="DK248" i="36" s="1"/>
  <c r="AA40" i="36"/>
  <c r="DJ214" i="36" s="1"/>
  <c r="C62" i="36"/>
  <c r="DJ307" i="36" s="1"/>
  <c r="C23" i="36"/>
  <c r="DJ87" i="36" s="1"/>
  <c r="C41" i="36"/>
  <c r="DK183" i="36" s="1"/>
  <c r="C35" i="36"/>
  <c r="DK125" i="36" s="1"/>
  <c r="AA12" i="36"/>
  <c r="DJ56" i="36" s="1"/>
  <c r="AA25" i="36"/>
  <c r="DJ119" i="36" s="1"/>
  <c r="AA30" i="36"/>
  <c r="DJ158" i="36" s="1"/>
  <c r="AA62" i="36"/>
  <c r="DJ336" i="36" s="1"/>
  <c r="AA55" i="36"/>
  <c r="DK283" i="36" s="1"/>
  <c r="C26" i="36"/>
  <c r="C81" i="36"/>
  <c r="DK401" i="36" s="1"/>
  <c r="C75" i="36"/>
  <c r="DK355" i="36" s="1"/>
  <c r="AA85" i="36"/>
  <c r="DK453" i="36" s="1"/>
  <c r="AA13" i="36"/>
  <c r="DK54" i="36" s="1"/>
  <c r="C83" i="36"/>
  <c r="DK414" i="36" s="1"/>
  <c r="C64" i="36"/>
  <c r="DK303" i="36" s="1"/>
  <c r="C36" i="36"/>
  <c r="DK146" i="36" s="1"/>
  <c r="AA22" i="36"/>
  <c r="DJ112" i="36" s="1"/>
  <c r="C40" i="36"/>
  <c r="C20" i="36"/>
  <c r="DJ71" i="36" s="1"/>
  <c r="C74" i="36"/>
  <c r="DK366" i="36" s="1"/>
  <c r="AA32" i="36"/>
  <c r="DJ166" i="36" s="1"/>
  <c r="AA80" i="36"/>
  <c r="AA41" i="36"/>
  <c r="DJ219" i="36" s="1"/>
  <c r="C54" i="36"/>
  <c r="DK247" i="36" s="1"/>
  <c r="AA76" i="36"/>
  <c r="DK398" i="36" s="1"/>
  <c r="C56" i="36"/>
  <c r="AA64" i="36"/>
  <c r="DK331" i="36" s="1"/>
  <c r="C39" i="36"/>
  <c r="DJ181" i="36" s="1"/>
  <c r="C52" i="36"/>
  <c r="DK240" i="36" s="1"/>
  <c r="C50" i="36"/>
  <c r="AA19" i="36"/>
  <c r="AA44" i="36"/>
  <c r="DK226" i="36" s="1"/>
  <c r="C60" i="36"/>
  <c r="DK288" i="36" s="1"/>
  <c r="C84" i="36"/>
  <c r="C12" i="36"/>
  <c r="DJ29" i="36" s="1"/>
  <c r="C14" i="36"/>
  <c r="DK124" i="36" l="1"/>
  <c r="DR124" i="36" s="1"/>
  <c r="DK454" i="36"/>
  <c r="DK163" i="36"/>
  <c r="DR163" i="36" s="1"/>
  <c r="DK295" i="36"/>
  <c r="DJ16" i="36"/>
  <c r="DP16" i="36" s="1"/>
  <c r="DJ386" i="36"/>
  <c r="DJ131" i="36"/>
  <c r="DO131" i="36" s="1"/>
  <c r="DK329" i="36"/>
  <c r="DK165" i="36"/>
  <c r="DQ165" i="36" s="1"/>
  <c r="DK308" i="36"/>
  <c r="DK162" i="36"/>
  <c r="DR162" i="36" s="1"/>
  <c r="DK261" i="36"/>
  <c r="DQ261" i="36" s="1"/>
  <c r="DJ319" i="36"/>
  <c r="DJ77" i="36"/>
  <c r="DO77" i="36" s="1"/>
  <c r="DO161" i="36"/>
  <c r="DP161" i="36"/>
  <c r="DQ226" i="36"/>
  <c r="DR226" i="36"/>
  <c r="DO181" i="36"/>
  <c r="DP181" i="36"/>
  <c r="DQ247" i="36"/>
  <c r="DR247" i="36"/>
  <c r="DQ146" i="36"/>
  <c r="DR146" i="36"/>
  <c r="DQ283" i="36"/>
  <c r="DR283" i="36"/>
  <c r="DO158" i="36"/>
  <c r="DP158" i="36"/>
  <c r="DO56" i="36"/>
  <c r="DP56" i="36"/>
  <c r="DQ183" i="36"/>
  <c r="DR183" i="36"/>
  <c r="DQ248" i="36"/>
  <c r="DR248" i="36"/>
  <c r="DQ273" i="36"/>
  <c r="DR273" i="36"/>
  <c r="DO118" i="36"/>
  <c r="DP118" i="36"/>
  <c r="DO43" i="36"/>
  <c r="DP43" i="36"/>
  <c r="DO9" i="36"/>
  <c r="DP9" i="36"/>
  <c r="DO264" i="36"/>
  <c r="DP264" i="36"/>
  <c r="DQ179" i="36"/>
  <c r="DR179" i="36"/>
  <c r="DO138" i="36"/>
  <c r="DP138" i="36"/>
  <c r="DQ286" i="36"/>
  <c r="DR286" i="36"/>
  <c r="DO206" i="36"/>
  <c r="DP206" i="36"/>
  <c r="DO31" i="36"/>
  <c r="DP31" i="36"/>
  <c r="DQ191" i="36"/>
  <c r="DR191" i="36"/>
  <c r="DO150" i="36"/>
  <c r="DP150" i="36"/>
  <c r="DO99" i="36"/>
  <c r="DP99" i="36"/>
  <c r="DQ218" i="36"/>
  <c r="DR218" i="36"/>
  <c r="DQ74" i="36"/>
  <c r="DR74" i="36"/>
  <c r="DQ113" i="36"/>
  <c r="DR113" i="36"/>
  <c r="DQ217" i="36"/>
  <c r="DR217" i="36"/>
  <c r="DO282" i="36"/>
  <c r="DP282" i="36"/>
  <c r="DQ95" i="36"/>
  <c r="DR95" i="36"/>
  <c r="DQ202" i="36"/>
  <c r="DR202" i="36"/>
  <c r="DQ175" i="36"/>
  <c r="DR175" i="36"/>
  <c r="DQ170" i="36"/>
  <c r="DR170" i="36"/>
  <c r="DO126" i="36"/>
  <c r="DP126" i="36"/>
  <c r="DQ230" i="36"/>
  <c r="DR230" i="36"/>
  <c r="DO82" i="36"/>
  <c r="DP82" i="36"/>
  <c r="DQ37" i="36"/>
  <c r="DR37" i="36"/>
  <c r="DO109" i="36"/>
  <c r="DP109" i="36"/>
  <c r="DO285" i="36"/>
  <c r="DP285" i="36"/>
  <c r="DQ84" i="36"/>
  <c r="DR84" i="36"/>
  <c r="DQ153" i="36"/>
  <c r="DR153" i="36"/>
  <c r="DQ52" i="36"/>
  <c r="DR52" i="36"/>
  <c r="DO249" i="36"/>
  <c r="DP249" i="36"/>
  <c r="DQ229" i="36"/>
  <c r="DR229" i="36"/>
  <c r="DQ24" i="36"/>
  <c r="DR24" i="36"/>
  <c r="DO29" i="36"/>
  <c r="DP29" i="36"/>
  <c r="DQ240" i="36"/>
  <c r="DR240" i="36"/>
  <c r="DO219" i="36"/>
  <c r="DP219" i="36"/>
  <c r="DO166" i="36"/>
  <c r="DP166" i="36"/>
  <c r="DO71" i="36"/>
  <c r="DP71" i="36"/>
  <c r="DO112" i="36"/>
  <c r="DP112" i="36"/>
  <c r="DQ54" i="36"/>
  <c r="DR54" i="36"/>
  <c r="DO119" i="36"/>
  <c r="DP119" i="36"/>
  <c r="DQ125" i="36"/>
  <c r="DR125" i="36"/>
  <c r="DO87" i="36"/>
  <c r="DP87" i="36"/>
  <c r="DO214" i="36"/>
  <c r="DP214" i="36"/>
  <c r="DQ51" i="36"/>
  <c r="DR51" i="36"/>
  <c r="DQ166" i="36"/>
  <c r="DR166" i="36"/>
  <c r="DO39" i="36"/>
  <c r="DP39" i="36"/>
  <c r="DO197" i="36"/>
  <c r="DP197" i="36"/>
  <c r="DQ60" i="36"/>
  <c r="DR60" i="36"/>
  <c r="DQ196" i="36"/>
  <c r="DR196" i="36"/>
  <c r="DO144" i="36"/>
  <c r="DP144" i="36"/>
  <c r="DO80" i="36"/>
  <c r="DP80" i="36"/>
  <c r="DQ246" i="36"/>
  <c r="DR246" i="36"/>
  <c r="DO236" i="36"/>
  <c r="DP236" i="36"/>
  <c r="DQ127" i="36"/>
  <c r="DR127" i="36"/>
  <c r="DQ20" i="36"/>
  <c r="DR20" i="36"/>
  <c r="DQ260" i="36"/>
  <c r="DR260" i="36"/>
  <c r="DO129" i="36"/>
  <c r="DP129" i="36"/>
  <c r="DO273" i="36"/>
  <c r="DP273" i="36"/>
  <c r="DQ130" i="36"/>
  <c r="DR130" i="36"/>
  <c r="DQ8" i="36"/>
  <c r="DR8" i="36"/>
  <c r="DK340" i="36"/>
  <c r="DK431" i="36"/>
  <c r="DK105" i="36"/>
  <c r="DK82" i="36"/>
  <c r="DK412" i="36"/>
  <c r="DK40" i="36"/>
  <c r="DK62" i="36"/>
  <c r="DJ41" i="36"/>
  <c r="DK302" i="36"/>
  <c r="DK150" i="36"/>
  <c r="DJ218" i="36"/>
  <c r="DK237" i="36"/>
  <c r="DJ278" i="36"/>
  <c r="DJ443" i="36"/>
  <c r="DJ252" i="36"/>
  <c r="DJ295" i="36"/>
  <c r="DK144" i="36"/>
  <c r="DJ196" i="36"/>
  <c r="DK424" i="36"/>
  <c r="DK48" i="36"/>
  <c r="DK343" i="36"/>
  <c r="DJ303" i="36"/>
  <c r="DK187" i="36"/>
  <c r="DJ377" i="36"/>
  <c r="DJ134" i="36"/>
  <c r="DK330" i="36"/>
  <c r="DK45" i="36"/>
  <c r="DK307" i="36"/>
  <c r="DJ454" i="36"/>
  <c r="DK387" i="36"/>
  <c r="DJ341" i="36"/>
  <c r="DK194" i="36"/>
  <c r="DK284" i="36"/>
  <c r="DK89" i="36"/>
  <c r="DK294" i="36"/>
  <c r="DK173" i="36"/>
  <c r="DK264" i="36"/>
  <c r="DJ209" i="36"/>
  <c r="DK212" i="36"/>
  <c r="DK420" i="36"/>
  <c r="DJ12" i="36"/>
  <c r="DJ54" i="36"/>
  <c r="DJ52" i="36"/>
  <c r="AX63" i="36"/>
  <c r="AY63" i="36" s="1"/>
  <c r="U63" i="36" s="1"/>
  <c r="AX44" i="36"/>
  <c r="AY44" i="36" s="1"/>
  <c r="U44" i="36" s="1"/>
  <c r="DJ199" i="36"/>
  <c r="DJ141" i="36"/>
  <c r="DK180" i="36"/>
  <c r="DJ411" i="36"/>
  <c r="DK104" i="36"/>
  <c r="DK270" i="36"/>
  <c r="DJ224" i="36"/>
  <c r="DK164" i="36"/>
  <c r="DJ427" i="36"/>
  <c r="AX86" i="36"/>
  <c r="AY86" i="36" s="1"/>
  <c r="U86" i="36" s="1"/>
  <c r="DJ117" i="36"/>
  <c r="DJ192" i="36"/>
  <c r="DK222" i="36"/>
  <c r="DK271" i="36"/>
  <c r="DJ414" i="36"/>
  <c r="DJ422" i="36"/>
  <c r="DK188" i="36"/>
  <c r="DJ115" i="36"/>
  <c r="DK274" i="36"/>
  <c r="AI2" i="36"/>
  <c r="DK184" i="36"/>
  <c r="DJ195" i="36"/>
  <c r="DK427" i="36"/>
  <c r="DK421" i="36"/>
  <c r="DJ321" i="36"/>
  <c r="DJ317" i="36"/>
  <c r="DK63" i="36"/>
  <c r="DK53" i="36"/>
  <c r="DK328" i="36"/>
  <c r="DK337" i="36"/>
  <c r="DJ304" i="36"/>
  <c r="AX71" i="36"/>
  <c r="AY71" i="36" s="1"/>
  <c r="U71" i="36" s="1"/>
  <c r="DK382" i="36"/>
  <c r="DK348" i="36"/>
  <c r="DK16" i="36"/>
  <c r="DJ27" i="36"/>
  <c r="DK10" i="36"/>
  <c r="DJ297" i="36"/>
  <c r="DJ299" i="36"/>
  <c r="DJ296" i="36"/>
  <c r="DJ300" i="36"/>
  <c r="DJ298" i="36"/>
  <c r="DJ97" i="36"/>
  <c r="DJ93" i="36"/>
  <c r="CA21" i="36"/>
  <c r="CB21" i="36" s="1"/>
  <c r="AS21" i="36" s="1"/>
  <c r="DJ94" i="36"/>
  <c r="DJ95" i="36"/>
  <c r="DJ92" i="36"/>
  <c r="DJ98" i="36"/>
  <c r="DJ250" i="36"/>
  <c r="DK234" i="36"/>
  <c r="DJ253" i="36"/>
  <c r="DK245" i="36"/>
  <c r="DK320" i="36"/>
  <c r="DJ342" i="36"/>
  <c r="DK338" i="36"/>
  <c r="DK335" i="36"/>
  <c r="DK389" i="36"/>
  <c r="DK399" i="36"/>
  <c r="DK384" i="36"/>
  <c r="DK378" i="36"/>
  <c r="DK205" i="36"/>
  <c r="DJ221" i="36"/>
  <c r="DJ220" i="36"/>
  <c r="DJ169" i="36"/>
  <c r="DK161" i="36"/>
  <c r="DJ168" i="36"/>
  <c r="DJ167" i="36"/>
  <c r="DJ76" i="36"/>
  <c r="DK64" i="36"/>
  <c r="DJ74" i="36"/>
  <c r="DJ72" i="36"/>
  <c r="DK100" i="36"/>
  <c r="DJ110" i="36"/>
  <c r="DK94" i="36"/>
  <c r="DK298" i="36"/>
  <c r="DK310" i="36"/>
  <c r="DK292" i="36"/>
  <c r="DJ313" i="36"/>
  <c r="DJ59" i="36"/>
  <c r="DK50" i="36"/>
  <c r="DK39" i="36"/>
  <c r="DK367" i="36"/>
  <c r="DK360" i="36"/>
  <c r="DJ371" i="36"/>
  <c r="DK364" i="36"/>
  <c r="DK81" i="36"/>
  <c r="DK91" i="36"/>
  <c r="DK85" i="36"/>
  <c r="DK90" i="36"/>
  <c r="DK88" i="36"/>
  <c r="DK70" i="36"/>
  <c r="DJ337" i="36"/>
  <c r="DJ334" i="36"/>
  <c r="DK318" i="36"/>
  <c r="DK112" i="36"/>
  <c r="DK103" i="36"/>
  <c r="DK97" i="36"/>
  <c r="DK108" i="36"/>
  <c r="DK140" i="36"/>
  <c r="DK143" i="36"/>
  <c r="DK145" i="36"/>
  <c r="DK136" i="36"/>
  <c r="DK131" i="36"/>
  <c r="DK67" i="36"/>
  <c r="DJ86" i="36"/>
  <c r="DJ88" i="36"/>
  <c r="DK204" i="36"/>
  <c r="DJ211" i="36"/>
  <c r="DJ212" i="36"/>
  <c r="DJ215" i="36"/>
  <c r="CA40" i="36"/>
  <c r="CB40" i="36" s="1"/>
  <c r="AS40" i="36" s="1"/>
  <c r="DJ216" i="36"/>
  <c r="CA45" i="36"/>
  <c r="CB45" i="36" s="1"/>
  <c r="AS45" i="36" s="1"/>
  <c r="DK325" i="36"/>
  <c r="DJ339" i="36"/>
  <c r="DK334" i="36"/>
  <c r="DK46" i="36"/>
  <c r="DJ62" i="36"/>
  <c r="DK55" i="36"/>
  <c r="DK345" i="36"/>
  <c r="DJ357" i="36"/>
  <c r="DJ361" i="36"/>
  <c r="DJ358" i="36"/>
  <c r="DJ359" i="36"/>
  <c r="DK351" i="36"/>
  <c r="DK157" i="36"/>
  <c r="DK151" i="36"/>
  <c r="DJ170" i="36"/>
  <c r="DJ42" i="36"/>
  <c r="DJ37" i="36"/>
  <c r="DJ38" i="36"/>
  <c r="DJ36" i="36"/>
  <c r="CA13" i="36"/>
  <c r="CB13" i="36" s="1"/>
  <c r="AS13" i="36" s="1"/>
  <c r="DK28" i="36"/>
  <c r="DK19" i="36"/>
  <c r="DK33" i="36"/>
  <c r="DK13" i="36"/>
  <c r="DK199" i="36"/>
  <c r="DK201" i="36"/>
  <c r="DJ203" i="36"/>
  <c r="DJ389" i="36"/>
  <c r="DJ388" i="36"/>
  <c r="DK379" i="36"/>
  <c r="DJ385" i="36"/>
  <c r="DK297" i="36"/>
  <c r="DJ312" i="36"/>
  <c r="DK291" i="36"/>
  <c r="DK339" i="36"/>
  <c r="DK341" i="36"/>
  <c r="DK321" i="36"/>
  <c r="DK332" i="36"/>
  <c r="DK327" i="36"/>
  <c r="DK129" i="36"/>
  <c r="DJ143" i="36"/>
  <c r="DK138" i="36"/>
  <c r="DJ142" i="36"/>
  <c r="DJ81" i="36"/>
  <c r="DJ78" i="36"/>
  <c r="DK65" i="36"/>
  <c r="DK71" i="36"/>
  <c r="DK446" i="36"/>
  <c r="DJ452" i="36"/>
  <c r="DJ450" i="36"/>
  <c r="DK437" i="36"/>
  <c r="DK356" i="36"/>
  <c r="DK368" i="36"/>
  <c r="DK361" i="36"/>
  <c r="DK365" i="36"/>
  <c r="DK350" i="36"/>
  <c r="DK370" i="36"/>
  <c r="DK235" i="36"/>
  <c r="DJ255" i="36"/>
  <c r="DJ254" i="36"/>
  <c r="DJ256" i="36"/>
  <c r="DK250" i="36"/>
  <c r="CA75" i="36"/>
  <c r="CB75" i="36" s="1"/>
  <c r="AS75" i="36" s="1"/>
  <c r="CA69" i="36"/>
  <c r="CB69" i="36" s="1"/>
  <c r="AS69" i="36" s="1"/>
  <c r="DJ376" i="36"/>
  <c r="DJ372" i="36"/>
  <c r="DJ378" i="36"/>
  <c r="AX52" i="36"/>
  <c r="AY52" i="36" s="1"/>
  <c r="U52" i="36" s="1"/>
  <c r="DJ233" i="36"/>
  <c r="DJ237" i="36"/>
  <c r="DJ232" i="36"/>
  <c r="DJ234" i="36"/>
  <c r="DK121" i="36"/>
  <c r="DJ133" i="36"/>
  <c r="DJ136" i="36"/>
  <c r="DJ294" i="36"/>
  <c r="DJ292" i="36"/>
  <c r="DJ291" i="36"/>
  <c r="DJ293" i="36"/>
  <c r="DJ289" i="36"/>
  <c r="DJ290" i="36"/>
  <c r="DJ288" i="36"/>
  <c r="DK391" i="36"/>
  <c r="DK376" i="36"/>
  <c r="DJ398" i="36"/>
  <c r="DJ397" i="36"/>
  <c r="DJ65" i="36"/>
  <c r="DJ67" i="36"/>
  <c r="DJ66" i="36"/>
  <c r="DJ64" i="36"/>
  <c r="DJ68" i="36"/>
  <c r="DJ70" i="36"/>
  <c r="AX19" i="36"/>
  <c r="AY19" i="36" s="1"/>
  <c r="U19" i="36" s="1"/>
  <c r="DK385" i="36"/>
  <c r="DJ391" i="36"/>
  <c r="DK380" i="36"/>
  <c r="DJ392" i="36"/>
  <c r="DK374" i="36"/>
  <c r="DK14" i="36"/>
  <c r="DK32" i="36"/>
  <c r="DK29" i="36"/>
  <c r="DK25" i="36"/>
  <c r="DK35" i="36"/>
  <c r="DJ353" i="36"/>
  <c r="DJ352" i="36"/>
  <c r="DK344" i="36"/>
  <c r="DJ351" i="36"/>
  <c r="DJ354" i="36"/>
  <c r="DJ355" i="36"/>
  <c r="DJ271" i="36"/>
  <c r="DJ270" i="36"/>
  <c r="DJ269" i="36"/>
  <c r="DJ267" i="36"/>
  <c r="DK447" i="36"/>
  <c r="DK432" i="36"/>
  <c r="DK450" i="36"/>
  <c r="DJ453" i="36"/>
  <c r="DK347" i="36"/>
  <c r="DK358" i="36"/>
  <c r="DK362" i="36"/>
  <c r="DK353" i="36"/>
  <c r="DJ366" i="36"/>
  <c r="DK120" i="36"/>
  <c r="DJ132" i="36"/>
  <c r="DJ130" i="36"/>
  <c r="AX32" i="36"/>
  <c r="AY32" i="36" s="1"/>
  <c r="U32" i="36" s="1"/>
  <c r="AX34" i="36"/>
  <c r="AY34" i="36" s="1"/>
  <c r="U34" i="36" s="1"/>
  <c r="DJ346" i="36"/>
  <c r="DJ348" i="36"/>
  <c r="DJ350" i="36"/>
  <c r="DJ344" i="36"/>
  <c r="DJ274" i="36"/>
  <c r="DJ275" i="36"/>
  <c r="DJ276" i="36"/>
  <c r="DJ277" i="36"/>
  <c r="DJ418" i="36"/>
  <c r="DJ420" i="36"/>
  <c r="DJ419" i="36"/>
  <c r="DK402" i="36"/>
  <c r="DK413" i="36"/>
  <c r="DJ431" i="36"/>
  <c r="DJ433" i="36"/>
  <c r="CA84" i="36"/>
  <c r="CB84" i="36" s="1"/>
  <c r="AS84" i="36" s="1"/>
  <c r="DK215" i="36"/>
  <c r="DK227" i="36"/>
  <c r="DK220" i="36"/>
  <c r="DJ231" i="36"/>
  <c r="DK209" i="36"/>
  <c r="DJ363" i="36"/>
  <c r="DK352" i="36"/>
  <c r="DK357" i="36"/>
  <c r="DJ362" i="36"/>
  <c r="DJ406" i="36"/>
  <c r="DJ404" i="36"/>
  <c r="DJ403" i="36"/>
  <c r="DJ405" i="36"/>
  <c r="DJ400" i="36"/>
  <c r="AX85" i="36"/>
  <c r="AY85" i="36" s="1"/>
  <c r="U85" i="36" s="1"/>
  <c r="DJ15" i="36"/>
  <c r="DJ19" i="36"/>
  <c r="DJ20" i="36"/>
  <c r="DK139" i="36"/>
  <c r="DK142" i="36"/>
  <c r="DJ146" i="36"/>
  <c r="DK135" i="36"/>
  <c r="DK41" i="36"/>
  <c r="DK61" i="36"/>
  <c r="DJ63" i="36"/>
  <c r="DK59" i="36"/>
  <c r="DK440" i="36"/>
  <c r="DK452" i="36"/>
  <c r="DK445" i="36"/>
  <c r="AX64" i="36"/>
  <c r="AY64" i="36" s="1"/>
  <c r="U64" i="36" s="1"/>
  <c r="DK178" i="36"/>
  <c r="DK189" i="36"/>
  <c r="DJ194" i="36"/>
  <c r="CA56" i="36"/>
  <c r="CB56" i="36" s="1"/>
  <c r="AS56" i="36" s="1"/>
  <c r="DK426" i="36"/>
  <c r="DK417" i="36"/>
  <c r="DJ320" i="36"/>
  <c r="DJ322" i="36"/>
  <c r="DJ316" i="36"/>
  <c r="DJ35" i="36"/>
  <c r="DK57" i="36"/>
  <c r="DK42" i="36"/>
  <c r="AG2" i="36"/>
  <c r="AD6" i="36"/>
  <c r="DK342" i="36"/>
  <c r="DK333" i="36"/>
  <c r="AX11" i="36"/>
  <c r="AY11" i="36" s="1"/>
  <c r="U11" i="36" s="1"/>
  <c r="DK289" i="36"/>
  <c r="DJ301" i="36"/>
  <c r="DJ302" i="36"/>
  <c r="DK181" i="36"/>
  <c r="DK192" i="36"/>
  <c r="DK373" i="36"/>
  <c r="CA9" i="36"/>
  <c r="CB9" i="36" s="1"/>
  <c r="AS9" i="36" s="1"/>
  <c r="DJ374" i="36"/>
  <c r="DJ373" i="36"/>
  <c r="DJ145" i="36"/>
  <c r="AX25" i="36"/>
  <c r="AY25" i="36" s="1"/>
  <c r="U25" i="36" s="1"/>
  <c r="DJ238" i="36"/>
  <c r="DJ235" i="36"/>
  <c r="DK47" i="36"/>
  <c r="DK56" i="36"/>
  <c r="DJ135" i="36"/>
  <c r="DJ137" i="36"/>
  <c r="DK455" i="36"/>
  <c r="DK449" i="36"/>
  <c r="AX26" i="36"/>
  <c r="AY26" i="36" s="1"/>
  <c r="U26" i="36" s="1"/>
  <c r="CA86" i="36"/>
  <c r="CB86" i="36" s="1"/>
  <c r="AS86" i="36" s="1"/>
  <c r="DJ18" i="36"/>
  <c r="DJ17" i="36"/>
  <c r="DJ40" i="36"/>
  <c r="DJ171" i="36"/>
  <c r="DJ172" i="36"/>
  <c r="DK241" i="36"/>
  <c r="DJ401" i="36"/>
  <c r="AX75" i="36"/>
  <c r="AY75" i="36" s="1"/>
  <c r="U75" i="36" s="1"/>
  <c r="DJ360" i="36"/>
  <c r="DK58" i="36"/>
  <c r="DJ61" i="36"/>
  <c r="DK346" i="36"/>
  <c r="DK319" i="36"/>
  <c r="DJ338" i="36"/>
  <c r="DJ451" i="36"/>
  <c r="DJ213" i="36"/>
  <c r="DK73" i="36"/>
  <c r="DK78" i="36"/>
  <c r="DJ147" i="36"/>
  <c r="DJ79" i="36"/>
  <c r="DK115" i="36"/>
  <c r="DK134" i="36"/>
  <c r="DJ421" i="36"/>
  <c r="DK324" i="36"/>
  <c r="DJ335" i="36"/>
  <c r="DK369" i="36"/>
  <c r="DK267" i="36"/>
  <c r="DJ58" i="36"/>
  <c r="DJ60" i="36"/>
  <c r="DJ349" i="36"/>
  <c r="DJ345" i="36"/>
  <c r="DJ310" i="36"/>
  <c r="DK306" i="36"/>
  <c r="DJ314" i="36"/>
  <c r="DJ111" i="36"/>
  <c r="DJ113" i="36"/>
  <c r="DJ127" i="36"/>
  <c r="DJ128" i="36"/>
  <c r="DK156" i="36"/>
  <c r="DK438" i="36"/>
  <c r="DJ217" i="36"/>
  <c r="DK211" i="36"/>
  <c r="DK393" i="36"/>
  <c r="DK396" i="36"/>
  <c r="DJ268" i="36"/>
  <c r="DK326" i="36"/>
  <c r="DK34" i="36"/>
  <c r="DJ251" i="36"/>
  <c r="DJ390" i="36"/>
  <c r="DJ429" i="36"/>
  <c r="DK224" i="36"/>
  <c r="DK336" i="36"/>
  <c r="DK371" i="36"/>
  <c r="DK117" i="36"/>
  <c r="DK76" i="36"/>
  <c r="DJ432" i="36"/>
  <c r="DJ365" i="36"/>
  <c r="DJ368" i="36"/>
  <c r="DJ69" i="36"/>
  <c r="DJ272" i="36"/>
  <c r="DJ28" i="36"/>
  <c r="DK349" i="36"/>
  <c r="DK123" i="36"/>
  <c r="DK31" i="36"/>
  <c r="AF6" i="36"/>
  <c r="AX56" i="36"/>
  <c r="AY56" i="36" s="1"/>
  <c r="U56" i="36" s="1"/>
  <c r="AX39" i="36"/>
  <c r="AY39" i="36" s="1"/>
  <c r="U39" i="36" s="1"/>
  <c r="CA85" i="36"/>
  <c r="CB85" i="36" s="1"/>
  <c r="AS85" i="36" s="1"/>
  <c r="AJ3" i="36"/>
  <c r="AX59" i="36"/>
  <c r="AY59" i="36" s="1"/>
  <c r="U59" i="36" s="1"/>
  <c r="AD3" i="36"/>
  <c r="CA49" i="36"/>
  <c r="CB49" i="36" s="1"/>
  <c r="AS49" i="36" s="1"/>
  <c r="CA39" i="36"/>
  <c r="CB39" i="36" s="1"/>
  <c r="AS39" i="36" s="1"/>
  <c r="CA35" i="36"/>
  <c r="CB35" i="36" s="1"/>
  <c r="AS35" i="36" s="1"/>
  <c r="CA63" i="36"/>
  <c r="CB63" i="36" s="1"/>
  <c r="AS63" i="36" s="1"/>
  <c r="CA11" i="36"/>
  <c r="CB11" i="36" s="1"/>
  <c r="AS11" i="36" s="1"/>
  <c r="CA64" i="36"/>
  <c r="CB64" i="36" s="1"/>
  <c r="AS64" i="36" s="1"/>
  <c r="DJ265" i="36"/>
  <c r="DJ266" i="36"/>
  <c r="DK190" i="36"/>
  <c r="DK185" i="36"/>
  <c r="CA59" i="36"/>
  <c r="CB59" i="36" s="1"/>
  <c r="AS59" i="36" s="1"/>
  <c r="DJ139" i="36"/>
  <c r="DK133" i="36"/>
  <c r="DK281" i="36"/>
  <c r="DK266" i="36"/>
  <c r="DJ210" i="36"/>
  <c r="DJ204" i="36"/>
  <c r="DK198" i="36"/>
  <c r="DK195" i="36"/>
  <c r="DJ407" i="36"/>
  <c r="CA12" i="36"/>
  <c r="CB12" i="36" s="1"/>
  <c r="AS12" i="36" s="1"/>
  <c r="DK118" i="36"/>
  <c r="DK98" i="36"/>
  <c r="AI5" i="36"/>
  <c r="DK279" i="36"/>
  <c r="CA72" i="36"/>
  <c r="CB72" i="36" s="1"/>
  <c r="AS72" i="36" s="1"/>
  <c r="DJ223" i="36"/>
  <c r="DK206" i="36"/>
  <c r="DK87" i="36"/>
  <c r="DK75" i="36"/>
  <c r="DK305" i="36"/>
  <c r="DK300" i="36"/>
  <c r="DK159" i="36"/>
  <c r="DK411" i="36"/>
  <c r="DK405" i="36"/>
  <c r="CA19" i="36"/>
  <c r="CB19" i="36" s="1"/>
  <c r="AS19" i="36" s="1"/>
  <c r="AX13" i="36"/>
  <c r="AY13" i="36" s="1"/>
  <c r="U13" i="36" s="1"/>
  <c r="CA25" i="36"/>
  <c r="CB25" i="36" s="1"/>
  <c r="AS25" i="36" s="1"/>
  <c r="CA52" i="36"/>
  <c r="CB52" i="36" s="1"/>
  <c r="AS52" i="36" s="1"/>
  <c r="CA73" i="36"/>
  <c r="CB73" i="36" s="1"/>
  <c r="AS73" i="36" s="1"/>
  <c r="CA53" i="36"/>
  <c r="CB53" i="36" s="1"/>
  <c r="AS53" i="36" s="1"/>
  <c r="AX41" i="36"/>
  <c r="AY41" i="36" s="1"/>
  <c r="U41" i="36" s="1"/>
  <c r="DK372" i="36"/>
  <c r="DJ308" i="36"/>
  <c r="DK21" i="36"/>
  <c r="AE5" i="36"/>
  <c r="DK12" i="36"/>
  <c r="DK18" i="36"/>
  <c r="DJ34" i="36"/>
  <c r="DJ33" i="36"/>
  <c r="DK23" i="36"/>
  <c r="DK415" i="36"/>
  <c r="DK410" i="36"/>
  <c r="DK419" i="36"/>
  <c r="DJ426" i="36"/>
  <c r="DJ425" i="36"/>
  <c r="DK223" i="36"/>
  <c r="DK219" i="36"/>
  <c r="AG5" i="36"/>
  <c r="DK214" i="36"/>
  <c r="DJ230" i="36"/>
  <c r="DJ243" i="36"/>
  <c r="DJ240" i="36"/>
  <c r="DJ242" i="36"/>
  <c r="AX53" i="36"/>
  <c r="AY53" i="36" s="1"/>
  <c r="U53" i="36" s="1"/>
  <c r="AX54" i="36"/>
  <c r="AY54" i="36" s="1"/>
  <c r="U54" i="36" s="1"/>
  <c r="DJ239" i="36"/>
  <c r="AX51" i="36"/>
  <c r="AY51" i="36" s="1"/>
  <c r="U51" i="36" s="1"/>
  <c r="DJ241" i="36"/>
  <c r="AX50" i="36"/>
  <c r="AY50" i="36" s="1"/>
  <c r="U50" i="36" s="1"/>
  <c r="DJ177" i="36"/>
  <c r="DJ179" i="36"/>
  <c r="DJ182" i="36"/>
  <c r="DJ180" i="36"/>
  <c r="AX43" i="36"/>
  <c r="AY43" i="36" s="1"/>
  <c r="U43" i="36" s="1"/>
  <c r="AX42" i="36"/>
  <c r="AY42" i="36" s="1"/>
  <c r="U42" i="36" s="1"/>
  <c r="DJ178" i="36"/>
  <c r="AX46" i="36"/>
  <c r="AY46" i="36" s="1"/>
  <c r="U46" i="36" s="1"/>
  <c r="DK249" i="36"/>
  <c r="DK256" i="36"/>
  <c r="DK259" i="36"/>
  <c r="DK258" i="36"/>
  <c r="DK238" i="36"/>
  <c r="DK253" i="36"/>
  <c r="DK244" i="36"/>
  <c r="DK242" i="36"/>
  <c r="DK254" i="36"/>
  <c r="DK236" i="36"/>
  <c r="DJ258" i="36"/>
  <c r="DK251" i="36"/>
  <c r="DJ438" i="36"/>
  <c r="DJ436" i="36"/>
  <c r="DJ437" i="36"/>
  <c r="DJ435" i="36"/>
  <c r="CA83" i="36"/>
  <c r="CB83" i="36" s="1"/>
  <c r="AS83" i="36" s="1"/>
  <c r="CA81" i="36"/>
  <c r="CB81" i="36" s="1"/>
  <c r="AS81" i="36" s="1"/>
  <c r="CA82" i="36"/>
  <c r="CB82" i="36" s="1"/>
  <c r="AS82" i="36" s="1"/>
  <c r="DK428" i="36"/>
  <c r="DJ370" i="36"/>
  <c r="DK363" i="36"/>
  <c r="DK354" i="36"/>
  <c r="DJ369" i="36"/>
  <c r="AX70" i="36"/>
  <c r="AY70" i="36" s="1"/>
  <c r="U70" i="36" s="1"/>
  <c r="AX73" i="36"/>
  <c r="AY73" i="36" s="1"/>
  <c r="U73" i="36" s="1"/>
  <c r="AX76" i="36"/>
  <c r="AY76" i="36" s="1"/>
  <c r="U76" i="36" s="1"/>
  <c r="AX72" i="36"/>
  <c r="AY72" i="36" s="1"/>
  <c r="U72" i="36" s="1"/>
  <c r="AX74" i="36"/>
  <c r="AY74" i="36" s="1"/>
  <c r="U74" i="36" s="1"/>
  <c r="DK359" i="36"/>
  <c r="AX69" i="36"/>
  <c r="AY69" i="36" s="1"/>
  <c r="U69" i="36" s="1"/>
  <c r="DJ188" i="36"/>
  <c r="DJ185" i="36"/>
  <c r="DJ184" i="36"/>
  <c r="DJ186" i="36"/>
  <c r="DK176" i="36"/>
  <c r="DK147" i="36"/>
  <c r="DK141" i="36"/>
  <c r="DK126" i="36"/>
  <c r="DJ424" i="36"/>
  <c r="DK418" i="36"/>
  <c r="DK409" i="36"/>
  <c r="DK433" i="36"/>
  <c r="DK444" i="36"/>
  <c r="DJ455" i="36"/>
  <c r="DK439" i="36"/>
  <c r="DJ416" i="36"/>
  <c r="DJ417" i="36"/>
  <c r="DJ413" i="36"/>
  <c r="DK280" i="36"/>
  <c r="DK285" i="36"/>
  <c r="DK265" i="36"/>
  <c r="DJ287" i="36"/>
  <c r="DJ160" i="36"/>
  <c r="DJ156" i="36"/>
  <c r="DK148" i="36"/>
  <c r="DJ157" i="36"/>
  <c r="DK38" i="36"/>
  <c r="DJ57" i="36"/>
  <c r="DK49" i="36"/>
  <c r="DK177" i="36"/>
  <c r="DJ191" i="36"/>
  <c r="DJ189" i="36"/>
  <c r="DJ190" i="36"/>
  <c r="AX65" i="36"/>
  <c r="AY65" i="36" s="1"/>
  <c r="U65" i="36" s="1"/>
  <c r="AX60" i="36"/>
  <c r="AY60" i="36" s="1"/>
  <c r="U60" i="36" s="1"/>
  <c r="DK296" i="36"/>
  <c r="DJ309" i="36"/>
  <c r="DK290" i="36"/>
  <c r="AX66" i="36"/>
  <c r="AY66" i="36" s="1"/>
  <c r="U66" i="36" s="1"/>
  <c r="AX61" i="36"/>
  <c r="AY61" i="36" s="1"/>
  <c r="U61" i="36" s="1"/>
  <c r="AX62" i="36"/>
  <c r="AY62" i="36" s="1"/>
  <c r="U62" i="36" s="1"/>
  <c r="DK252" i="36"/>
  <c r="DK243" i="36"/>
  <c r="DK257" i="36"/>
  <c r="DK262" i="36"/>
  <c r="AH6" i="36"/>
  <c r="DJ281" i="36"/>
  <c r="DJ279" i="36"/>
  <c r="DJ280" i="36"/>
  <c r="DJ246" i="36"/>
  <c r="DJ247" i="36"/>
  <c r="DJ245" i="36"/>
  <c r="DK239" i="36"/>
  <c r="DK96" i="36"/>
  <c r="DK111" i="36"/>
  <c r="DK107" i="36"/>
  <c r="DK102" i="36"/>
  <c r="DJ47" i="36"/>
  <c r="DK36" i="36"/>
  <c r="DJ44" i="36"/>
  <c r="AX12" i="36"/>
  <c r="AY12" i="36" s="1"/>
  <c r="U12" i="36" s="1"/>
  <c r="AX10" i="36"/>
  <c r="AY10" i="36" s="1"/>
  <c r="U10" i="36" s="1"/>
  <c r="DJ10" i="36"/>
  <c r="DJ11" i="36"/>
  <c r="DJ13" i="36"/>
  <c r="CA55" i="36"/>
  <c r="CB55" i="36" s="1"/>
  <c r="AS55" i="36" s="1"/>
  <c r="CA50" i="36"/>
  <c r="CB50" i="36" s="1"/>
  <c r="AS50" i="36" s="1"/>
  <c r="DK22" i="36"/>
  <c r="DK11" i="36"/>
  <c r="DK26" i="36"/>
  <c r="AX81" i="36"/>
  <c r="AY81" i="36" s="1"/>
  <c r="U81" i="36" s="1"/>
  <c r="AX84" i="36"/>
  <c r="AY84" i="36" s="1"/>
  <c r="U84" i="36" s="1"/>
  <c r="DJ395" i="36"/>
  <c r="DK386" i="36"/>
  <c r="DK375" i="36"/>
  <c r="DK390" i="36"/>
  <c r="DJ396" i="36"/>
  <c r="DK381" i="36"/>
  <c r="DJ153" i="36"/>
  <c r="DJ154" i="36"/>
  <c r="DJ151" i="36"/>
  <c r="CA34" i="36"/>
  <c r="CB34" i="36" s="1"/>
  <c r="AS34" i="36" s="1"/>
  <c r="DJ148" i="36"/>
  <c r="DJ149" i="36"/>
  <c r="CA31" i="36"/>
  <c r="CB31" i="36" s="1"/>
  <c r="AS31" i="36" s="1"/>
  <c r="CA33" i="36"/>
  <c r="CB33" i="36" s="1"/>
  <c r="AS33" i="36" s="1"/>
  <c r="CA36" i="36"/>
  <c r="CB36" i="36" s="1"/>
  <c r="AS36" i="36" s="1"/>
  <c r="DK441" i="36"/>
  <c r="DJ449" i="36"/>
  <c r="DK430" i="36"/>
  <c r="DK436" i="36"/>
  <c r="DJ448" i="36"/>
  <c r="DJ100" i="36"/>
  <c r="DJ104" i="36"/>
  <c r="CA22" i="36"/>
  <c r="CB22" i="36" s="1"/>
  <c r="AS22" i="36" s="1"/>
  <c r="CA23" i="36"/>
  <c r="CB23" i="36" s="1"/>
  <c r="AS23" i="36" s="1"/>
  <c r="DJ101" i="36"/>
  <c r="AF3" i="36"/>
  <c r="DJ103" i="36"/>
  <c r="DK207" i="36"/>
  <c r="DJ226" i="36"/>
  <c r="DJ228" i="36"/>
  <c r="DJ227" i="36"/>
  <c r="DJ379" i="36"/>
  <c r="DJ382" i="36"/>
  <c r="CA76" i="36"/>
  <c r="CB76" i="36" s="1"/>
  <c r="AS76" i="36" s="1"/>
  <c r="DJ383" i="36"/>
  <c r="DJ384" i="36"/>
  <c r="CA74" i="36"/>
  <c r="CB74" i="36" s="1"/>
  <c r="AS74" i="36" s="1"/>
  <c r="DJ90" i="36"/>
  <c r="DJ89" i="36"/>
  <c r="DK83" i="36"/>
  <c r="DK86" i="36"/>
  <c r="DK79" i="36"/>
  <c r="DK15" i="36"/>
  <c r="DK9" i="36"/>
  <c r="DJ21" i="36"/>
  <c r="DJ24" i="36"/>
  <c r="DK269" i="36"/>
  <c r="DJ283" i="36"/>
  <c r="DK263" i="36"/>
  <c r="DK304" i="36"/>
  <c r="DK299" i="36"/>
  <c r="DK311" i="36"/>
  <c r="DK106" i="36"/>
  <c r="DK101" i="36"/>
  <c r="DK110" i="36"/>
  <c r="DJ116" i="36"/>
  <c r="DK197" i="36"/>
  <c r="DK193" i="36"/>
  <c r="DK203" i="36"/>
  <c r="DK182" i="36"/>
  <c r="DK200" i="36"/>
  <c r="DK160" i="36"/>
  <c r="DK172" i="36"/>
  <c r="DK174" i="36"/>
  <c r="DK154" i="36"/>
  <c r="DK377" i="36"/>
  <c r="DK383" i="36"/>
  <c r="DK397" i="36"/>
  <c r="DK395" i="36"/>
  <c r="DJ174" i="36"/>
  <c r="DK158" i="36"/>
  <c r="DJ173" i="36"/>
  <c r="DK167" i="36"/>
  <c r="DJ124" i="36"/>
  <c r="DJ125" i="36"/>
  <c r="DJ121" i="36"/>
  <c r="AX35" i="36"/>
  <c r="AY35" i="36" s="1"/>
  <c r="U35" i="36" s="1"/>
  <c r="AX36" i="36"/>
  <c r="AY36" i="36" s="1"/>
  <c r="U36" i="36" s="1"/>
  <c r="DJ120" i="36"/>
  <c r="DJ122" i="36"/>
  <c r="AX33" i="36"/>
  <c r="AY33" i="36" s="1"/>
  <c r="U33" i="36" s="1"/>
  <c r="DK317" i="36"/>
  <c r="DJ330" i="36"/>
  <c r="DJ324" i="36"/>
  <c r="DJ327" i="36"/>
  <c r="DJ325" i="36"/>
  <c r="DK316" i="36"/>
  <c r="AJ6" i="36"/>
  <c r="DJ323" i="36"/>
  <c r="CA62" i="36"/>
  <c r="CB62" i="36" s="1"/>
  <c r="AS62" i="36" s="1"/>
  <c r="CA60" i="36"/>
  <c r="CB60" i="36" s="1"/>
  <c r="AS60" i="36" s="1"/>
  <c r="CA66" i="36"/>
  <c r="CB66" i="36" s="1"/>
  <c r="AS66" i="36" s="1"/>
  <c r="DK225" i="36"/>
  <c r="DK231" i="36"/>
  <c r="DK216" i="36"/>
  <c r="DK228" i="36"/>
  <c r="DK66" i="36"/>
  <c r="DK72" i="36"/>
  <c r="DK77" i="36"/>
  <c r="AX20" i="36"/>
  <c r="AY20" i="36" s="1"/>
  <c r="U20" i="36" s="1"/>
  <c r="AX24" i="36"/>
  <c r="AY24" i="36" s="1"/>
  <c r="U24" i="36" s="1"/>
  <c r="AX21" i="36"/>
  <c r="AY21" i="36" s="1"/>
  <c r="U21" i="36" s="1"/>
  <c r="DJ85" i="36"/>
  <c r="DJ84" i="36"/>
  <c r="DJ51" i="36"/>
  <c r="DJ49" i="36"/>
  <c r="DJ50" i="36"/>
  <c r="DK93" i="36"/>
  <c r="DJ106" i="36"/>
  <c r="DJ107" i="36"/>
  <c r="DJ108" i="36"/>
  <c r="DJ105" i="36"/>
  <c r="DJ164" i="36"/>
  <c r="DK155" i="36"/>
  <c r="DK149" i="36"/>
  <c r="DJ163" i="36"/>
  <c r="DJ165" i="36"/>
  <c r="DJ441" i="36"/>
  <c r="DJ444" i="36"/>
  <c r="DJ445" i="36"/>
  <c r="DK435" i="36"/>
  <c r="CA14" i="36"/>
  <c r="CB14" i="36" s="1"/>
  <c r="AS14" i="36" s="1"/>
  <c r="CA10" i="36"/>
  <c r="CB10" i="36" s="1"/>
  <c r="AS10" i="36" s="1"/>
  <c r="AX49" i="36"/>
  <c r="AY49" i="36" s="1"/>
  <c r="U49" i="36" s="1"/>
  <c r="CA43" i="36"/>
  <c r="CB43" i="36" s="1"/>
  <c r="AS43" i="36" s="1"/>
  <c r="AX40" i="36"/>
  <c r="AY40" i="36" s="1"/>
  <c r="U40" i="36" s="1"/>
  <c r="DJ260" i="36"/>
  <c r="DJ262" i="36"/>
  <c r="DJ263" i="36"/>
  <c r="DJ261" i="36"/>
  <c r="DJ200" i="36"/>
  <c r="DJ198" i="36"/>
  <c r="AK5" i="36"/>
  <c r="CA61" i="36"/>
  <c r="CB61" i="36" s="1"/>
  <c r="AS61" i="36" s="1"/>
  <c r="DK122" i="36"/>
  <c r="DJ140" i="36"/>
  <c r="DK128" i="36"/>
  <c r="DK272" i="36"/>
  <c r="DK277" i="36"/>
  <c r="DK287" i="36"/>
  <c r="CA44" i="36"/>
  <c r="CB44" i="36" s="1"/>
  <c r="AS44" i="36" s="1"/>
  <c r="DJ207" i="36"/>
  <c r="CA41" i="36"/>
  <c r="CB41" i="36" s="1"/>
  <c r="AS41" i="36" s="1"/>
  <c r="DJ208" i="36"/>
  <c r="DJ205" i="36"/>
  <c r="DJ32" i="36"/>
  <c r="AX14" i="36"/>
  <c r="AY14" i="36" s="1"/>
  <c r="U14" i="36" s="1"/>
  <c r="DJ30" i="36"/>
  <c r="DK186" i="36"/>
  <c r="DJ201" i="36"/>
  <c r="DJ202" i="36"/>
  <c r="DJ410" i="36"/>
  <c r="DJ412" i="36"/>
  <c r="DK400" i="36"/>
  <c r="DJ408" i="36"/>
  <c r="CA15" i="36"/>
  <c r="CB15" i="36" s="1"/>
  <c r="AS15" i="36" s="1"/>
  <c r="CA16" i="36"/>
  <c r="CB16" i="36" s="1"/>
  <c r="AS16" i="36" s="1"/>
  <c r="DK109" i="36"/>
  <c r="DK119" i="36"/>
  <c r="CA24" i="36"/>
  <c r="CB24" i="36" s="1"/>
  <c r="AS24" i="36" s="1"/>
  <c r="DK116" i="36"/>
  <c r="DK282" i="36"/>
  <c r="DK275" i="36"/>
  <c r="DJ286" i="36"/>
  <c r="CA71" i="36"/>
  <c r="CB71" i="36" s="1"/>
  <c r="AS71" i="36" s="1"/>
  <c r="DJ225" i="36"/>
  <c r="DJ222" i="36"/>
  <c r="AX23" i="36"/>
  <c r="AY23" i="36" s="1"/>
  <c r="U23" i="36" s="1"/>
  <c r="DK69" i="36"/>
  <c r="DJ91" i="36"/>
  <c r="AX22" i="36"/>
  <c r="AY22" i="36" s="1"/>
  <c r="U22" i="36" s="1"/>
  <c r="DK80" i="36"/>
  <c r="AX55" i="36"/>
  <c r="AY55" i="36" s="1"/>
  <c r="U55" i="36" s="1"/>
  <c r="DK314" i="36"/>
  <c r="DK315" i="36"/>
  <c r="DK312" i="36"/>
  <c r="CA30" i="36"/>
  <c r="CB30" i="36" s="1"/>
  <c r="AS30" i="36" s="1"/>
  <c r="DK168" i="36"/>
  <c r="DJ175" i="36"/>
  <c r="DK171" i="36"/>
  <c r="AX29" i="36"/>
  <c r="AY29" i="36" s="1"/>
  <c r="U29" i="36" s="1"/>
  <c r="CA79" i="36"/>
  <c r="CB79" i="36" s="1"/>
  <c r="AS79" i="36" s="1"/>
  <c r="DK425" i="36"/>
  <c r="DK423" i="36"/>
  <c r="DJ45" i="36"/>
  <c r="DJ48" i="36"/>
  <c r="CA54" i="36"/>
  <c r="CB54" i="36" s="1"/>
  <c r="AS54" i="36" s="1"/>
  <c r="AX15" i="36"/>
  <c r="AY15" i="36" s="1"/>
  <c r="U15" i="36" s="1"/>
  <c r="CA20" i="36"/>
  <c r="CB20" i="36" s="1"/>
  <c r="AS20" i="36" s="1"/>
  <c r="AX79" i="36"/>
  <c r="AY79" i="36" s="1"/>
  <c r="U79" i="36" s="1"/>
  <c r="CA29" i="36"/>
  <c r="CB29" i="36" s="1"/>
  <c r="AS29" i="36" s="1"/>
  <c r="AX16" i="36"/>
  <c r="I3" i="36" s="1"/>
  <c r="AH3" i="36"/>
  <c r="AX31" i="36"/>
  <c r="AY31" i="36" s="1"/>
  <c r="U31" i="36" s="1"/>
  <c r="CA32" i="36"/>
  <c r="CB32" i="36" s="1"/>
  <c r="AS32" i="36" s="1"/>
  <c r="CA51" i="36"/>
  <c r="CB51" i="36" s="1"/>
  <c r="AS51" i="36" s="1"/>
  <c r="CA70" i="36"/>
  <c r="CB70" i="36" s="1"/>
  <c r="AS70" i="36" s="1"/>
  <c r="CA42" i="36"/>
  <c r="CB42" i="36" s="1"/>
  <c r="AS42" i="36" s="1"/>
  <c r="AX82" i="36"/>
  <c r="AY82" i="36" s="1"/>
  <c r="U82" i="36" s="1"/>
  <c r="DJ8" i="36"/>
  <c r="DP8" i="36" s="1"/>
  <c r="DJ14" i="36"/>
  <c r="CA46" i="36"/>
  <c r="CB46" i="36" s="1"/>
  <c r="AS46" i="36" s="1"/>
  <c r="AX9" i="36"/>
  <c r="G3" i="36" s="1"/>
  <c r="AX30" i="36"/>
  <c r="AY30" i="36" s="1"/>
  <c r="U30" i="36" s="1"/>
  <c r="AX45" i="36"/>
  <c r="AY45" i="36" s="1"/>
  <c r="U45" i="36" s="1"/>
  <c r="AX80" i="36"/>
  <c r="AY80" i="36" s="1"/>
  <c r="U80" i="36" s="1"/>
  <c r="DK429" i="36"/>
  <c r="DK68" i="36"/>
  <c r="DK114" i="36"/>
  <c r="DJ162" i="36"/>
  <c r="DK268" i="36"/>
  <c r="DJ380" i="36"/>
  <c r="DJ259" i="36"/>
  <c r="DK255" i="36"/>
  <c r="DK99" i="36"/>
  <c r="DK301" i="36"/>
  <c r="DJ306" i="36"/>
  <c r="DJ193" i="36"/>
  <c r="DK213" i="36"/>
  <c r="DK44" i="36"/>
  <c r="DJ55" i="36"/>
  <c r="DJ53" i="36"/>
  <c r="DK43" i="36"/>
  <c r="DJ155" i="36"/>
  <c r="DJ83" i="36"/>
  <c r="DK92" i="36"/>
  <c r="DK276" i="36"/>
  <c r="DJ415" i="36"/>
  <c r="DK407" i="36"/>
  <c r="DK210" i="36"/>
  <c r="DK221" i="36"/>
  <c r="DK448" i="36"/>
  <c r="DK403" i="36"/>
  <c r="DJ423" i="36"/>
  <c r="DJ394" i="36"/>
  <c r="DK132" i="36"/>
  <c r="DK137" i="36"/>
  <c r="DJ123" i="36"/>
  <c r="DJ187" i="36"/>
  <c r="DK152" i="36"/>
  <c r="DK388" i="36"/>
  <c r="DJ399" i="36"/>
  <c r="DJ257" i="36"/>
  <c r="DK169" i="36"/>
  <c r="DJ114" i="36"/>
  <c r="DK232" i="36"/>
  <c r="DK313" i="36"/>
  <c r="DK293" i="36"/>
  <c r="DJ284" i="36"/>
  <c r="DK278" i="36"/>
  <c r="DJ22" i="36"/>
  <c r="DJ46" i="36"/>
  <c r="DJ248" i="36"/>
  <c r="DK233" i="36"/>
  <c r="DJ332" i="36"/>
  <c r="DK323" i="36"/>
  <c r="DJ25" i="36"/>
  <c r="AE2" i="36"/>
  <c r="DJ102" i="36"/>
  <c r="CA26" i="36"/>
  <c r="CB26" i="36" s="1"/>
  <c r="AS26" i="36" s="1"/>
  <c r="AX83" i="36"/>
  <c r="AY83" i="36" s="1"/>
  <c r="U83" i="36" s="1"/>
  <c r="DK451" i="36"/>
  <c r="DJ440" i="36"/>
  <c r="DJ439" i="36"/>
  <c r="DJ159" i="36"/>
  <c r="CA80" i="36"/>
  <c r="CB80" i="36" s="1"/>
  <c r="AS80" i="36" s="1"/>
  <c r="DJ326" i="36"/>
  <c r="DJ447" i="36"/>
  <c r="AK2" i="36"/>
  <c r="DJ152" i="36"/>
  <c r="CA65" i="36"/>
  <c r="CB65" i="36" s="1"/>
  <c r="AS65" i="36" s="1"/>
  <c r="DK422" i="36"/>
  <c r="DJ244" i="36"/>
  <c r="DK208" i="36"/>
  <c r="DJ176" i="36"/>
  <c r="DJ183" i="36"/>
  <c r="DJ229" i="36"/>
  <c r="DJ23" i="36"/>
  <c r="DK17" i="36"/>
  <c r="DJ26" i="36"/>
  <c r="DK404" i="36"/>
  <c r="DJ96" i="36"/>
  <c r="DK27" i="36"/>
  <c r="DK30" i="36"/>
  <c r="DJ73" i="36"/>
  <c r="DJ75" i="36"/>
  <c r="DJ333" i="36"/>
  <c r="DJ331" i="36"/>
  <c r="DJ428" i="36"/>
  <c r="DJ434" i="36"/>
  <c r="DQ124" i="36" l="1"/>
  <c r="DQ163" i="36"/>
  <c r="DO16" i="36"/>
  <c r="DR165" i="36"/>
  <c r="DP77" i="36"/>
  <c r="DP131" i="36"/>
  <c r="DQ162" i="36"/>
  <c r="DR261" i="36"/>
  <c r="DO73" i="36"/>
  <c r="DP73" i="36"/>
  <c r="DQ17" i="36"/>
  <c r="DR17" i="36"/>
  <c r="DO229" i="36"/>
  <c r="DP229" i="36"/>
  <c r="DO176" i="36"/>
  <c r="DP176" i="36"/>
  <c r="DO244" i="36"/>
  <c r="DP244" i="36"/>
  <c r="DO75" i="36"/>
  <c r="DP75" i="36"/>
  <c r="DQ30" i="36"/>
  <c r="DR30" i="36"/>
  <c r="DO96" i="36"/>
  <c r="DP96" i="36"/>
  <c r="DO26" i="36"/>
  <c r="DP26" i="36"/>
  <c r="DO23" i="36"/>
  <c r="DP23" i="36"/>
  <c r="DO183" i="36"/>
  <c r="DP183" i="36"/>
  <c r="DQ208" i="36"/>
  <c r="DR208" i="36"/>
  <c r="DO152" i="36"/>
  <c r="DP152" i="36"/>
  <c r="DQ233" i="36"/>
  <c r="DR233" i="36"/>
  <c r="DO46" i="36"/>
  <c r="DP46" i="36"/>
  <c r="DQ278" i="36"/>
  <c r="DR278" i="36"/>
  <c r="DQ232" i="36"/>
  <c r="DR232" i="36"/>
  <c r="DQ169" i="36"/>
  <c r="DR169" i="36"/>
  <c r="DQ152" i="36"/>
  <c r="DR152" i="36"/>
  <c r="DO123" i="36"/>
  <c r="DP123" i="36"/>
  <c r="DQ132" i="36"/>
  <c r="DR132" i="36"/>
  <c r="DQ210" i="36"/>
  <c r="DR210" i="36"/>
  <c r="DQ92" i="36"/>
  <c r="DR92" i="36"/>
  <c r="DO155" i="36"/>
  <c r="DP155" i="36"/>
  <c r="DO53" i="36"/>
  <c r="DP53" i="36"/>
  <c r="DQ44" i="36"/>
  <c r="DR44" i="36"/>
  <c r="DO193" i="36"/>
  <c r="DP193" i="36"/>
  <c r="DQ255" i="36"/>
  <c r="DR255" i="36"/>
  <c r="DO162" i="36"/>
  <c r="DP162" i="36"/>
  <c r="DQ68" i="36"/>
  <c r="DR68" i="36"/>
  <c r="DO48" i="36"/>
  <c r="DP48" i="36"/>
  <c r="DQ171" i="36"/>
  <c r="DR171" i="36"/>
  <c r="DQ168" i="36"/>
  <c r="DR168" i="36"/>
  <c r="DQ80" i="36"/>
  <c r="DR80" i="36"/>
  <c r="DO91" i="36"/>
  <c r="DP91" i="36"/>
  <c r="DO225" i="36"/>
  <c r="DP225" i="36"/>
  <c r="DO286" i="36"/>
  <c r="DP286" i="36"/>
  <c r="DQ282" i="36"/>
  <c r="DR282" i="36"/>
  <c r="DQ109" i="36"/>
  <c r="DR109" i="36"/>
  <c r="DO201" i="36"/>
  <c r="DP201" i="36"/>
  <c r="DO30" i="36"/>
  <c r="DP30" i="36"/>
  <c r="DO32" i="36"/>
  <c r="DP32" i="36"/>
  <c r="DO208" i="36"/>
  <c r="DP208" i="36"/>
  <c r="DO207" i="36"/>
  <c r="DP207" i="36"/>
  <c r="DQ287" i="36"/>
  <c r="DR287" i="36"/>
  <c r="DQ272" i="36"/>
  <c r="DR272" i="36"/>
  <c r="DO140" i="36"/>
  <c r="DP140" i="36"/>
  <c r="DO198" i="36"/>
  <c r="DP198" i="36"/>
  <c r="DO261" i="36"/>
  <c r="DP261" i="36"/>
  <c r="DO262" i="36"/>
  <c r="DP262" i="36"/>
  <c r="DO163" i="36"/>
  <c r="DP163" i="36"/>
  <c r="DQ155" i="36"/>
  <c r="DR155" i="36"/>
  <c r="DO105" i="36"/>
  <c r="DP105" i="36"/>
  <c r="DO107" i="36"/>
  <c r="DP107" i="36"/>
  <c r="DQ93" i="36"/>
  <c r="DR93" i="36"/>
  <c r="DO49" i="36"/>
  <c r="DP49" i="36"/>
  <c r="DO84" i="36"/>
  <c r="DP84" i="36"/>
  <c r="DQ72" i="36"/>
  <c r="DR72" i="36"/>
  <c r="DQ228" i="36"/>
  <c r="DR228" i="36"/>
  <c r="DQ231" i="36"/>
  <c r="DR231" i="36"/>
  <c r="DO122" i="36"/>
  <c r="DP122" i="36"/>
  <c r="DO121" i="36"/>
  <c r="DP121" i="36"/>
  <c r="DO124" i="36"/>
  <c r="DP124" i="36"/>
  <c r="DO173" i="36"/>
  <c r="DP173" i="36"/>
  <c r="DO174" i="36"/>
  <c r="DP174" i="36"/>
  <c r="DQ174" i="36"/>
  <c r="DR174" i="36"/>
  <c r="DQ160" i="36"/>
  <c r="DR160" i="36"/>
  <c r="DQ182" i="36"/>
  <c r="DR182" i="36"/>
  <c r="DQ193" i="36"/>
  <c r="DR193" i="36"/>
  <c r="DO116" i="36"/>
  <c r="DP116" i="36"/>
  <c r="DQ101" i="36"/>
  <c r="DR101" i="36"/>
  <c r="DO283" i="36"/>
  <c r="DP283" i="36"/>
  <c r="DO24" i="36"/>
  <c r="DP24" i="36"/>
  <c r="DQ9" i="36"/>
  <c r="DR9" i="36"/>
  <c r="DQ79" i="36"/>
  <c r="DR79" i="36"/>
  <c r="DQ83" i="36"/>
  <c r="DR83" i="36"/>
  <c r="DO90" i="36"/>
  <c r="DP90" i="36"/>
  <c r="DO228" i="36"/>
  <c r="DP228" i="36"/>
  <c r="DQ207" i="36"/>
  <c r="DR207" i="36"/>
  <c r="DO104" i="36"/>
  <c r="DP104" i="36"/>
  <c r="DO149" i="36"/>
  <c r="DP149" i="36"/>
  <c r="DO154" i="36"/>
  <c r="DP154" i="36"/>
  <c r="DQ26" i="36"/>
  <c r="DR26" i="36"/>
  <c r="DQ22" i="36"/>
  <c r="DR22" i="36"/>
  <c r="DO11" i="36"/>
  <c r="DP11" i="36"/>
  <c r="DO44" i="36"/>
  <c r="DP44" i="36"/>
  <c r="DO47" i="36"/>
  <c r="DP47" i="36"/>
  <c r="DQ107" i="36"/>
  <c r="DR107" i="36"/>
  <c r="DQ96" i="36"/>
  <c r="DR96" i="36"/>
  <c r="DO245" i="36"/>
  <c r="DP245" i="36"/>
  <c r="DO246" i="36"/>
  <c r="DP246" i="36"/>
  <c r="DO279" i="36"/>
  <c r="DP279" i="36"/>
  <c r="DQ257" i="36"/>
  <c r="DR257" i="36"/>
  <c r="DQ252" i="36"/>
  <c r="DR252" i="36"/>
  <c r="DO189" i="36"/>
  <c r="DP189" i="36"/>
  <c r="DQ177" i="36"/>
  <c r="DR177" i="36"/>
  <c r="DO57" i="36"/>
  <c r="DP57" i="36"/>
  <c r="DO157" i="36"/>
  <c r="DP157" i="36"/>
  <c r="DO156" i="36"/>
  <c r="DP156" i="36"/>
  <c r="DO287" i="36"/>
  <c r="DP287" i="36"/>
  <c r="DQ285" i="36"/>
  <c r="DR285" i="36"/>
  <c r="DQ126" i="36"/>
  <c r="DR126" i="36"/>
  <c r="DQ147" i="36"/>
  <c r="DR147" i="36"/>
  <c r="DO186" i="36"/>
  <c r="DP186" i="36"/>
  <c r="DO185" i="36"/>
  <c r="DP185" i="36"/>
  <c r="DO258" i="36"/>
  <c r="DP258" i="36"/>
  <c r="DQ254" i="36"/>
  <c r="DR254" i="36"/>
  <c r="DQ244" i="36"/>
  <c r="DR244" i="36"/>
  <c r="DQ238" i="36"/>
  <c r="DR238" i="36"/>
  <c r="DQ259" i="36"/>
  <c r="DR259" i="36"/>
  <c r="DQ249" i="36"/>
  <c r="DR249" i="36"/>
  <c r="DO178" i="36"/>
  <c r="DP178" i="36"/>
  <c r="DO182" i="36"/>
  <c r="DP182" i="36"/>
  <c r="DO177" i="36"/>
  <c r="DP177" i="36"/>
  <c r="DO241" i="36"/>
  <c r="DP241" i="36"/>
  <c r="DO239" i="36"/>
  <c r="DP239" i="36"/>
  <c r="DO240" i="36"/>
  <c r="DP240" i="36"/>
  <c r="DO230" i="36"/>
  <c r="DP230" i="36"/>
  <c r="DQ223" i="36"/>
  <c r="DR223" i="36"/>
  <c r="DQ23" i="36"/>
  <c r="DR23" i="36"/>
  <c r="DO34" i="36"/>
  <c r="DP34" i="36"/>
  <c r="DQ12" i="36"/>
  <c r="DR12" i="36"/>
  <c r="DQ21" i="36"/>
  <c r="DR21" i="36"/>
  <c r="DQ159" i="36"/>
  <c r="DR159" i="36"/>
  <c r="DQ87" i="36"/>
  <c r="DR87" i="36"/>
  <c r="DO223" i="36"/>
  <c r="DP223" i="36"/>
  <c r="DQ279" i="36"/>
  <c r="DR279" i="36"/>
  <c r="DQ98" i="36"/>
  <c r="DR98" i="36"/>
  <c r="DQ195" i="36"/>
  <c r="DR195" i="36"/>
  <c r="DO204" i="36"/>
  <c r="DP204" i="36"/>
  <c r="DQ266" i="36"/>
  <c r="DR266" i="36"/>
  <c r="DQ133" i="36"/>
  <c r="DR133" i="36"/>
  <c r="DQ190" i="36"/>
  <c r="DR190" i="36"/>
  <c r="DO265" i="36"/>
  <c r="DP265" i="36"/>
  <c r="DQ31" i="36"/>
  <c r="DR31" i="36"/>
  <c r="DO272" i="36"/>
  <c r="DP272" i="36"/>
  <c r="DQ117" i="36"/>
  <c r="DR117" i="36"/>
  <c r="DO251" i="36"/>
  <c r="DP251" i="36"/>
  <c r="DQ211" i="36"/>
  <c r="DR211" i="36"/>
  <c r="DO128" i="36"/>
  <c r="DP128" i="36"/>
  <c r="DO113" i="36"/>
  <c r="DP113" i="36"/>
  <c r="DO58" i="36"/>
  <c r="DP58" i="36"/>
  <c r="DQ134" i="36"/>
  <c r="DR134" i="36"/>
  <c r="DO79" i="36"/>
  <c r="DP79" i="36"/>
  <c r="DQ78" i="36"/>
  <c r="DR78" i="36"/>
  <c r="DO213" i="36"/>
  <c r="DP213" i="36"/>
  <c r="DQ58" i="36"/>
  <c r="DR58" i="36"/>
  <c r="DQ241" i="36"/>
  <c r="DR241" i="36"/>
  <c r="DO171" i="36"/>
  <c r="DP171" i="36"/>
  <c r="DO17" i="36"/>
  <c r="DP17" i="36"/>
  <c r="DO137" i="36"/>
  <c r="DP137" i="36"/>
  <c r="DQ56" i="36"/>
  <c r="DR56" i="36"/>
  <c r="DO235" i="36"/>
  <c r="DP235" i="36"/>
  <c r="DQ192" i="36"/>
  <c r="DR192" i="36"/>
  <c r="DQ42" i="36"/>
  <c r="DR42" i="36"/>
  <c r="DO35" i="36"/>
  <c r="DP35" i="36"/>
  <c r="DQ189" i="36"/>
  <c r="DR189" i="36"/>
  <c r="DQ59" i="36"/>
  <c r="DR59" i="36"/>
  <c r="DQ61" i="36"/>
  <c r="DR61" i="36"/>
  <c r="DQ135" i="36"/>
  <c r="DR135" i="36"/>
  <c r="DQ142" i="36"/>
  <c r="DR142" i="36"/>
  <c r="DO20" i="36"/>
  <c r="DP20" i="36"/>
  <c r="DO15" i="36"/>
  <c r="DP15" i="36"/>
  <c r="DO231" i="36"/>
  <c r="DP231" i="36"/>
  <c r="DQ227" i="36"/>
  <c r="DR227" i="36"/>
  <c r="DO277" i="36"/>
  <c r="DP277" i="36"/>
  <c r="DO275" i="36"/>
  <c r="DP275" i="36"/>
  <c r="DO130" i="36"/>
  <c r="DP130" i="36"/>
  <c r="DQ120" i="36"/>
  <c r="DR120" i="36"/>
  <c r="DO267" i="36"/>
  <c r="DP267" i="36"/>
  <c r="DO270" i="36"/>
  <c r="DP270" i="36"/>
  <c r="DQ35" i="36"/>
  <c r="DR35" i="36"/>
  <c r="DQ29" i="36"/>
  <c r="DR29" i="36"/>
  <c r="DQ14" i="36"/>
  <c r="DR14" i="36"/>
  <c r="DO68" i="36"/>
  <c r="DP68" i="36"/>
  <c r="DO66" i="36"/>
  <c r="DP66" i="36"/>
  <c r="DO65" i="36"/>
  <c r="DP65" i="36"/>
  <c r="DO136" i="36"/>
  <c r="DP136" i="36"/>
  <c r="DQ121" i="36"/>
  <c r="DR121" i="36"/>
  <c r="DO232" i="36"/>
  <c r="DP232" i="36"/>
  <c r="DO233" i="36"/>
  <c r="DP233" i="36"/>
  <c r="DO256" i="36"/>
  <c r="DP256" i="36"/>
  <c r="DO255" i="36"/>
  <c r="DP255" i="36"/>
  <c r="DQ71" i="36"/>
  <c r="DR71" i="36"/>
  <c r="DO78" i="36"/>
  <c r="DP78" i="36"/>
  <c r="DO142" i="36"/>
  <c r="DP142" i="36"/>
  <c r="DO143" i="36"/>
  <c r="DP143" i="36"/>
  <c r="DO203" i="36"/>
  <c r="DP203" i="36"/>
  <c r="DQ199" i="36"/>
  <c r="DR199" i="36"/>
  <c r="DQ33" i="36"/>
  <c r="DR33" i="36"/>
  <c r="DQ28" i="36"/>
  <c r="DR28" i="36"/>
  <c r="DO36" i="36"/>
  <c r="DP36" i="36"/>
  <c r="DO37" i="36"/>
  <c r="DP37" i="36"/>
  <c r="DO170" i="36"/>
  <c r="DP170" i="36"/>
  <c r="DQ157" i="36"/>
  <c r="DR157" i="36"/>
  <c r="DO62" i="36"/>
  <c r="DP62" i="36"/>
  <c r="DO216" i="36"/>
  <c r="DP216" i="36"/>
  <c r="DO215" i="36"/>
  <c r="DP215" i="36"/>
  <c r="DO211" i="36"/>
  <c r="DP211" i="36"/>
  <c r="DO88" i="36"/>
  <c r="DP88" i="36"/>
  <c r="DQ67" i="36"/>
  <c r="DR67" i="36"/>
  <c r="DQ136" i="36"/>
  <c r="DR136" i="36"/>
  <c r="DQ143" i="36"/>
  <c r="DR143" i="36"/>
  <c r="DQ108" i="36"/>
  <c r="DR108" i="36"/>
  <c r="DQ103" i="36"/>
  <c r="DR103" i="36"/>
  <c r="DQ88" i="36"/>
  <c r="DR88" i="36"/>
  <c r="DQ85" i="36"/>
  <c r="DR85" i="36"/>
  <c r="DQ81" i="36"/>
  <c r="DR81" i="36"/>
  <c r="DQ50" i="36"/>
  <c r="DR50" i="36"/>
  <c r="DQ94" i="36"/>
  <c r="DR94" i="36"/>
  <c r="DQ100" i="36"/>
  <c r="DR100" i="36"/>
  <c r="DO74" i="36"/>
  <c r="DP74" i="36"/>
  <c r="DO76" i="36"/>
  <c r="DP76" i="36"/>
  <c r="DO168" i="36"/>
  <c r="DP168" i="36"/>
  <c r="DO169" i="36"/>
  <c r="DP169" i="36"/>
  <c r="DO221" i="36"/>
  <c r="DP221" i="36"/>
  <c r="DQ245" i="36"/>
  <c r="DR245" i="36"/>
  <c r="DQ234" i="36"/>
  <c r="DR234" i="36"/>
  <c r="DO98" i="36"/>
  <c r="DP98" i="36"/>
  <c r="DO95" i="36"/>
  <c r="DP95" i="36"/>
  <c r="DO97" i="36"/>
  <c r="DP97" i="36"/>
  <c r="DQ10" i="36"/>
  <c r="DR10" i="36"/>
  <c r="DQ16" i="36"/>
  <c r="DR16" i="36"/>
  <c r="DQ63" i="36"/>
  <c r="DR63" i="36"/>
  <c r="DQ184" i="36"/>
  <c r="DR184" i="36"/>
  <c r="DQ274" i="36"/>
  <c r="DR274" i="36"/>
  <c r="DQ188" i="36"/>
  <c r="DR188" i="36"/>
  <c r="DQ222" i="36"/>
  <c r="DR222" i="36"/>
  <c r="DO117" i="36"/>
  <c r="DP117" i="36"/>
  <c r="DO224" i="36"/>
  <c r="DP224" i="36"/>
  <c r="DQ104" i="36"/>
  <c r="DR104" i="36"/>
  <c r="DQ180" i="36"/>
  <c r="DR180" i="36"/>
  <c r="DO199" i="36"/>
  <c r="DP199" i="36"/>
  <c r="DO54" i="36"/>
  <c r="DP54" i="36"/>
  <c r="DO209" i="36"/>
  <c r="DP209" i="36"/>
  <c r="DQ173" i="36"/>
  <c r="DR173" i="36"/>
  <c r="DQ89" i="36"/>
  <c r="DR89" i="36"/>
  <c r="DQ194" i="36"/>
  <c r="DR194" i="36"/>
  <c r="DQ48" i="36"/>
  <c r="DR48" i="36"/>
  <c r="DO196" i="36"/>
  <c r="DP196" i="36"/>
  <c r="DQ237" i="36"/>
  <c r="DR237" i="36"/>
  <c r="DQ150" i="36"/>
  <c r="DR150" i="36"/>
  <c r="DO41" i="36"/>
  <c r="DP41" i="36"/>
  <c r="DQ40" i="36"/>
  <c r="DR40" i="36"/>
  <c r="DQ82" i="36"/>
  <c r="DR82" i="36"/>
  <c r="DQ27" i="36"/>
  <c r="DR27" i="36"/>
  <c r="DO159" i="36"/>
  <c r="DP159" i="36"/>
  <c r="DO102" i="36"/>
  <c r="DP102" i="36"/>
  <c r="DO25" i="36"/>
  <c r="DP25" i="36"/>
  <c r="DO248" i="36"/>
  <c r="DP248" i="36"/>
  <c r="DO22" i="36"/>
  <c r="DP22" i="36"/>
  <c r="DO284" i="36"/>
  <c r="DP284" i="36"/>
  <c r="DO114" i="36"/>
  <c r="DP114" i="36"/>
  <c r="DO257" i="36"/>
  <c r="DP257" i="36"/>
  <c r="DO187" i="36"/>
  <c r="DP187" i="36"/>
  <c r="DQ137" i="36"/>
  <c r="DR137" i="36"/>
  <c r="DQ221" i="36"/>
  <c r="DR221" i="36"/>
  <c r="DQ276" i="36"/>
  <c r="DR276" i="36"/>
  <c r="DO83" i="36"/>
  <c r="DP83" i="36"/>
  <c r="DQ43" i="36"/>
  <c r="DR43" i="36"/>
  <c r="DO55" i="36"/>
  <c r="DP55" i="36"/>
  <c r="DQ213" i="36"/>
  <c r="DR213" i="36"/>
  <c r="DQ99" i="36"/>
  <c r="DR99" i="36"/>
  <c r="DO259" i="36"/>
  <c r="DP259" i="36"/>
  <c r="DQ268" i="36"/>
  <c r="DR268" i="36"/>
  <c r="DQ114" i="36"/>
  <c r="DR114" i="36"/>
  <c r="DO14" i="36"/>
  <c r="DP14" i="36"/>
  <c r="DO45" i="36"/>
  <c r="DP45" i="36"/>
  <c r="DO175" i="36"/>
  <c r="DP175" i="36"/>
  <c r="DQ69" i="36"/>
  <c r="DR69" i="36"/>
  <c r="DO222" i="36"/>
  <c r="DP222" i="36"/>
  <c r="DQ275" i="36"/>
  <c r="DR275" i="36"/>
  <c r="DQ116" i="36"/>
  <c r="DR116" i="36"/>
  <c r="DQ119" i="36"/>
  <c r="DR119" i="36"/>
  <c r="DO202" i="36"/>
  <c r="DP202" i="36"/>
  <c r="DQ186" i="36"/>
  <c r="DR186" i="36"/>
  <c r="DO205" i="36"/>
  <c r="DP205" i="36"/>
  <c r="DQ277" i="36"/>
  <c r="DR277" i="36"/>
  <c r="DQ128" i="36"/>
  <c r="DR128" i="36"/>
  <c r="DQ122" i="36"/>
  <c r="DR122" i="36"/>
  <c r="DO200" i="36"/>
  <c r="DP200" i="36"/>
  <c r="DO263" i="36"/>
  <c r="DP263" i="36"/>
  <c r="DO260" i="36"/>
  <c r="DP260" i="36"/>
  <c r="DO165" i="36"/>
  <c r="DP165" i="36"/>
  <c r="DQ149" i="36"/>
  <c r="DR149" i="36"/>
  <c r="DO164" i="36"/>
  <c r="DP164" i="36"/>
  <c r="DO108" i="36"/>
  <c r="DP108" i="36"/>
  <c r="DO106" i="36"/>
  <c r="DP106" i="36"/>
  <c r="DO50" i="36"/>
  <c r="DP50" i="36"/>
  <c r="DO51" i="36"/>
  <c r="DP51" i="36"/>
  <c r="DO85" i="36"/>
  <c r="DP85" i="36"/>
  <c r="DQ77" i="36"/>
  <c r="DR77" i="36"/>
  <c r="DQ66" i="36"/>
  <c r="DR66" i="36"/>
  <c r="DQ216" i="36"/>
  <c r="DR216" i="36"/>
  <c r="DQ225" i="36"/>
  <c r="DR225" i="36"/>
  <c r="DO120" i="36"/>
  <c r="DP120" i="36"/>
  <c r="DO125" i="36"/>
  <c r="DP125" i="36"/>
  <c r="DQ167" i="36"/>
  <c r="DR167" i="36"/>
  <c r="DQ158" i="36"/>
  <c r="DR158" i="36"/>
  <c r="DQ154" i="36"/>
  <c r="DR154" i="36"/>
  <c r="DQ172" i="36"/>
  <c r="DR172" i="36"/>
  <c r="DQ200" i="36"/>
  <c r="DR200" i="36"/>
  <c r="DQ203" i="36"/>
  <c r="DR203" i="36"/>
  <c r="DQ197" i="36"/>
  <c r="DR197" i="36"/>
  <c r="DQ110" i="36"/>
  <c r="DR110" i="36"/>
  <c r="DQ106" i="36"/>
  <c r="DR106" i="36"/>
  <c r="DQ263" i="36"/>
  <c r="DR263" i="36"/>
  <c r="DQ269" i="36"/>
  <c r="DR269" i="36"/>
  <c r="DO21" i="36"/>
  <c r="DP21" i="36"/>
  <c r="DQ15" i="36"/>
  <c r="DR15" i="36"/>
  <c r="DQ86" i="36"/>
  <c r="DR86" i="36"/>
  <c r="DO89" i="36"/>
  <c r="DP89" i="36"/>
  <c r="DO227" i="36"/>
  <c r="DP227" i="36"/>
  <c r="DO226" i="36"/>
  <c r="DP226" i="36"/>
  <c r="DO103" i="36"/>
  <c r="DP103" i="36"/>
  <c r="DO101" i="36"/>
  <c r="DP101" i="36"/>
  <c r="DO100" i="36"/>
  <c r="DP100" i="36"/>
  <c r="DO148" i="36"/>
  <c r="DP148" i="36"/>
  <c r="DO151" i="36"/>
  <c r="DP151" i="36"/>
  <c r="DO153" i="36"/>
  <c r="DP153" i="36"/>
  <c r="DQ11" i="36"/>
  <c r="DR11" i="36"/>
  <c r="DO13" i="36"/>
  <c r="DP13" i="36"/>
  <c r="DO10" i="36"/>
  <c r="DP10" i="36"/>
  <c r="DQ36" i="36"/>
  <c r="DR36" i="36"/>
  <c r="DQ102" i="36"/>
  <c r="DR102" i="36"/>
  <c r="DQ111" i="36"/>
  <c r="DR111" i="36"/>
  <c r="DQ239" i="36"/>
  <c r="DR239" i="36"/>
  <c r="DO247" i="36"/>
  <c r="DP247" i="36"/>
  <c r="DO280" i="36"/>
  <c r="DP280" i="36"/>
  <c r="DO281" i="36"/>
  <c r="DP281" i="36"/>
  <c r="DQ262" i="36"/>
  <c r="DR262" i="36"/>
  <c r="DQ243" i="36"/>
  <c r="DR243" i="36"/>
  <c r="DO190" i="36"/>
  <c r="DP190" i="36"/>
  <c r="DO191" i="36"/>
  <c r="DP191" i="36"/>
  <c r="DQ49" i="36"/>
  <c r="DR49" i="36"/>
  <c r="DQ38" i="36"/>
  <c r="DR38" i="36"/>
  <c r="DQ148" i="36"/>
  <c r="DR148" i="36"/>
  <c r="DO160" i="36"/>
  <c r="DP160" i="36"/>
  <c r="DQ265" i="36"/>
  <c r="DR265" i="36"/>
  <c r="DQ280" i="36"/>
  <c r="DR280" i="36"/>
  <c r="DQ141" i="36"/>
  <c r="DR141" i="36"/>
  <c r="DQ176" i="36"/>
  <c r="DR176" i="36"/>
  <c r="DO184" i="36"/>
  <c r="DP184" i="36"/>
  <c r="DO188" i="36"/>
  <c r="DP188" i="36"/>
  <c r="DQ251" i="36"/>
  <c r="DR251" i="36"/>
  <c r="DQ236" i="36"/>
  <c r="DR236" i="36"/>
  <c r="DQ242" i="36"/>
  <c r="DR242" i="36"/>
  <c r="DQ253" i="36"/>
  <c r="DR253" i="36"/>
  <c r="DQ258" i="36"/>
  <c r="DR258" i="36"/>
  <c r="DQ256" i="36"/>
  <c r="DR256" i="36"/>
  <c r="DO180" i="36"/>
  <c r="DP180" i="36"/>
  <c r="DO179" i="36"/>
  <c r="DP179" i="36"/>
  <c r="DO242" i="36"/>
  <c r="DP242" i="36"/>
  <c r="DO243" i="36"/>
  <c r="DP243" i="36"/>
  <c r="DQ214" i="36"/>
  <c r="DR214" i="36"/>
  <c r="DQ219" i="36"/>
  <c r="DR219" i="36"/>
  <c r="DO33" i="36"/>
  <c r="DP33" i="36"/>
  <c r="DQ18" i="36"/>
  <c r="DR18" i="36"/>
  <c r="DQ75" i="36"/>
  <c r="DR75" i="36"/>
  <c r="DQ206" i="36"/>
  <c r="DR206" i="36"/>
  <c r="DQ118" i="36"/>
  <c r="DR118" i="36"/>
  <c r="DQ198" i="36"/>
  <c r="DR198" i="36"/>
  <c r="DO210" i="36"/>
  <c r="DP210" i="36"/>
  <c r="DQ281" i="36"/>
  <c r="DR281" i="36"/>
  <c r="DO139" i="36"/>
  <c r="DP139" i="36"/>
  <c r="DQ185" i="36"/>
  <c r="DR185" i="36"/>
  <c r="DO266" i="36"/>
  <c r="DP266" i="36"/>
  <c r="DQ123" i="36"/>
  <c r="DR123" i="36"/>
  <c r="DO28" i="36"/>
  <c r="DP28" i="36"/>
  <c r="DO69" i="36"/>
  <c r="DP69" i="36"/>
  <c r="DQ76" i="36"/>
  <c r="DR76" i="36"/>
  <c r="DQ224" i="36"/>
  <c r="DR224" i="36"/>
  <c r="DQ34" i="36"/>
  <c r="DR34" i="36"/>
  <c r="DO268" i="36"/>
  <c r="DP268" i="36"/>
  <c r="DO217" i="36"/>
  <c r="DP217" i="36"/>
  <c r="DQ156" i="36"/>
  <c r="DR156" i="36"/>
  <c r="DO127" i="36"/>
  <c r="DP127" i="36"/>
  <c r="DO111" i="36"/>
  <c r="DP111" i="36"/>
  <c r="DO60" i="36"/>
  <c r="DP60" i="36"/>
  <c r="DQ267" i="36"/>
  <c r="DR267" i="36"/>
  <c r="DQ115" i="36"/>
  <c r="DR115" i="36"/>
  <c r="DO147" i="36"/>
  <c r="DP147" i="36"/>
  <c r="DQ73" i="36"/>
  <c r="DR73" i="36"/>
  <c r="DO61" i="36"/>
  <c r="DP61" i="36"/>
  <c r="DO172" i="36"/>
  <c r="DP172" i="36"/>
  <c r="DO40" i="36"/>
  <c r="DP40" i="36"/>
  <c r="DO18" i="36"/>
  <c r="DP18" i="36"/>
  <c r="DO135" i="36"/>
  <c r="DP135" i="36"/>
  <c r="DQ47" i="36"/>
  <c r="DR47" i="36"/>
  <c r="DO238" i="36"/>
  <c r="DP238" i="36"/>
  <c r="DO145" i="36"/>
  <c r="DP145" i="36"/>
  <c r="DQ181" i="36"/>
  <c r="DR181" i="36"/>
  <c r="DQ57" i="36"/>
  <c r="DR57" i="36"/>
  <c r="DO194" i="36"/>
  <c r="DP194" i="36"/>
  <c r="DQ178" i="36"/>
  <c r="DR178" i="36"/>
  <c r="DO63" i="36"/>
  <c r="DP63" i="36"/>
  <c r="DQ41" i="36"/>
  <c r="DR41" i="36"/>
  <c r="DO146" i="36"/>
  <c r="DP146" i="36"/>
  <c r="DQ139" i="36"/>
  <c r="DR139" i="36"/>
  <c r="DO19" i="36"/>
  <c r="DP19" i="36"/>
  <c r="DQ209" i="36"/>
  <c r="DR209" i="36"/>
  <c r="DQ220" i="36"/>
  <c r="DR220" i="36"/>
  <c r="DQ215" i="36"/>
  <c r="DR215" i="36"/>
  <c r="DO276" i="36"/>
  <c r="DP276" i="36"/>
  <c r="DO274" i="36"/>
  <c r="DP274" i="36"/>
  <c r="DO132" i="36"/>
  <c r="DP132" i="36"/>
  <c r="DO269" i="36"/>
  <c r="DP269" i="36"/>
  <c r="DO271" i="36"/>
  <c r="DP271" i="36"/>
  <c r="DQ25" i="36"/>
  <c r="DR25" i="36"/>
  <c r="DQ32" i="36"/>
  <c r="DR32" i="36"/>
  <c r="DO70" i="36"/>
  <c r="DP70" i="36"/>
  <c r="DO64" i="36"/>
  <c r="DP64" i="36"/>
  <c r="DO67" i="36"/>
  <c r="DP67" i="36"/>
  <c r="DO133" i="36"/>
  <c r="DP133" i="36"/>
  <c r="DO234" i="36"/>
  <c r="DP234" i="36"/>
  <c r="DO237" i="36"/>
  <c r="DP237" i="36"/>
  <c r="DQ250" i="36"/>
  <c r="DR250" i="36"/>
  <c r="DO254" i="36"/>
  <c r="DP254" i="36"/>
  <c r="DQ235" i="36"/>
  <c r="DR235" i="36"/>
  <c r="DQ65" i="36"/>
  <c r="DR65" i="36"/>
  <c r="DO81" i="36"/>
  <c r="DP81" i="36"/>
  <c r="DQ138" i="36"/>
  <c r="DR138" i="36"/>
  <c r="DQ129" i="36"/>
  <c r="DR129" i="36"/>
  <c r="DQ201" i="36"/>
  <c r="DR201" i="36"/>
  <c r="DQ13" i="36"/>
  <c r="DR13" i="36"/>
  <c r="DQ19" i="36"/>
  <c r="DR19" i="36"/>
  <c r="DO38" i="36"/>
  <c r="DP38" i="36"/>
  <c r="DO42" i="36"/>
  <c r="DP42" i="36"/>
  <c r="DQ151" i="36"/>
  <c r="DR151" i="36"/>
  <c r="DQ55" i="36"/>
  <c r="DR55" i="36"/>
  <c r="DQ46" i="36"/>
  <c r="DR46" i="36"/>
  <c r="DO212" i="36"/>
  <c r="DP212" i="36"/>
  <c r="DQ204" i="36"/>
  <c r="DR204" i="36"/>
  <c r="DO86" i="36"/>
  <c r="DP86" i="36"/>
  <c r="DQ131" i="36"/>
  <c r="DR131" i="36"/>
  <c r="DQ145" i="36"/>
  <c r="DR145" i="36"/>
  <c r="DQ140" i="36"/>
  <c r="DR140" i="36"/>
  <c r="DQ97" i="36"/>
  <c r="DR97" i="36"/>
  <c r="DQ112" i="36"/>
  <c r="DR112" i="36"/>
  <c r="DQ70" i="36"/>
  <c r="DR70" i="36"/>
  <c r="DQ90" i="36"/>
  <c r="DR90" i="36"/>
  <c r="DQ91" i="36"/>
  <c r="DR91" i="36"/>
  <c r="DQ39" i="36"/>
  <c r="DR39" i="36"/>
  <c r="DO59" i="36"/>
  <c r="DP59" i="36"/>
  <c r="DO110" i="36"/>
  <c r="DP110" i="36"/>
  <c r="DO72" i="36"/>
  <c r="DP72" i="36"/>
  <c r="DQ64" i="36"/>
  <c r="DR64" i="36"/>
  <c r="DO167" i="36"/>
  <c r="DP167" i="36"/>
  <c r="DQ161" i="36"/>
  <c r="DR161" i="36"/>
  <c r="DO220" i="36"/>
  <c r="DP220" i="36"/>
  <c r="DQ205" i="36"/>
  <c r="DR205" i="36"/>
  <c r="DO253" i="36"/>
  <c r="DP253" i="36"/>
  <c r="DO250" i="36"/>
  <c r="DP250" i="36"/>
  <c r="DO92" i="36"/>
  <c r="DP92" i="36"/>
  <c r="DO94" i="36"/>
  <c r="DP94" i="36"/>
  <c r="DO93" i="36"/>
  <c r="DP93" i="36"/>
  <c r="DO27" i="36"/>
  <c r="DP27" i="36"/>
  <c r="DQ53" i="36"/>
  <c r="DR53" i="36"/>
  <c r="DO195" i="36"/>
  <c r="DP195" i="36"/>
  <c r="DO115" i="36"/>
  <c r="DP115" i="36"/>
  <c r="DQ271" i="36"/>
  <c r="DR271" i="36"/>
  <c r="DO192" i="36"/>
  <c r="DP192" i="36"/>
  <c r="DQ164" i="36"/>
  <c r="DR164" i="36"/>
  <c r="DQ270" i="36"/>
  <c r="DR270" i="36"/>
  <c r="DO141" i="36"/>
  <c r="DP141" i="36"/>
  <c r="DO52" i="36"/>
  <c r="DP52" i="36"/>
  <c r="DO12" i="36"/>
  <c r="DP12" i="36"/>
  <c r="DQ212" i="36"/>
  <c r="DR212" i="36"/>
  <c r="DQ264" i="36"/>
  <c r="DR264" i="36"/>
  <c r="DQ284" i="36"/>
  <c r="DR284" i="36"/>
  <c r="DQ45" i="36"/>
  <c r="DR45" i="36"/>
  <c r="DO134" i="36"/>
  <c r="DP134" i="36"/>
  <c r="DQ187" i="36"/>
  <c r="DR187" i="36"/>
  <c r="DQ144" i="36"/>
  <c r="DR144" i="36"/>
  <c r="DO252" i="36"/>
  <c r="DP252" i="36"/>
  <c r="DO278" i="36"/>
  <c r="DP278" i="36"/>
  <c r="DO218" i="36"/>
  <c r="DP218" i="36"/>
  <c r="DQ62" i="36"/>
  <c r="DR62" i="36"/>
  <c r="DQ105" i="36"/>
  <c r="DR105" i="36"/>
  <c r="DO8" i="36"/>
  <c r="K3" i="36"/>
  <c r="I6" i="36"/>
  <c r="V11" i="32"/>
  <c r="F11" i="32" s="1"/>
  <c r="AD6" i="32"/>
  <c r="N6" i="32" s="1"/>
  <c r="AC8" i="32"/>
  <c r="M8" i="32" s="1"/>
  <c r="AC10" i="32"/>
  <c r="M10" i="32" s="1"/>
  <c r="AE4" i="32"/>
  <c r="O4" i="32" s="1"/>
  <c r="AE8" i="32"/>
  <c r="O8" i="32" s="1"/>
  <c r="AA11" i="32"/>
  <c r="K11" i="32" s="1"/>
  <c r="AG3" i="36"/>
  <c r="AE6" i="36"/>
  <c r="AH6" i="32"/>
  <c r="R6" i="32" s="1"/>
  <c r="AD9" i="32"/>
  <c r="N9" i="32" s="1"/>
  <c r="AB6" i="32"/>
  <c r="L6" i="32" s="1"/>
  <c r="AC11" i="32"/>
  <c r="M11" i="32" s="1"/>
  <c r="AE3" i="36"/>
  <c r="AF9" i="32"/>
  <c r="P9" i="32" s="1"/>
  <c r="AD10" i="32"/>
  <c r="N10" i="32" s="1"/>
  <c r="AI6" i="36"/>
  <c r="AY16" i="36"/>
  <c r="U16" i="36" s="1"/>
  <c r="M3" i="36"/>
  <c r="AE7" i="32"/>
  <c r="O7" i="32" s="1"/>
  <c r="AC6" i="32"/>
  <c r="M6" i="32" s="1"/>
  <c r="AC4" i="32"/>
  <c r="M4" i="32" s="1"/>
  <c r="AA4" i="32"/>
  <c r="K4" i="32" s="1"/>
  <c r="AE6" i="32"/>
  <c r="O6" i="32" s="1"/>
  <c r="AD11" i="32"/>
  <c r="N11" i="32" s="1"/>
  <c r="AF7" i="32"/>
  <c r="P7" i="32" s="1"/>
  <c r="AI3" i="36"/>
  <c r="AA7" i="32"/>
  <c r="K7" i="32" s="1"/>
  <c r="V9" i="32"/>
  <c r="F9" i="32" s="1"/>
  <c r="AD4" i="32"/>
  <c r="N4" i="32" s="1"/>
  <c r="AG10" i="32"/>
  <c r="Q10" i="32" s="1"/>
  <c r="AB4" i="32"/>
  <c r="L4" i="32" s="1"/>
  <c r="V10" i="32"/>
  <c r="F10" i="32" s="1"/>
  <c r="AY9" i="36"/>
  <c r="U9" i="36" s="1"/>
  <c r="W9" i="32"/>
  <c r="G9" i="32" s="1"/>
  <c r="AB9" i="32"/>
  <c r="L9" i="32" s="1"/>
  <c r="AG6" i="32"/>
  <c r="Q6" i="32" s="1"/>
  <c r="AH5" i="32"/>
  <c r="R5" i="32" s="1"/>
  <c r="V4" i="32"/>
  <c r="F4" i="32" s="1"/>
  <c r="AA8" i="32"/>
  <c r="K8" i="32" s="1"/>
  <c r="AH10" i="32"/>
  <c r="R10" i="32" s="1"/>
  <c r="V7" i="32"/>
  <c r="F7" i="32" s="1"/>
  <c r="V6" i="32"/>
  <c r="F6" i="32" s="1"/>
  <c r="V5" i="32"/>
  <c r="F5" i="32" s="1"/>
  <c r="AB5" i="32"/>
  <c r="L5" i="32" s="1"/>
  <c r="D3" i="36"/>
  <c r="AF11" i="32"/>
  <c r="P11" i="32" s="1"/>
  <c r="D4" i="36"/>
  <c r="V8" i="32"/>
  <c r="F8" i="32" s="1"/>
  <c r="AK3" i="36"/>
  <c r="AG6" i="36"/>
  <c r="AK6" i="36"/>
  <c r="AD8" i="32"/>
  <c r="N8" i="32" s="1"/>
  <c r="AG7" i="32"/>
  <c r="Q7" i="32" s="1"/>
  <c r="AB8" i="32"/>
  <c r="L8" i="32" s="1"/>
  <c r="AC9" i="32"/>
  <c r="M9" i="32" s="1"/>
  <c r="AE5" i="32"/>
  <c r="O5" i="32" s="1"/>
  <c r="AH11" i="32"/>
  <c r="R11" i="32" s="1"/>
  <c r="AA6" i="32"/>
  <c r="K6" i="32" s="1"/>
  <c r="AH4" i="32"/>
  <c r="R4" i="32" s="1"/>
  <c r="AF5" i="32"/>
  <c r="P5" i="32" s="1"/>
  <c r="AG4" i="32"/>
  <c r="Q4" i="32" s="1"/>
  <c r="AG9" i="32"/>
  <c r="Q9" i="32" s="1"/>
  <c r="AD5" i="32"/>
  <c r="N5" i="32" s="1"/>
  <c r="Y10" i="32"/>
  <c r="I10" i="32" s="1"/>
  <c r="AC7" i="32"/>
  <c r="M7" i="32" s="1"/>
  <c r="AG11" i="32"/>
  <c r="Q11" i="32" s="1"/>
  <c r="AF4" i="32"/>
  <c r="P4" i="32" s="1"/>
  <c r="AD7" i="32"/>
  <c r="N7" i="32" s="1"/>
  <c r="AH8" i="32"/>
  <c r="R8" i="32" s="1"/>
  <c r="AA9" i="32"/>
  <c r="K9" i="32" s="1"/>
  <c r="AA10" i="32"/>
  <c r="K10" i="32" s="1"/>
  <c r="AB7" i="32"/>
  <c r="L7" i="32" s="1"/>
  <c r="AB10" i="32"/>
  <c r="L10" i="32" s="1"/>
  <c r="AG5" i="32"/>
  <c r="Q5" i="32" s="1"/>
  <c r="AH7" i="32"/>
  <c r="R7" i="32" s="1"/>
  <c r="AF6" i="32"/>
  <c r="P6" i="32" s="1"/>
  <c r="AF8" i="32"/>
  <c r="P8" i="32" s="1"/>
  <c r="AC5" i="32"/>
  <c r="M5" i="32" s="1"/>
  <c r="AA5" i="32"/>
  <c r="K5" i="32" s="1"/>
  <c r="AB11" i="32"/>
  <c r="L11" i="32" s="1"/>
  <c r="AG8" i="32"/>
  <c r="Q8" i="32" s="1"/>
  <c r="AF10" i="32"/>
  <c r="P10" i="32" s="1"/>
  <c r="AH9" i="32"/>
  <c r="R9" i="32" s="1"/>
  <c r="AE9" i="32"/>
  <c r="O9" i="32" s="1"/>
  <c r="AE11" i="32"/>
  <c r="O11" i="32" s="1"/>
  <c r="AE10" i="32"/>
  <c r="O10" i="32" s="1"/>
  <c r="K6" i="36"/>
  <c r="W7" i="32"/>
  <c r="G7" i="32" s="1"/>
  <c r="AK82" i="32" s="1"/>
  <c r="AP82" i="32" s="1"/>
  <c r="W10" i="32"/>
  <c r="G10" i="32" s="1"/>
  <c r="W8" i="32"/>
  <c r="G8" i="32" s="1"/>
  <c r="W11" i="32"/>
  <c r="G11" i="32" s="1"/>
  <c r="W4" i="32"/>
  <c r="G4" i="32" s="1"/>
  <c r="W6" i="32"/>
  <c r="G6" i="32" s="1"/>
  <c r="W5" i="32"/>
  <c r="G5" i="32" s="1"/>
  <c r="U11" i="32"/>
  <c r="E11" i="32" s="1"/>
  <c r="U4" i="32"/>
  <c r="E4" i="32" s="1"/>
  <c r="U5" i="32"/>
  <c r="E5" i="32" s="1"/>
  <c r="U6" i="32"/>
  <c r="E6" i="32" s="1"/>
  <c r="U9" i="32"/>
  <c r="E9" i="32" s="1"/>
  <c r="U8" i="32"/>
  <c r="E8" i="32" s="1"/>
  <c r="U7" i="32"/>
  <c r="E7" i="32" s="1"/>
  <c r="U10" i="32"/>
  <c r="E10" i="32" s="1"/>
  <c r="T11" i="32"/>
  <c r="D11" i="32" s="1"/>
  <c r="T6" i="32"/>
  <c r="D6" i="32" s="1"/>
  <c r="T7" i="32"/>
  <c r="D7" i="32" s="1"/>
  <c r="T10" i="32"/>
  <c r="D10" i="32" s="1"/>
  <c r="T4" i="32"/>
  <c r="D4" i="32" s="1"/>
  <c r="T8" i="32"/>
  <c r="D8" i="32" s="1"/>
  <c r="T9" i="32"/>
  <c r="D9" i="32" s="1"/>
  <c r="T5" i="32"/>
  <c r="D5" i="32" s="1"/>
  <c r="Y11" i="32"/>
  <c r="I11" i="32" s="1"/>
  <c r="Y5" i="32"/>
  <c r="I5" i="32" s="1"/>
  <c r="Y7" i="32"/>
  <c r="I7" i="32" s="1"/>
  <c r="Y6" i="32"/>
  <c r="I6" i="32" s="1"/>
  <c r="Y4" i="32"/>
  <c r="I4" i="32" s="1"/>
  <c r="Y9" i="32"/>
  <c r="I9" i="32" s="1"/>
  <c r="Y8" i="32"/>
  <c r="I8" i="32" s="1"/>
  <c r="X9" i="32"/>
  <c r="H9" i="32" s="1"/>
  <c r="X7" i="32"/>
  <c r="H7" i="32" s="1"/>
  <c r="X4" i="32"/>
  <c r="H4" i="32" s="1"/>
  <c r="X8" i="32"/>
  <c r="H8" i="32" s="1"/>
  <c r="X10" i="32"/>
  <c r="H10" i="32" s="1"/>
  <c r="X5" i="32"/>
  <c r="H5" i="32" s="1"/>
  <c r="X11" i="32"/>
  <c r="H11" i="32" s="1"/>
  <c r="X6" i="32"/>
  <c r="H6" i="32" s="1"/>
  <c r="Z4" i="32"/>
  <c r="J4" i="32" s="1"/>
  <c r="Z11" i="32"/>
  <c r="J11" i="32" s="1"/>
  <c r="Z6" i="32"/>
  <c r="J6" i="32" s="1"/>
  <c r="Z10" i="32"/>
  <c r="J10" i="32" s="1"/>
  <c r="Z8" i="32"/>
  <c r="J8" i="32" s="1"/>
  <c r="Z5" i="32"/>
  <c r="J5" i="32" s="1"/>
  <c r="Z7" i="32"/>
  <c r="J7" i="32" s="1"/>
  <c r="Z9" i="32"/>
  <c r="J9" i="32" s="1"/>
  <c r="S9" i="32" l="1"/>
  <c r="C9" i="32" s="1"/>
  <c r="S6" i="32"/>
  <c r="C6" i="32" s="1"/>
  <c r="AK56" i="32" s="1"/>
  <c r="S8" i="32"/>
  <c r="C8" i="32" s="1"/>
  <c r="S4" i="32"/>
  <c r="C4" i="32" s="1"/>
  <c r="AK54" i="32" s="1"/>
  <c r="AP54" i="32" s="1"/>
  <c r="S5" i="32"/>
  <c r="C5" i="32" s="1"/>
  <c r="AK73" i="32" s="1"/>
  <c r="AO73" i="32" s="1"/>
  <c r="S11" i="32"/>
  <c r="C11" i="32" s="1"/>
  <c r="S7" i="32"/>
  <c r="C7" i="32" s="1"/>
  <c r="S10" i="32"/>
  <c r="C10" i="32" s="1"/>
  <c r="D5" i="36"/>
  <c r="D6" i="36" s="1"/>
  <c r="AK85" i="32"/>
  <c r="AP85" i="32" s="1"/>
  <c r="AK71" i="32"/>
  <c r="AO71" i="32" s="1"/>
  <c r="AO82" i="32"/>
  <c r="AQ82" i="32" s="1"/>
  <c r="AK72" i="32"/>
  <c r="AO72" i="32" s="1"/>
  <c r="AK81" i="32"/>
  <c r="AP81" i="32" s="1"/>
  <c r="AK74" i="32"/>
  <c r="AO74" i="32" s="1"/>
  <c r="AK84" i="32"/>
  <c r="AO84" i="32" s="1"/>
  <c r="AK75" i="32"/>
  <c r="AO75" i="32" s="1"/>
  <c r="AK83" i="32"/>
  <c r="AP83" i="32" s="1"/>
  <c r="AK76" i="32"/>
  <c r="AO76" i="32" s="1"/>
  <c r="AK79" i="32"/>
  <c r="AP79" i="32" s="1"/>
  <c r="AK80" i="32"/>
  <c r="AO80" i="32" s="1"/>
  <c r="AK78" i="32"/>
  <c r="AP78" i="32" s="1"/>
  <c r="AK70" i="32"/>
  <c r="AP70" i="32" s="1"/>
  <c r="AK77" i="32"/>
  <c r="AP77" i="32" s="1"/>
  <c r="AK69" i="32"/>
  <c r="AP69" i="32" s="1"/>
  <c r="AK63" i="32"/>
  <c r="AP63" i="32" s="1"/>
  <c r="AK65" i="32"/>
  <c r="AO65" i="32" s="1"/>
  <c r="AK67" i="32"/>
  <c r="AO67" i="32" s="1"/>
  <c r="AK62" i="32"/>
  <c r="AP62" i="32" s="1"/>
  <c r="AK64" i="32"/>
  <c r="AP64" i="32" s="1"/>
  <c r="AK68" i="32"/>
  <c r="AO68" i="32" s="1"/>
  <c r="AK61" i="32"/>
  <c r="AP61" i="32" s="1"/>
  <c r="AK66" i="32"/>
  <c r="AP66" i="32" s="1"/>
  <c r="AK60" i="32" l="1"/>
  <c r="AO60" i="32" s="1"/>
  <c r="AK59" i="32"/>
  <c r="AO59" i="32" s="1"/>
  <c r="AK57" i="32"/>
  <c r="AO57" i="32" s="1"/>
  <c r="AK58" i="32"/>
  <c r="AP58" i="32" s="1"/>
  <c r="AP56" i="32"/>
  <c r="AO56" i="32"/>
  <c r="AK55" i="32"/>
  <c r="AO85" i="32"/>
  <c r="AO54" i="32"/>
  <c r="AQ54" i="32" s="1"/>
  <c r="AP71" i="32"/>
  <c r="AP73" i="32"/>
  <c r="AQ73" i="32" s="1"/>
  <c r="AO61" i="32"/>
  <c r="AQ61" i="32" s="1"/>
  <c r="AP72" i="32"/>
  <c r="AQ72" i="32" s="1"/>
  <c r="AO81" i="32"/>
  <c r="AQ81" i="32" s="1"/>
  <c r="AO83" i="32"/>
  <c r="AQ83" i="32" s="1"/>
  <c r="AO78" i="32"/>
  <c r="AQ78" i="32" s="1"/>
  <c r="AP84" i="32"/>
  <c r="AQ84" i="32" s="1"/>
  <c r="AP76" i="32"/>
  <c r="AQ76" i="32" s="1"/>
  <c r="AP74" i="32"/>
  <c r="AQ74" i="32" s="1"/>
  <c r="AO70" i="32"/>
  <c r="AQ70" i="32" s="1"/>
  <c r="AO77" i="32"/>
  <c r="AQ77" i="32" s="1"/>
  <c r="AO79" i="32"/>
  <c r="AQ79" i="32" s="1"/>
  <c r="AQ85" i="32"/>
  <c r="AP80" i="32"/>
  <c r="AQ80" i="32" s="1"/>
  <c r="AP75" i="32"/>
  <c r="AQ75" i="32" s="1"/>
  <c r="AQ71" i="32"/>
  <c r="AO63" i="32"/>
  <c r="AQ63" i="32" s="1"/>
  <c r="AO69" i="32"/>
  <c r="AQ69" i="32" s="1"/>
  <c r="AO62" i="32"/>
  <c r="AQ62" i="32" s="1"/>
  <c r="AP65" i="32"/>
  <c r="AQ65" i="32" s="1"/>
  <c r="AP68" i="32"/>
  <c r="AQ68" i="32" s="1"/>
  <c r="AP67" i="32"/>
  <c r="AQ67" i="32" s="1"/>
  <c r="AO64" i="32"/>
  <c r="AQ64" i="32" s="1"/>
  <c r="AO66" i="32"/>
  <c r="AQ66" i="32" s="1"/>
  <c r="AP59" i="32" l="1"/>
  <c r="AQ59" i="32" s="1"/>
  <c r="AP60" i="32"/>
  <c r="AQ60" i="32" s="1"/>
  <c r="AQ56" i="32"/>
  <c r="AO58" i="32"/>
  <c r="AQ58" i="32" s="1"/>
  <c r="AP57" i="32"/>
  <c r="AQ57" i="32" s="1"/>
  <c r="AP55" i="32"/>
  <c r="AO55" i="32"/>
  <c r="AR54" i="32"/>
  <c r="AS54" i="32"/>
  <c r="AT54" i="32"/>
  <c r="AQ55" i="32" l="1"/>
  <c r="AT59" i="32" s="1"/>
  <c r="AR147" i="32" l="1"/>
  <c r="AR123" i="32"/>
  <c r="AS75" i="32"/>
  <c r="AR125" i="32"/>
  <c r="AS103" i="32"/>
  <c r="AR80" i="32"/>
  <c r="AS72" i="32"/>
  <c r="AS125" i="32"/>
  <c r="AS80" i="32"/>
  <c r="AS79" i="32"/>
  <c r="AT63" i="32"/>
  <c r="AT140" i="32"/>
  <c r="AS66" i="32"/>
  <c r="AS134" i="32"/>
  <c r="AS151" i="32"/>
  <c r="AR100" i="32"/>
  <c r="AR90" i="32"/>
  <c r="AR83" i="32"/>
  <c r="AR113" i="32"/>
  <c r="AS142" i="32"/>
  <c r="AS114" i="32"/>
  <c r="AT90" i="32"/>
  <c r="AS150" i="32"/>
  <c r="AT112" i="32"/>
  <c r="AT150" i="32"/>
  <c r="AR68" i="32"/>
  <c r="AT71" i="32"/>
  <c r="AS91" i="32"/>
  <c r="AR103" i="32"/>
  <c r="AS101" i="32"/>
  <c r="AR141" i="32"/>
  <c r="AT131" i="32"/>
  <c r="AR64" i="32"/>
  <c r="AT91" i="32"/>
  <c r="AT127" i="32"/>
  <c r="AS129" i="32"/>
  <c r="AT72" i="32"/>
  <c r="AR74" i="32"/>
  <c r="AR65" i="32"/>
  <c r="AT78" i="32"/>
  <c r="AT134" i="32"/>
  <c r="AS136" i="32"/>
  <c r="AT93" i="32"/>
  <c r="AR143" i="32"/>
  <c r="AR121" i="32"/>
  <c r="AR85" i="32"/>
  <c r="AR69" i="32"/>
  <c r="AT64" i="32"/>
  <c r="AT89" i="32"/>
  <c r="AR73" i="32"/>
  <c r="AT77" i="32"/>
  <c r="AT114" i="32"/>
  <c r="AR139" i="32"/>
  <c r="AT113" i="32"/>
  <c r="AR120" i="32"/>
  <c r="AR95" i="32"/>
  <c r="AR61" i="32"/>
  <c r="AR105" i="32"/>
  <c r="AT73" i="32"/>
  <c r="AS81" i="32"/>
  <c r="AS148" i="32"/>
  <c r="AS99" i="32"/>
  <c r="AT85" i="32"/>
  <c r="AR60" i="32"/>
  <c r="AS84" i="32"/>
  <c r="AR66" i="32"/>
  <c r="AS145" i="32"/>
  <c r="AR137" i="32"/>
  <c r="AT123" i="32"/>
  <c r="AS135" i="32"/>
  <c r="AT153" i="32"/>
  <c r="AT130" i="32"/>
  <c r="AS97" i="32"/>
  <c r="AT80" i="32"/>
  <c r="AS153" i="32"/>
  <c r="AR111" i="32"/>
  <c r="AT97" i="32"/>
  <c r="AR142" i="32"/>
  <c r="AR75" i="32"/>
  <c r="AT81" i="32"/>
  <c r="AS73" i="32"/>
  <c r="AR149" i="32"/>
  <c r="AT115" i="32"/>
  <c r="AT117" i="32"/>
  <c r="AR98" i="32"/>
  <c r="AR93" i="32"/>
  <c r="AT101" i="32"/>
  <c r="AR134" i="32"/>
  <c r="AT141" i="32"/>
  <c r="AT107" i="32"/>
  <c r="AS94" i="32"/>
  <c r="AS112" i="32"/>
  <c r="AS106" i="32"/>
  <c r="AS144" i="32"/>
  <c r="AR136" i="32"/>
  <c r="AT82" i="32"/>
  <c r="AS140" i="32"/>
  <c r="AT67" i="32"/>
  <c r="AR81" i="32"/>
  <c r="AS68" i="32"/>
  <c r="AT142" i="32"/>
  <c r="AS85" i="32"/>
  <c r="AR114" i="32"/>
  <c r="AT86" i="32"/>
  <c r="AT69" i="32"/>
  <c r="AT129" i="32"/>
  <c r="AS137" i="32"/>
  <c r="AR150" i="32"/>
  <c r="AS127" i="32"/>
  <c r="AS88" i="32"/>
  <c r="AT136" i="32"/>
  <c r="AT92" i="32"/>
  <c r="AT65" i="32"/>
  <c r="AS110" i="32"/>
  <c r="AR67" i="32"/>
  <c r="AT109" i="32"/>
  <c r="AS126" i="32"/>
  <c r="AR140" i="32"/>
  <c r="AS152" i="32"/>
  <c r="AS113" i="32"/>
  <c r="AS109" i="32"/>
  <c r="AR127" i="32"/>
  <c r="AR77" i="32"/>
  <c r="AS87" i="32"/>
  <c r="AR115" i="32"/>
  <c r="AR108" i="32"/>
  <c r="AS62" i="32"/>
  <c r="AT138" i="32"/>
  <c r="AT149" i="32"/>
  <c r="AS119" i="32"/>
  <c r="AR62" i="32"/>
  <c r="AR117" i="32"/>
  <c r="AR128" i="32"/>
  <c r="AS118" i="32"/>
  <c r="AT75" i="32"/>
  <c r="AT128" i="32"/>
  <c r="AR88" i="32"/>
  <c r="AT83" i="32"/>
  <c r="AS122" i="32"/>
  <c r="AS146" i="32"/>
  <c r="AT137" i="32"/>
  <c r="AR152" i="32"/>
  <c r="AS83" i="32"/>
  <c r="AR122" i="32"/>
  <c r="AT147" i="32"/>
  <c r="AT135" i="32"/>
  <c r="AS139" i="32"/>
  <c r="AR86" i="32"/>
  <c r="AT144" i="32"/>
  <c r="AS89" i="32"/>
  <c r="AT66" i="32"/>
  <c r="AS77" i="32"/>
  <c r="AR144" i="32"/>
  <c r="AS71" i="32"/>
  <c r="AS78" i="32"/>
  <c r="AT133" i="32"/>
  <c r="AS100" i="32"/>
  <c r="AT103" i="32"/>
  <c r="AT110" i="32"/>
  <c r="AR107" i="32"/>
  <c r="AR96" i="32"/>
  <c r="AT148" i="32"/>
  <c r="AT99" i="32"/>
  <c r="AT151" i="32"/>
  <c r="AS138" i="32"/>
  <c r="AT76" i="32"/>
  <c r="AR87" i="32"/>
  <c r="AR145" i="32"/>
  <c r="AS96" i="32"/>
  <c r="AT120" i="32"/>
  <c r="AT116" i="32"/>
  <c r="AR135" i="32"/>
  <c r="AS121" i="32"/>
  <c r="AS123" i="32"/>
  <c r="AS65" i="32"/>
  <c r="AT145" i="32"/>
  <c r="AT111" i="32"/>
  <c r="AR132" i="32"/>
  <c r="AT132" i="32"/>
  <c r="AR126" i="32"/>
  <c r="AR99" i="32"/>
  <c r="AT143" i="32"/>
  <c r="AT61" i="32"/>
  <c r="AR91" i="32"/>
  <c r="AS74" i="32"/>
  <c r="AS132" i="32"/>
  <c r="AT122" i="32"/>
  <c r="AR78" i="32"/>
  <c r="AT88" i="32"/>
  <c r="AT102" i="32"/>
  <c r="AR110" i="32"/>
  <c r="AT95" i="32"/>
  <c r="AT60" i="32"/>
  <c r="AT124" i="32"/>
  <c r="AR148" i="32"/>
  <c r="AS120" i="32"/>
  <c r="AR106" i="32"/>
  <c r="AR138" i="32"/>
  <c r="AS108" i="32"/>
  <c r="AT87" i="32"/>
  <c r="AR118" i="32"/>
  <c r="AR133" i="32"/>
  <c r="AS60" i="32"/>
  <c r="AR102" i="32"/>
  <c r="AS143" i="32"/>
  <c r="AR70" i="32"/>
  <c r="AS116" i="32"/>
  <c r="AR130" i="32"/>
  <c r="AS93" i="32"/>
  <c r="AS141" i="32"/>
  <c r="AT68" i="32"/>
  <c r="AT119" i="32"/>
  <c r="AR129" i="32"/>
  <c r="AR131" i="32"/>
  <c r="AS90" i="32"/>
  <c r="AT121" i="32"/>
  <c r="AS64" i="32"/>
  <c r="AT74" i="32"/>
  <c r="AS95" i="32"/>
  <c r="AT105" i="32"/>
  <c r="AT94" i="32"/>
  <c r="AT125" i="32"/>
  <c r="AS105" i="32"/>
  <c r="AS107" i="32"/>
  <c r="AS70" i="32"/>
  <c r="AT79" i="32"/>
  <c r="AS128" i="32"/>
  <c r="AR116" i="32"/>
  <c r="AT100" i="32"/>
  <c r="AR146" i="32"/>
  <c r="AR94" i="32"/>
  <c r="AS67" i="32"/>
  <c r="AR151" i="32"/>
  <c r="AR82" i="32"/>
  <c r="AS111" i="32"/>
  <c r="AR124" i="32"/>
  <c r="AS92" i="32"/>
  <c r="AR79" i="32"/>
  <c r="AR76" i="32"/>
  <c r="AT62" i="32"/>
  <c r="AR63" i="32"/>
  <c r="AR109" i="32"/>
  <c r="AS133" i="32"/>
  <c r="AS63" i="32"/>
  <c r="AT108" i="32"/>
  <c r="AS149" i="32"/>
  <c r="AR104" i="32"/>
  <c r="AS56" i="32"/>
  <c r="AT126" i="32"/>
  <c r="AR59" i="32"/>
  <c r="AS57" i="32"/>
  <c r="AR56" i="32"/>
  <c r="AS58" i="32"/>
  <c r="AS59" i="32"/>
  <c r="AS82" i="32"/>
  <c r="AR119" i="32"/>
  <c r="AR97" i="32"/>
  <c r="AS131" i="32"/>
  <c r="AR71" i="32"/>
  <c r="AS102" i="32"/>
  <c r="AT104" i="32"/>
  <c r="AR112" i="32"/>
  <c r="AR84" i="32"/>
  <c r="AR153" i="32"/>
  <c r="AT118" i="32"/>
  <c r="AS117" i="32"/>
  <c r="AT139" i="32"/>
  <c r="AT146" i="32"/>
  <c r="AT152" i="32"/>
  <c r="AS69" i="32"/>
  <c r="AT106" i="32"/>
  <c r="AT58" i="32"/>
  <c r="AR55" i="32"/>
  <c r="AT56" i="32"/>
  <c r="AS55" i="32"/>
  <c r="AT57" i="32"/>
  <c r="AS104" i="32"/>
  <c r="AT84" i="32"/>
  <c r="AS61" i="32"/>
  <c r="AR89" i="32"/>
  <c r="AS86" i="32"/>
  <c r="AT70" i="32"/>
  <c r="AS130" i="32"/>
  <c r="AT98" i="32"/>
  <c r="AS98" i="32"/>
  <c r="AS115" i="32"/>
  <c r="AR72" i="32"/>
  <c r="AT96" i="32"/>
  <c r="AR101" i="32"/>
  <c r="AS147" i="32"/>
  <c r="AS76" i="32"/>
  <c r="AR92" i="32"/>
  <c r="AS124" i="32"/>
  <c r="AT55" i="32"/>
  <c r="AR57" i="32"/>
  <c r="AR58" i="32"/>
  <c r="AU54" i="32" l="1"/>
  <c r="BA54" i="32" s="1"/>
  <c r="AU101" i="32"/>
  <c r="BA101" i="32" s="1"/>
  <c r="AV122" i="32"/>
  <c r="BL122" i="32" s="1"/>
  <c r="AU129" i="32"/>
  <c r="BA129" i="32" s="1"/>
  <c r="AV91" i="32"/>
  <c r="BL91" i="32" s="1"/>
  <c r="AU91" i="32"/>
  <c r="BA91" i="32" s="1"/>
  <c r="AV146" i="32"/>
  <c r="BL146" i="32" s="1"/>
  <c r="AV85" i="32"/>
  <c r="BL85" i="32" s="1"/>
  <c r="AV74" i="32"/>
  <c r="BK74" i="32" s="1"/>
  <c r="BP74" i="32" s="1"/>
  <c r="AV141" i="32"/>
  <c r="BL141" i="32" s="1"/>
  <c r="AU123" i="32"/>
  <c r="BA123" i="32" s="1"/>
  <c r="AU98" i="32"/>
  <c r="BA98" i="32" s="1"/>
  <c r="AU55" i="32"/>
  <c r="BA55" i="32" s="1"/>
  <c r="AW71" i="32"/>
  <c r="BW71" i="32" s="1"/>
  <c r="AV56" i="32"/>
  <c r="BK56" i="32" s="1"/>
  <c r="AV135" i="32"/>
  <c r="BL135" i="32" s="1"/>
  <c r="AU105" i="32"/>
  <c r="AV151" i="32"/>
  <c r="BK151" i="32" s="1"/>
  <c r="BM151" i="32" s="1"/>
  <c r="AV117" i="32"/>
  <c r="BL117" i="32" s="1"/>
  <c r="AV110" i="32"/>
  <c r="BK110" i="32" s="1"/>
  <c r="BP110" i="32" s="1"/>
  <c r="AU114" i="32"/>
  <c r="AW142" i="32"/>
  <c r="BV142" i="32" s="1"/>
  <c r="BY142" i="32" s="1"/>
  <c r="AV121" i="32"/>
  <c r="BK121" i="32" s="1"/>
  <c r="BP121" i="32" s="1"/>
  <c r="AV71" i="32"/>
  <c r="BK71" i="32" s="1"/>
  <c r="BP71" i="32" s="1"/>
  <c r="AV131" i="32"/>
  <c r="AU88" i="32"/>
  <c r="BA88" i="32" s="1"/>
  <c r="AW86" i="32"/>
  <c r="BW86" i="32" s="1"/>
  <c r="AV107" i="32"/>
  <c r="BK107" i="32" s="1"/>
  <c r="BR107" i="32" s="1"/>
  <c r="AU127" i="32"/>
  <c r="AV138" i="32"/>
  <c r="BK138" i="32" s="1"/>
  <c r="BN138" i="32" s="1"/>
  <c r="AV150" i="32"/>
  <c r="BL150" i="32" s="1"/>
  <c r="AV96" i="32"/>
  <c r="BK96" i="32" s="1"/>
  <c r="BQ96" i="32" s="1"/>
  <c r="AV68" i="32"/>
  <c r="AV108" i="32"/>
  <c r="BK108" i="32" s="1"/>
  <c r="BS108" i="32" s="1"/>
  <c r="AV70" i="32"/>
  <c r="BK70" i="32" s="1"/>
  <c r="BP70" i="32" s="1"/>
  <c r="AV78" i="32"/>
  <c r="BK78" i="32" s="1"/>
  <c r="BT78" i="32" s="1"/>
  <c r="AU113" i="32"/>
  <c r="AV118" i="32"/>
  <c r="BK118" i="32" s="1"/>
  <c r="BT118" i="32" s="1"/>
  <c r="AV97" i="32"/>
  <c r="BK97" i="32" s="1"/>
  <c r="BQ97" i="32" s="1"/>
  <c r="AV106" i="32"/>
  <c r="BK106" i="32" s="1"/>
  <c r="BP106" i="32" s="1"/>
  <c r="AU134" i="32"/>
  <c r="AU77" i="32"/>
  <c r="AZ77" i="32" s="1"/>
  <c r="BI77" i="32" s="1"/>
  <c r="AU133" i="32"/>
  <c r="AZ133" i="32" s="1"/>
  <c r="BH133" i="32" s="1"/>
  <c r="AW110" i="32"/>
  <c r="BW110" i="32" s="1"/>
  <c r="AV83" i="32"/>
  <c r="AV111" i="32"/>
  <c r="BL111" i="32" s="1"/>
  <c r="AV73" i="32"/>
  <c r="BK73" i="32" s="1"/>
  <c r="BP73" i="32" s="1"/>
  <c r="AV119" i="32"/>
  <c r="BL119" i="32" s="1"/>
  <c r="AU74" i="32"/>
  <c r="AZ74" i="32" s="1"/>
  <c r="BI74" i="32" s="1"/>
  <c r="AU60" i="32"/>
  <c r="AZ60" i="32" s="1"/>
  <c r="BE60" i="32" s="1"/>
  <c r="AU103" i="32"/>
  <c r="BA103" i="32" s="1"/>
  <c r="AW88" i="32"/>
  <c r="BV88" i="32" s="1"/>
  <c r="BX88" i="32" s="1"/>
  <c r="AV60" i="32"/>
  <c r="AV98" i="32"/>
  <c r="BK98" i="32" s="1"/>
  <c r="BP98" i="32" s="1"/>
  <c r="AV130" i="32"/>
  <c r="BK130" i="32" s="1"/>
  <c r="BN130" i="32" s="1"/>
  <c r="AW135" i="32"/>
  <c r="BV135" i="32" s="1"/>
  <c r="CE135" i="32" s="1"/>
  <c r="AW144" i="32"/>
  <c r="BW144" i="32" s="1"/>
  <c r="AV63" i="32"/>
  <c r="BL63" i="32" s="1"/>
  <c r="AU85" i="32"/>
  <c r="BA85" i="32" s="1"/>
  <c r="AV89" i="32"/>
  <c r="BL89" i="32" s="1"/>
  <c r="AV92" i="32"/>
  <c r="AV81" i="32"/>
  <c r="BK81" i="32" s="1"/>
  <c r="BS81" i="32" s="1"/>
  <c r="AV64" i="32"/>
  <c r="BL64" i="32" s="1"/>
  <c r="AV124" i="32"/>
  <c r="BK124" i="32" s="1"/>
  <c r="BP124" i="32" s="1"/>
  <c r="AV84" i="32"/>
  <c r="AU132" i="32"/>
  <c r="BA132" i="32" s="1"/>
  <c r="AU125" i="32"/>
  <c r="BA125" i="32" s="1"/>
  <c r="AU95" i="32"/>
  <c r="AZ95" i="32" s="1"/>
  <c r="BE95" i="32" s="1"/>
  <c r="AU121" i="32"/>
  <c r="AU106" i="32"/>
  <c r="BA106" i="32" s="1"/>
  <c r="AW104" i="32"/>
  <c r="BV104" i="32" s="1"/>
  <c r="BY104" i="32" s="1"/>
  <c r="AW79" i="32"/>
  <c r="BV79" i="32" s="1"/>
  <c r="CD79" i="32" s="1"/>
  <c r="AW147" i="32"/>
  <c r="BW147" i="32" s="1"/>
  <c r="AV148" i="32"/>
  <c r="BK148" i="32" s="1"/>
  <c r="BO148" i="32" s="1"/>
  <c r="AV115" i="32"/>
  <c r="BK115" i="32" s="1"/>
  <c r="BN115" i="32" s="1"/>
  <c r="AV59" i="32"/>
  <c r="BK59" i="32" s="1"/>
  <c r="BP59" i="32" s="1"/>
  <c r="AU118" i="32"/>
  <c r="AV86" i="32"/>
  <c r="BL86" i="32" s="1"/>
  <c r="AV149" i="32"/>
  <c r="BL149" i="32" s="1"/>
  <c r="AV133" i="32"/>
  <c r="BL133" i="32" s="1"/>
  <c r="AV93" i="32"/>
  <c r="BL93" i="32" s="1"/>
  <c r="AU135" i="32"/>
  <c r="AZ135" i="32" s="1"/>
  <c r="BI135" i="32" s="1"/>
  <c r="AU92" i="32"/>
  <c r="AZ92" i="32" s="1"/>
  <c r="BH92" i="32" s="1"/>
  <c r="AU76" i="32"/>
  <c r="AZ76" i="32" s="1"/>
  <c r="BD76" i="32" s="1"/>
  <c r="AU66" i="32"/>
  <c r="AU107" i="32"/>
  <c r="BA107" i="32" s="1"/>
  <c r="AU144" i="32"/>
  <c r="AZ144" i="32" s="1"/>
  <c r="BI144" i="32" s="1"/>
  <c r="AW153" i="32"/>
  <c r="BV153" i="32" s="1"/>
  <c r="CE153" i="32" s="1"/>
  <c r="AW54" i="32"/>
  <c r="BV54" i="32" s="1"/>
  <c r="BX54" i="32" s="1"/>
  <c r="BY54" i="32" s="1"/>
  <c r="CA54" i="32" s="1"/>
  <c r="AW125" i="32"/>
  <c r="BV125" i="32" s="1"/>
  <c r="BX125" i="32" s="1"/>
  <c r="AV126" i="32"/>
  <c r="BL126" i="32" s="1"/>
  <c r="AU147" i="32"/>
  <c r="BA147" i="32" s="1"/>
  <c r="AV100" i="32"/>
  <c r="BK100" i="32" s="1"/>
  <c r="AV72" i="32"/>
  <c r="BL72" i="32" s="1"/>
  <c r="AU79" i="32"/>
  <c r="BA79" i="32" s="1"/>
  <c r="AU81" i="32"/>
  <c r="AZ81" i="32" s="1"/>
  <c r="BF81" i="32" s="1"/>
  <c r="AU140" i="32"/>
  <c r="AU93" i="32"/>
  <c r="BA93" i="32" s="1"/>
  <c r="AU109" i="32"/>
  <c r="AZ109" i="32" s="1"/>
  <c r="BG109" i="32" s="1"/>
  <c r="AU96" i="32"/>
  <c r="AZ96" i="32" s="1"/>
  <c r="BB96" i="32" s="1"/>
  <c r="AU62" i="32"/>
  <c r="AU122" i="32"/>
  <c r="AZ122" i="32" s="1"/>
  <c r="BF122" i="32" s="1"/>
  <c r="AW126" i="32"/>
  <c r="BW126" i="32" s="1"/>
  <c r="AW82" i="32"/>
  <c r="BW82" i="32" s="1"/>
  <c r="AW137" i="32"/>
  <c r="AW58" i="32"/>
  <c r="BV58" i="32" s="1"/>
  <c r="BX58" i="32" s="1"/>
  <c r="BY58" i="32" s="1"/>
  <c r="AU128" i="32"/>
  <c r="AZ128" i="32" s="1"/>
  <c r="BD128" i="32" s="1"/>
  <c r="AV147" i="32"/>
  <c r="BK147" i="32" s="1"/>
  <c r="BT147" i="32" s="1"/>
  <c r="AU110" i="32"/>
  <c r="AV103" i="32"/>
  <c r="BL103" i="32" s="1"/>
  <c r="AU139" i="32"/>
  <c r="AZ139" i="32" s="1"/>
  <c r="BI139" i="32" s="1"/>
  <c r="AV62" i="32"/>
  <c r="BL62" i="32" s="1"/>
  <c r="AV144" i="32"/>
  <c r="BK144" i="32" s="1"/>
  <c r="BN144" i="32" s="1"/>
  <c r="AV66" i="32"/>
  <c r="BK66" i="32" s="1"/>
  <c r="BP66" i="32" s="1"/>
  <c r="AV61" i="32"/>
  <c r="BL61" i="32" s="1"/>
  <c r="AU117" i="32"/>
  <c r="BA117" i="32" s="1"/>
  <c r="AU64" i="32"/>
  <c r="AU80" i="32"/>
  <c r="AZ80" i="32" s="1"/>
  <c r="BF80" i="32" s="1"/>
  <c r="AU124" i="32"/>
  <c r="AZ124" i="32" s="1"/>
  <c r="BF124" i="32" s="1"/>
  <c r="AU65" i="32"/>
  <c r="BA65" i="32" s="1"/>
  <c r="AU131" i="32"/>
  <c r="AZ131" i="32" s="1"/>
  <c r="BF131" i="32" s="1"/>
  <c r="AU86" i="32"/>
  <c r="AZ86" i="32" s="1"/>
  <c r="BC86" i="32" s="1"/>
  <c r="AU119" i="32"/>
  <c r="AZ119" i="32" s="1"/>
  <c r="BC119" i="32" s="1"/>
  <c r="AU138" i="32"/>
  <c r="BA138" i="32" s="1"/>
  <c r="AU73" i="32"/>
  <c r="AW109" i="32"/>
  <c r="BV109" i="32" s="1"/>
  <c r="BY109" i="32" s="1"/>
  <c r="AW143" i="32"/>
  <c r="BV143" i="32" s="1"/>
  <c r="BY143" i="32" s="1"/>
  <c r="AW140" i="32"/>
  <c r="BV140" i="32" s="1"/>
  <c r="CA140" i="32" s="1"/>
  <c r="AW91" i="32"/>
  <c r="AW113" i="32"/>
  <c r="BV113" i="32" s="1"/>
  <c r="CA113" i="32" s="1"/>
  <c r="AW73" i="32"/>
  <c r="BW73" i="32" s="1"/>
  <c r="AV116" i="32"/>
  <c r="BK116" i="32" s="1"/>
  <c r="BQ116" i="32" s="1"/>
  <c r="AU141" i="32"/>
  <c r="AV136" i="32"/>
  <c r="BL136" i="32" s="1"/>
  <c r="AV113" i="32"/>
  <c r="BK113" i="32" s="1"/>
  <c r="BQ113" i="32" s="1"/>
  <c r="AU94" i="32"/>
  <c r="AZ94" i="32" s="1"/>
  <c r="BC94" i="32" s="1"/>
  <c r="AU97" i="32"/>
  <c r="AW93" i="32"/>
  <c r="BW93" i="32" s="1"/>
  <c r="AW62" i="32"/>
  <c r="BV62" i="32" s="1"/>
  <c r="CA62" i="32" s="1"/>
  <c r="AW132" i="32"/>
  <c r="BV132" i="32" s="1"/>
  <c r="CB132" i="32" s="1"/>
  <c r="AW67" i="32"/>
  <c r="AW111" i="32"/>
  <c r="BV111" i="32" s="1"/>
  <c r="CB111" i="32" s="1"/>
  <c r="AW98" i="32"/>
  <c r="BV98" i="32" s="1"/>
  <c r="CC98" i="32" s="1"/>
  <c r="AW94" i="32"/>
  <c r="BV94" i="32" s="1"/>
  <c r="CD94" i="32" s="1"/>
  <c r="AW61" i="32"/>
  <c r="AV65" i="32"/>
  <c r="BK65" i="32" s="1"/>
  <c r="BP65" i="32" s="1"/>
  <c r="AV128" i="32"/>
  <c r="BL128" i="32" s="1"/>
  <c r="AW130" i="32"/>
  <c r="BW130" i="32" s="1"/>
  <c r="AW121" i="32"/>
  <c r="AV114" i="32"/>
  <c r="BL114" i="32" s="1"/>
  <c r="AW120" i="32"/>
  <c r="BV120" i="32" s="1"/>
  <c r="CB120" i="32" s="1"/>
  <c r="AW151" i="32"/>
  <c r="BV151" i="32" s="1"/>
  <c r="BY151" i="32" s="1"/>
  <c r="AW149" i="32"/>
  <c r="AW119" i="32"/>
  <c r="BW119" i="32" s="1"/>
  <c r="AW76" i="32"/>
  <c r="BV76" i="32" s="1"/>
  <c r="CC76" i="32" s="1"/>
  <c r="AW59" i="32"/>
  <c r="BV59" i="32" s="1"/>
  <c r="CA59" i="32" s="1"/>
  <c r="AW152" i="32"/>
  <c r="AW131" i="32"/>
  <c r="BW131" i="32" s="1"/>
  <c r="AW129" i="32"/>
  <c r="BW129" i="32" s="1"/>
  <c r="AV127" i="32"/>
  <c r="BK127" i="32" s="1"/>
  <c r="BS127" i="32" s="1"/>
  <c r="AV120" i="32"/>
  <c r="AV77" i="32"/>
  <c r="BL77" i="32" s="1"/>
  <c r="AU130" i="32"/>
  <c r="BA130" i="32" s="1"/>
  <c r="AW80" i="32"/>
  <c r="BW80" i="32" s="1"/>
  <c r="AU70" i="32"/>
  <c r="AV142" i="32"/>
  <c r="BK142" i="32" s="1"/>
  <c r="BR142" i="32" s="1"/>
  <c r="AV79" i="32"/>
  <c r="BL79" i="32" s="1"/>
  <c r="AW55" i="32"/>
  <c r="BW55" i="32" s="1"/>
  <c r="AW102" i="32"/>
  <c r="AW85" i="32"/>
  <c r="BW85" i="32" s="1"/>
  <c r="AW133" i="32"/>
  <c r="BW133" i="32" s="1"/>
  <c r="AW106" i="32"/>
  <c r="BV106" i="32" s="1"/>
  <c r="CB106" i="32" s="1"/>
  <c r="AW78" i="32"/>
  <c r="AW112" i="32"/>
  <c r="BW112" i="32" s="1"/>
  <c r="AW122" i="32"/>
  <c r="BV122" i="32" s="1"/>
  <c r="CE122" i="32" s="1"/>
  <c r="AW84" i="32"/>
  <c r="BV84" i="32" s="1"/>
  <c r="CA84" i="32" s="1"/>
  <c r="AW105" i="32"/>
  <c r="AW69" i="32"/>
  <c r="BW69" i="32" s="1"/>
  <c r="AV67" i="32"/>
  <c r="BL67" i="32" s="1"/>
  <c r="AV134" i="32"/>
  <c r="BL134" i="32" s="1"/>
  <c r="AV153" i="32"/>
  <c r="BK153" i="32" s="1"/>
  <c r="BP153" i="32" s="1"/>
  <c r="AV102" i="32"/>
  <c r="BK102" i="32" s="1"/>
  <c r="BO102" i="32" s="1"/>
  <c r="AV137" i="32"/>
  <c r="BL137" i="32" s="1"/>
  <c r="AV94" i="32"/>
  <c r="BL94" i="32" s="1"/>
  <c r="AU72" i="32"/>
  <c r="BA72" i="32" s="1"/>
  <c r="AU136" i="32"/>
  <c r="AZ136" i="32" s="1"/>
  <c r="BD136" i="32" s="1"/>
  <c r="AU100" i="32"/>
  <c r="AZ100" i="32" s="1"/>
  <c r="BF100" i="32" s="1"/>
  <c r="AW124" i="32"/>
  <c r="BV124" i="32" s="1"/>
  <c r="BY124" i="32" s="1"/>
  <c r="AW57" i="32"/>
  <c r="BV57" i="32" s="1"/>
  <c r="AU78" i="32"/>
  <c r="AZ78" i="32" s="1"/>
  <c r="BH78" i="32" s="1"/>
  <c r="AV152" i="32"/>
  <c r="BK152" i="32" s="1"/>
  <c r="BP152" i="32" s="1"/>
  <c r="AV69" i="32"/>
  <c r="BL69" i="32" s="1"/>
  <c r="AV99" i="32"/>
  <c r="AU151" i="32"/>
  <c r="BA151" i="32" s="1"/>
  <c r="AU149" i="32"/>
  <c r="AZ149" i="32" s="1"/>
  <c r="BI149" i="32" s="1"/>
  <c r="AU82" i="32"/>
  <c r="AZ82" i="32" s="1"/>
  <c r="BG82" i="32" s="1"/>
  <c r="AU150" i="32"/>
  <c r="AW60" i="32"/>
  <c r="BV60" i="32" s="1"/>
  <c r="CA60" i="32" s="1"/>
  <c r="AW63" i="32"/>
  <c r="BW63" i="32" s="1"/>
  <c r="AV132" i="32"/>
  <c r="BK132" i="32" s="1"/>
  <c r="BT132" i="32" s="1"/>
  <c r="AW139" i="32"/>
  <c r="AW115" i="32"/>
  <c r="BW115" i="32" s="1"/>
  <c r="AW72" i="32"/>
  <c r="BV72" i="32" s="1"/>
  <c r="CC72" i="32" s="1"/>
  <c r="AW107" i="32"/>
  <c r="BW107" i="32" s="1"/>
  <c r="AW138" i="32"/>
  <c r="AW66" i="32"/>
  <c r="BW66" i="32" s="1"/>
  <c r="AW114" i="32"/>
  <c r="BW114" i="32" s="1"/>
  <c r="AV95" i="32"/>
  <c r="BK95" i="32" s="1"/>
  <c r="BO95" i="32" s="1"/>
  <c r="AU99" i="32"/>
  <c r="AU84" i="32"/>
  <c r="AZ84" i="32" s="1"/>
  <c r="BB84" i="32" s="1"/>
  <c r="AU71" i="32"/>
  <c r="BA71" i="32" s="1"/>
  <c r="AW148" i="32"/>
  <c r="BV148" i="32" s="1"/>
  <c r="CD148" i="32" s="1"/>
  <c r="AW117" i="32"/>
  <c r="AW136" i="32"/>
  <c r="BV136" i="32" s="1"/>
  <c r="BY136" i="32" s="1"/>
  <c r="AW75" i="32"/>
  <c r="BV75" i="32" s="1"/>
  <c r="CB75" i="32" s="1"/>
  <c r="AW108" i="32"/>
  <c r="BV108" i="32" s="1"/>
  <c r="CD108" i="32" s="1"/>
  <c r="AW65" i="32"/>
  <c r="BV65" i="32" s="1"/>
  <c r="CA65" i="32" s="1"/>
  <c r="AV55" i="32"/>
  <c r="BK55" i="32" s="1"/>
  <c r="AV90" i="32"/>
  <c r="BL90" i="32" s="1"/>
  <c r="AV109" i="32"/>
  <c r="BK109" i="32" s="1"/>
  <c r="BP109" i="32" s="1"/>
  <c r="AV129" i="32"/>
  <c r="AU111" i="32"/>
  <c r="AZ111" i="32" s="1"/>
  <c r="BD111" i="32" s="1"/>
  <c r="AU68" i="32"/>
  <c r="AZ68" i="32" s="1"/>
  <c r="BE68" i="32" s="1"/>
  <c r="AU75" i="32"/>
  <c r="BA75" i="32" s="1"/>
  <c r="AU112" i="32"/>
  <c r="AZ112" i="32" s="1"/>
  <c r="BI112" i="32" s="1"/>
  <c r="AU69" i="32"/>
  <c r="AZ69" i="32" s="1"/>
  <c r="BE69" i="32" s="1"/>
  <c r="AU153" i="32"/>
  <c r="AZ153" i="32" s="1"/>
  <c r="BF153" i="32" s="1"/>
  <c r="AW87" i="32"/>
  <c r="BW87" i="32" s="1"/>
  <c r="AW118" i="32"/>
  <c r="BV118" i="32" s="1"/>
  <c r="AW134" i="32"/>
  <c r="BV134" i="32" s="1"/>
  <c r="CE134" i="32" s="1"/>
  <c r="AW123" i="32"/>
  <c r="BW123" i="32" s="1"/>
  <c r="AW101" i="32"/>
  <c r="BW101" i="32" s="1"/>
  <c r="AW90" i="32"/>
  <c r="AU143" i="32"/>
  <c r="BA143" i="32" s="1"/>
  <c r="AV75" i="32"/>
  <c r="BL75" i="32" s="1"/>
  <c r="AU148" i="32"/>
  <c r="AZ148" i="32" s="1"/>
  <c r="BE148" i="32" s="1"/>
  <c r="AW70" i="32"/>
  <c r="AU116" i="32"/>
  <c r="BA116" i="32" s="1"/>
  <c r="AU137" i="32"/>
  <c r="BA137" i="32" s="1"/>
  <c r="AV112" i="32"/>
  <c r="BK112" i="32" s="1"/>
  <c r="BR112" i="32" s="1"/>
  <c r="AV54" i="32"/>
  <c r="AU142" i="32"/>
  <c r="AZ142" i="32" s="1"/>
  <c r="BD142" i="32" s="1"/>
  <c r="AV101" i="32"/>
  <c r="BL101" i="32" s="1"/>
  <c r="AV76" i="32"/>
  <c r="BK76" i="32" s="1"/>
  <c r="BP76" i="32" s="1"/>
  <c r="AU67" i="32"/>
  <c r="AW99" i="32"/>
  <c r="BV99" i="32" s="1"/>
  <c r="CC99" i="32" s="1"/>
  <c r="AU102" i="32"/>
  <c r="BA102" i="32" s="1"/>
  <c r="AW146" i="32"/>
  <c r="BW146" i="32" s="1"/>
  <c r="AW92" i="32"/>
  <c r="AU90" i="32"/>
  <c r="BA90" i="32" s="1"/>
  <c r="AW141" i="32"/>
  <c r="BW141" i="32" s="1"/>
  <c r="AW116" i="32"/>
  <c r="BV116" i="32" s="1"/>
  <c r="BX116" i="32" s="1"/>
  <c r="AU87" i="32"/>
  <c r="AV87" i="32"/>
  <c r="BL87" i="32" s="1"/>
  <c r="AU152" i="32"/>
  <c r="AZ152" i="32" s="1"/>
  <c r="BB152" i="32" s="1"/>
  <c r="AU104" i="32"/>
  <c r="BA104" i="32" s="1"/>
  <c r="AU83" i="32"/>
  <c r="AW97" i="32"/>
  <c r="BV97" i="32" s="1"/>
  <c r="CD97" i="32" s="1"/>
  <c r="AW127" i="32"/>
  <c r="BW127" i="32" s="1"/>
  <c r="AW145" i="32"/>
  <c r="BW145" i="32" s="1"/>
  <c r="AU63" i="32"/>
  <c r="AZ63" i="32" s="1"/>
  <c r="BE63" i="32" s="1"/>
  <c r="AU61" i="32"/>
  <c r="BA61" i="32" s="1"/>
  <c r="AV88" i="32"/>
  <c r="BK88" i="32" s="1"/>
  <c r="BO88" i="32" s="1"/>
  <c r="AV145" i="32"/>
  <c r="BL145" i="32" s="1"/>
  <c r="AV82" i="32"/>
  <c r="BK82" i="32" s="1"/>
  <c r="BN82" i="32" s="1"/>
  <c r="AV143" i="32"/>
  <c r="BK143" i="32" s="1"/>
  <c r="BM143" i="32" s="1"/>
  <c r="AV125" i="32"/>
  <c r="BL125" i="32" s="1"/>
  <c r="AV139" i="32"/>
  <c r="BK139" i="32" s="1"/>
  <c r="BP139" i="32" s="1"/>
  <c r="AU108" i="32"/>
  <c r="AV105" i="32"/>
  <c r="BL105" i="32" s="1"/>
  <c r="AV104" i="32"/>
  <c r="BK104" i="32" s="1"/>
  <c r="BR104" i="32" s="1"/>
  <c r="AW81" i="32"/>
  <c r="BW81" i="32" s="1"/>
  <c r="AU146" i="32"/>
  <c r="AW103" i="32"/>
  <c r="BW103" i="32" s="1"/>
  <c r="AW100" i="32"/>
  <c r="BW100" i="32" s="1"/>
  <c r="AW89" i="32"/>
  <c r="BW89" i="32" s="1"/>
  <c r="AV123" i="32"/>
  <c r="AU120" i="32"/>
  <c r="AZ120" i="32" s="1"/>
  <c r="BG120" i="32" s="1"/>
  <c r="AU126" i="32"/>
  <c r="BA126" i="32" s="1"/>
  <c r="AW128" i="32"/>
  <c r="BW128" i="32" s="1"/>
  <c r="AV58" i="32"/>
  <c r="AW74" i="32"/>
  <c r="BW74" i="32" s="1"/>
  <c r="AW68" i="32"/>
  <c r="BV68" i="32" s="1"/>
  <c r="BX68" i="32" s="1"/>
  <c r="AW95" i="32"/>
  <c r="BV95" i="32" s="1"/>
  <c r="CB95" i="32" s="1"/>
  <c r="AW77" i="32"/>
  <c r="AW56" i="32"/>
  <c r="BW56" i="32" s="1"/>
  <c r="AW83" i="32"/>
  <c r="BW83" i="32" s="1"/>
  <c r="AV140" i="32"/>
  <c r="BL140" i="32" s="1"/>
  <c r="AW64" i="32"/>
  <c r="BW64" i="32" s="1"/>
  <c r="AV57" i="32"/>
  <c r="BK57" i="32" s="1"/>
  <c r="AW96" i="32"/>
  <c r="BW96" i="32" s="1"/>
  <c r="AU115" i="32"/>
  <c r="BA115" i="32" s="1"/>
  <c r="AV80" i="32"/>
  <c r="AU57" i="32"/>
  <c r="AZ57" i="32" s="1"/>
  <c r="AW150" i="32"/>
  <c r="BV150" i="32" s="1"/>
  <c r="CC150" i="32" s="1"/>
  <c r="AU89" i="32"/>
  <c r="AZ89" i="32" s="1"/>
  <c r="BD89" i="32" s="1"/>
  <c r="AU58" i="32"/>
  <c r="AZ58" i="32" s="1"/>
  <c r="AU145" i="32"/>
  <c r="BA145" i="32" s="1"/>
  <c r="AU59" i="32"/>
  <c r="AZ59" i="32" s="1"/>
  <c r="AU56" i="32"/>
  <c r="AZ56" i="32" s="1"/>
  <c r="AZ54" i="32" l="1"/>
  <c r="BB54" i="32" s="1"/>
  <c r="BC54" i="32" s="1"/>
  <c r="BD54" i="32" s="1"/>
  <c r="BV147" i="32"/>
  <c r="CB147" i="32" s="1"/>
  <c r="BW68" i="32"/>
  <c r="BV71" i="32"/>
  <c r="BZ71" i="32" s="1"/>
  <c r="BM130" i="32"/>
  <c r="BS121" i="32"/>
  <c r="BS98" i="32"/>
  <c r="CC142" i="32"/>
  <c r="BT151" i="32"/>
  <c r="BH153" i="32"/>
  <c r="BA124" i="32"/>
  <c r="BS88" i="32"/>
  <c r="AZ103" i="32"/>
  <c r="BI103" i="32" s="1"/>
  <c r="BC135" i="32"/>
  <c r="BM97" i="32"/>
  <c r="CA98" i="32"/>
  <c r="BF149" i="32"/>
  <c r="BL121" i="32"/>
  <c r="BF133" i="32"/>
  <c r="BN96" i="32"/>
  <c r="BV86" i="32"/>
  <c r="BY86" i="32" s="1"/>
  <c r="BK117" i="32"/>
  <c r="BR117" i="32" s="1"/>
  <c r="BZ111" i="32"/>
  <c r="BT106" i="32"/>
  <c r="BP107" i="32"/>
  <c r="BP142" i="32"/>
  <c r="BA77" i="32"/>
  <c r="BZ113" i="32"/>
  <c r="BF77" i="32"/>
  <c r="BG78" i="32"/>
  <c r="BQ110" i="32"/>
  <c r="BI136" i="32"/>
  <c r="BT107" i="32"/>
  <c r="BM78" i="32"/>
  <c r="AZ93" i="32"/>
  <c r="BH93" i="32" s="1"/>
  <c r="CA153" i="32"/>
  <c r="BQ106" i="32"/>
  <c r="BQ118" i="32"/>
  <c r="CC135" i="32"/>
  <c r="BM138" i="32"/>
  <c r="BN151" i="32"/>
  <c r="BK119" i="32"/>
  <c r="BT119" i="32" s="1"/>
  <c r="BW88" i="32"/>
  <c r="CB125" i="32"/>
  <c r="BY88" i="32"/>
  <c r="BB86" i="32"/>
  <c r="BS148" i="32"/>
  <c r="BP108" i="32"/>
  <c r="BT81" i="32"/>
  <c r="BM107" i="32"/>
  <c r="BH95" i="32"/>
  <c r="BR110" i="32"/>
  <c r="BO124" i="32"/>
  <c r="BO151" i="32"/>
  <c r="AZ107" i="32"/>
  <c r="BH107" i="32" s="1"/>
  <c r="CA142" i="32"/>
  <c r="BB122" i="32"/>
  <c r="BE80" i="32"/>
  <c r="BS106" i="32"/>
  <c r="BR96" i="32"/>
  <c r="BY135" i="32"/>
  <c r="BR78" i="32"/>
  <c r="BT138" i="32"/>
  <c r="BX97" i="32"/>
  <c r="BL96" i="32"/>
  <c r="BK85" i="32"/>
  <c r="BR85" i="32" s="1"/>
  <c r="BW142" i="32"/>
  <c r="CC125" i="32"/>
  <c r="CE88" i="32"/>
  <c r="BB77" i="32"/>
  <c r="BQ148" i="32"/>
  <c r="BO106" i="32"/>
  <c r="BM108" i="32"/>
  <c r="BN118" i="32"/>
  <c r="BQ81" i="32"/>
  <c r="BT96" i="32"/>
  <c r="BS107" i="32"/>
  <c r="BC120" i="32"/>
  <c r="BX135" i="32"/>
  <c r="BI95" i="32"/>
  <c r="BN78" i="32"/>
  <c r="BT110" i="32"/>
  <c r="BO138" i="32"/>
  <c r="BM124" i="32"/>
  <c r="BF84" i="32"/>
  <c r="BT102" i="32"/>
  <c r="BK135" i="32"/>
  <c r="BO135" i="32" s="1"/>
  <c r="BV115" i="32"/>
  <c r="CC115" i="32" s="1"/>
  <c r="CB142" i="32"/>
  <c r="CC88" i="32"/>
  <c r="CA109" i="32"/>
  <c r="BH77" i="32"/>
  <c r="BR106" i="32"/>
  <c r="BR108" i="32"/>
  <c r="BT98" i="32"/>
  <c r="BM118" i="32"/>
  <c r="BM96" i="32"/>
  <c r="BQ107" i="32"/>
  <c r="BB95" i="32"/>
  <c r="BD135" i="32"/>
  <c r="BS110" i="32"/>
  <c r="BN110" i="32"/>
  <c r="BR124" i="32"/>
  <c r="CD136" i="32"/>
  <c r="AZ98" i="32"/>
  <c r="BE98" i="32" s="1"/>
  <c r="BK63" i="32"/>
  <c r="BP63" i="32" s="1"/>
  <c r="BA111" i="32"/>
  <c r="CC113" i="32"/>
  <c r="BZ125" i="32"/>
  <c r="CE142" i="32"/>
  <c r="BY79" i="32"/>
  <c r="CD88" i="32"/>
  <c r="BZ109" i="32"/>
  <c r="BE122" i="32"/>
  <c r="BG77" i="32"/>
  <c r="BC77" i="32"/>
  <c r="BN148" i="32"/>
  <c r="BM106" i="32"/>
  <c r="BQ108" i="32"/>
  <c r="BN108" i="32"/>
  <c r="BN98" i="32"/>
  <c r="BR118" i="32"/>
  <c r="BM81" i="32"/>
  <c r="BO96" i="32"/>
  <c r="BP96" i="32"/>
  <c r="BO107" i="32"/>
  <c r="CA135" i="32"/>
  <c r="BG95" i="32"/>
  <c r="BG135" i="32"/>
  <c r="BS78" i="32"/>
  <c r="BO110" i="32"/>
  <c r="BP138" i="32"/>
  <c r="BQ138" i="32"/>
  <c r="BQ124" i="32"/>
  <c r="BS151" i="32"/>
  <c r="BQ151" i="32"/>
  <c r="BX60" i="32"/>
  <c r="BY60" i="32" s="1"/>
  <c r="BG136" i="32"/>
  <c r="BO142" i="32"/>
  <c r="BV85" i="32"/>
  <c r="BZ85" i="32" s="1"/>
  <c r="AZ129" i="32"/>
  <c r="BF129" i="32" s="1"/>
  <c r="BL151" i="32"/>
  <c r="BL81" i="32"/>
  <c r="BL110" i="32"/>
  <c r="BA86" i="32"/>
  <c r="AZ91" i="32"/>
  <c r="BB91" i="32" s="1"/>
  <c r="CD125" i="32"/>
  <c r="BX142" i="32"/>
  <c r="CD142" i="32"/>
  <c r="CA111" i="32"/>
  <c r="BC122" i="32"/>
  <c r="BH86" i="32"/>
  <c r="BE77" i="32"/>
  <c r="BH80" i="32"/>
  <c r="BM148" i="32"/>
  <c r="BO108" i="32"/>
  <c r="BM98" i="32"/>
  <c r="BO118" i="32"/>
  <c r="BP118" i="32"/>
  <c r="BO81" i="32"/>
  <c r="BI78" i="32"/>
  <c r="BE135" i="32"/>
  <c r="BR138" i="32"/>
  <c r="BP151" i="32"/>
  <c r="CB136" i="32"/>
  <c r="BC84" i="32"/>
  <c r="BR102" i="32"/>
  <c r="AZ132" i="32"/>
  <c r="BH132" i="32" s="1"/>
  <c r="BW136" i="32"/>
  <c r="BL66" i="32"/>
  <c r="BK141" i="32"/>
  <c r="BS141" i="32" s="1"/>
  <c r="BA60" i="32"/>
  <c r="BW125" i="32"/>
  <c r="BL65" i="32"/>
  <c r="BB133" i="32"/>
  <c r="BM121" i="32"/>
  <c r="BO113" i="32"/>
  <c r="AZ123" i="32"/>
  <c r="BB123" i="32" s="1"/>
  <c r="BK146" i="32"/>
  <c r="BM146" i="32" s="1"/>
  <c r="CB113" i="32"/>
  <c r="BY125" i="32"/>
  <c r="CE125" i="32"/>
  <c r="CC111" i="32"/>
  <c r="CD109" i="32"/>
  <c r="BH122" i="32"/>
  <c r="BD122" i="32"/>
  <c r="BD133" i="32"/>
  <c r="BG86" i="32"/>
  <c r="BB92" i="32"/>
  <c r="BD80" i="32"/>
  <c r="BT148" i="32"/>
  <c r="BP148" i="32"/>
  <c r="BQ98" i="32"/>
  <c r="BR98" i="32"/>
  <c r="BN97" i="32"/>
  <c r="BN81" i="32"/>
  <c r="BP81" i="32"/>
  <c r="CE68" i="32"/>
  <c r="BF78" i="32"/>
  <c r="BH142" i="32"/>
  <c r="CA58" i="32"/>
  <c r="BB135" i="32"/>
  <c r="BF135" i="32"/>
  <c r="BF128" i="32"/>
  <c r="BO121" i="32"/>
  <c r="BZ136" i="32"/>
  <c r="BZ134" i="32"/>
  <c r="BI84" i="32"/>
  <c r="BF136" i="32"/>
  <c r="BM142" i="32"/>
  <c r="BN102" i="32"/>
  <c r="BV69" i="32"/>
  <c r="BZ69" i="32" s="1"/>
  <c r="BA92" i="32"/>
  <c r="BK122" i="32"/>
  <c r="BM122" i="32" s="1"/>
  <c r="BL118" i="32"/>
  <c r="BV93" i="32"/>
  <c r="CC93" i="32" s="1"/>
  <c r="BL98" i="32"/>
  <c r="BA135" i="32"/>
  <c r="BK111" i="32"/>
  <c r="BS111" i="32" s="1"/>
  <c r="BV119" i="32"/>
  <c r="CA119" i="32" s="1"/>
  <c r="BA80" i="32"/>
  <c r="BL148" i="32"/>
  <c r="BW60" i="32"/>
  <c r="CE120" i="32"/>
  <c r="BE109" i="32"/>
  <c r="BQ115" i="32"/>
  <c r="BX104" i="32"/>
  <c r="CE113" i="32"/>
  <c r="CA125" i="32"/>
  <c r="BZ142" i="32"/>
  <c r="CD111" i="32"/>
  <c r="BX109" i="32"/>
  <c r="BD144" i="32"/>
  <c r="BG122" i="32"/>
  <c r="BC133" i="32"/>
  <c r="BE86" i="32"/>
  <c r="BD77" i="32"/>
  <c r="BG80" i="32"/>
  <c r="BR148" i="32"/>
  <c r="BT108" i="32"/>
  <c r="BO98" i="32"/>
  <c r="BS118" i="32"/>
  <c r="BR81" i="32"/>
  <c r="BE78" i="32"/>
  <c r="BH111" i="32"/>
  <c r="BP143" i="32"/>
  <c r="BB119" i="32"/>
  <c r="BH135" i="32"/>
  <c r="BS138" i="32"/>
  <c r="BQ121" i="32"/>
  <c r="BR151" i="32"/>
  <c r="CC136" i="32"/>
  <c r="BZ72" i="32"/>
  <c r="BD84" i="32"/>
  <c r="BH136" i="32"/>
  <c r="BT142" i="32"/>
  <c r="BP102" i="32"/>
  <c r="BK86" i="32"/>
  <c r="BM86" i="32" s="1"/>
  <c r="BL108" i="32"/>
  <c r="BV131" i="32"/>
  <c r="BX131" i="32" s="1"/>
  <c r="BL138" i="32"/>
  <c r="AZ88" i="32"/>
  <c r="BH88" i="32" s="1"/>
  <c r="BL102" i="32"/>
  <c r="BK103" i="32"/>
  <c r="BT103" i="32" s="1"/>
  <c r="AZ101" i="32"/>
  <c r="BE101" i="32" s="1"/>
  <c r="AZ106" i="32"/>
  <c r="BI106" i="32" s="1"/>
  <c r="BL56" i="32"/>
  <c r="BA78" i="32"/>
  <c r="BI96" i="32"/>
  <c r="BY140" i="32"/>
  <c r="CA88" i="32"/>
  <c r="BH81" i="32"/>
  <c r="BI94" i="32"/>
  <c r="CD135" i="32"/>
  <c r="CB135" i="32"/>
  <c r="BF95" i="32"/>
  <c r="BP78" i="32"/>
  <c r="BO78" i="32"/>
  <c r="BN124" i="32"/>
  <c r="BS124" i="32"/>
  <c r="BN147" i="32"/>
  <c r="BL71" i="32"/>
  <c r="BA95" i="32"/>
  <c r="BX59" i="32"/>
  <c r="BY59" i="32" s="1"/>
  <c r="CB88" i="32"/>
  <c r="BD95" i="32"/>
  <c r="CA94" i="32"/>
  <c r="BZ88" i="32"/>
  <c r="CC132" i="32"/>
  <c r="BI76" i="32"/>
  <c r="BN106" i="32"/>
  <c r="BS96" i="32"/>
  <c r="BN107" i="32"/>
  <c r="BZ135" i="32"/>
  <c r="BC95" i="32"/>
  <c r="BQ78" i="32"/>
  <c r="BM110" i="32"/>
  <c r="BT124" i="32"/>
  <c r="BP95" i="32"/>
  <c r="BL106" i="32"/>
  <c r="BL107" i="32"/>
  <c r="BV110" i="32"/>
  <c r="CB110" i="32" s="1"/>
  <c r="BL78" i="32"/>
  <c r="BL124" i="32"/>
  <c r="BX113" i="32"/>
  <c r="BY113" i="32"/>
  <c r="CE84" i="32"/>
  <c r="CE111" i="32"/>
  <c r="BY111" i="32"/>
  <c r="BZ140" i="32"/>
  <c r="CB153" i="32"/>
  <c r="CB109" i="32"/>
  <c r="CC109" i="32"/>
  <c r="BF96" i="32"/>
  <c r="BF86" i="32"/>
  <c r="BI86" i="32"/>
  <c r="BC76" i="32"/>
  <c r="BC80" i="32"/>
  <c r="BB80" i="32"/>
  <c r="BC81" i="32"/>
  <c r="BD78" i="32"/>
  <c r="BC78" i="32"/>
  <c r="BI111" i="32"/>
  <c r="CA151" i="32"/>
  <c r="BX136" i="32"/>
  <c r="CA136" i="32"/>
  <c r="CB99" i="32"/>
  <c r="CE124" i="32"/>
  <c r="BG84" i="32"/>
  <c r="BH84" i="32"/>
  <c r="BF148" i="32"/>
  <c r="BB136" i="32"/>
  <c r="BE136" i="32"/>
  <c r="BS142" i="32"/>
  <c r="BN142" i="32"/>
  <c r="BS102" i="32"/>
  <c r="BQ102" i="32"/>
  <c r="BP116" i="32"/>
  <c r="BV112" i="32"/>
  <c r="CD112" i="32" s="1"/>
  <c r="BK72" i="32"/>
  <c r="BP72" i="32" s="1"/>
  <c r="BL142" i="32"/>
  <c r="BW79" i="32"/>
  <c r="AZ117" i="32"/>
  <c r="BI117" i="32" s="1"/>
  <c r="BA84" i="32"/>
  <c r="BA136" i="32"/>
  <c r="BW58" i="32"/>
  <c r="CD113" i="32"/>
  <c r="BY94" i="32"/>
  <c r="CA79" i="32"/>
  <c r="BX111" i="32"/>
  <c r="CA106" i="32"/>
  <c r="CE109" i="32"/>
  <c r="BI122" i="32"/>
  <c r="BD86" i="32"/>
  <c r="BI80" i="32"/>
  <c r="BB78" i="32"/>
  <c r="BH120" i="32"/>
  <c r="BE142" i="32"/>
  <c r="BS143" i="32"/>
  <c r="CE136" i="32"/>
  <c r="CA134" i="32"/>
  <c r="CB108" i="32"/>
  <c r="BE84" i="32"/>
  <c r="BC136" i="32"/>
  <c r="BQ142" i="32"/>
  <c r="BM102" i="32"/>
  <c r="BA122" i="32"/>
  <c r="BW109" i="32"/>
  <c r="BV66" i="32"/>
  <c r="CC66" i="32" s="1"/>
  <c r="BK114" i="32"/>
  <c r="BT114" i="32" s="1"/>
  <c r="BW111" i="32"/>
  <c r="BK77" i="32"/>
  <c r="BP77" i="32" s="1"/>
  <c r="BW113" i="32"/>
  <c r="BK136" i="32"/>
  <c r="BQ136" i="32" s="1"/>
  <c r="AZ151" i="32"/>
  <c r="BB151" i="32" s="1"/>
  <c r="CA99" i="32"/>
  <c r="CA97" i="32"/>
  <c r="BL55" i="32"/>
  <c r="BG76" i="32"/>
  <c r="BB76" i="32"/>
  <c r="BE81" i="32"/>
  <c r="BD94" i="32"/>
  <c r="BM132" i="32"/>
  <c r="CE151" i="32"/>
  <c r="CD124" i="32"/>
  <c r="BR147" i="32"/>
  <c r="BO116" i="32"/>
  <c r="BM95" i="32"/>
  <c r="BV55" i="32"/>
  <c r="CA55" i="32" s="1"/>
  <c r="AZ138" i="32"/>
  <c r="BC138" i="32" s="1"/>
  <c r="BL109" i="32"/>
  <c r="CC84" i="32"/>
  <c r="CB140" i="32"/>
  <c r="CE106" i="32"/>
  <c r="CD132" i="32"/>
  <c r="BC96" i="32"/>
  <c r="BD96" i="32"/>
  <c r="BD81" i="32"/>
  <c r="CD140" i="32"/>
  <c r="CA132" i="32"/>
  <c r="BZ153" i="32"/>
  <c r="BF76" i="32"/>
  <c r="BB81" i="32"/>
  <c r="BI81" i="32"/>
  <c r="BX148" i="32"/>
  <c r="BF94" i="32"/>
  <c r="BB89" i="32"/>
  <c r="BR109" i="32"/>
  <c r="BQ132" i="32"/>
  <c r="CB151" i="32"/>
  <c r="CC116" i="32"/>
  <c r="BH82" i="32"/>
  <c r="BO147" i="32"/>
  <c r="BN116" i="32"/>
  <c r="BR127" i="32"/>
  <c r="BW84" i="32"/>
  <c r="BA81" i="32"/>
  <c r="AZ104" i="32"/>
  <c r="BI104" i="32" s="1"/>
  <c r="BW132" i="32"/>
  <c r="AZ65" i="32"/>
  <c r="BB65" i="32" s="1"/>
  <c r="BC65" i="32" s="1"/>
  <c r="BK134" i="32"/>
  <c r="BS134" i="32" s="1"/>
  <c r="BL59" i="32"/>
  <c r="CE94" i="32"/>
  <c r="BX94" i="32"/>
  <c r="CB79" i="32"/>
  <c r="CE79" i="32"/>
  <c r="BX140" i="32"/>
  <c r="CE132" i="32"/>
  <c r="CD153" i="32"/>
  <c r="BY153" i="32"/>
  <c r="CB94" i="32"/>
  <c r="CC94" i="32"/>
  <c r="CB84" i="32"/>
  <c r="CC79" i="32"/>
  <c r="BX79" i="32"/>
  <c r="CC140" i="32"/>
  <c r="BX106" i="32"/>
  <c r="BZ132" i="32"/>
  <c r="CC153" i="32"/>
  <c r="BG96" i="32"/>
  <c r="BH96" i="32"/>
  <c r="BE76" i="32"/>
  <c r="BZ94" i="32"/>
  <c r="BZ84" i="32"/>
  <c r="BZ79" i="32"/>
  <c r="CE140" i="32"/>
  <c r="CC106" i="32"/>
  <c r="BY132" i="32"/>
  <c r="BX153" i="32"/>
  <c r="BE96" i="32"/>
  <c r="BH76" i="32"/>
  <c r="BG81" i="32"/>
  <c r="CE148" i="32"/>
  <c r="BE94" i="32"/>
  <c r="BQ109" i="32"/>
  <c r="BX151" i="32"/>
  <c r="CD116" i="32"/>
  <c r="CC108" i="32"/>
  <c r="BF82" i="32"/>
  <c r="BP147" i="32"/>
  <c r="BN112" i="32"/>
  <c r="BR116" i="32"/>
  <c r="BM127" i="32"/>
  <c r="BW59" i="32"/>
  <c r="AZ147" i="32"/>
  <c r="BG147" i="32" s="1"/>
  <c r="BW94" i="32"/>
  <c r="BL95" i="32"/>
  <c r="BY95" i="32"/>
  <c r="BT139" i="32"/>
  <c r="BW65" i="32"/>
  <c r="AZ72" i="32"/>
  <c r="BB72" i="32" s="1"/>
  <c r="BO144" i="32"/>
  <c r="BI120" i="32"/>
  <c r="BC111" i="32"/>
  <c r="BG142" i="32"/>
  <c r="BB142" i="32"/>
  <c r="BO143" i="32"/>
  <c r="AZ116" i="32"/>
  <c r="BI116" i="32" s="1"/>
  <c r="BA69" i="32"/>
  <c r="BW134" i="32"/>
  <c r="BD120" i="32"/>
  <c r="BF120" i="32"/>
  <c r="BB111" i="32"/>
  <c r="BF111" i="32"/>
  <c r="BF142" i="32"/>
  <c r="BI142" i="32"/>
  <c r="BQ143" i="32"/>
  <c r="BN143" i="32"/>
  <c r="CC134" i="32"/>
  <c r="BY134" i="32"/>
  <c r="BX99" i="32"/>
  <c r="CE99" i="32"/>
  <c r="CB97" i="32"/>
  <c r="CE97" i="32"/>
  <c r="BA142" i="32"/>
  <c r="AZ90" i="32"/>
  <c r="BB90" i="32" s="1"/>
  <c r="AZ61" i="32"/>
  <c r="BE61" i="32" s="1"/>
  <c r="BE120" i="32"/>
  <c r="BG111" i="32"/>
  <c r="BR143" i="32"/>
  <c r="CB134" i="32"/>
  <c r="CD134" i="32"/>
  <c r="CD99" i="32"/>
  <c r="BY99" i="32"/>
  <c r="BY97" i="32"/>
  <c r="CC97" i="32"/>
  <c r="BB120" i="32"/>
  <c r="BE111" i="32"/>
  <c r="BC142" i="32"/>
  <c r="BT143" i="32"/>
  <c r="BX134" i="32"/>
  <c r="BZ99" i="32"/>
  <c r="BZ97" i="32"/>
  <c r="BW97" i="32"/>
  <c r="BK87" i="32"/>
  <c r="BX84" i="32"/>
  <c r="CD84" i="32"/>
  <c r="CD106" i="32"/>
  <c r="BZ106" i="32"/>
  <c r="CA148" i="32"/>
  <c r="CC148" i="32"/>
  <c r="BB94" i="32"/>
  <c r="BG94" i="32"/>
  <c r="BH89" i="32"/>
  <c r="BN109" i="32"/>
  <c r="BT109" i="32"/>
  <c r="BO132" i="32"/>
  <c r="BN132" i="32"/>
  <c r="CC151" i="32"/>
  <c r="BZ151" i="32"/>
  <c r="CB116" i="32"/>
  <c r="CA95" i="32"/>
  <c r="CA124" i="32"/>
  <c r="CB124" i="32"/>
  <c r="CE108" i="32"/>
  <c r="CA108" i="32"/>
  <c r="BI82" i="32"/>
  <c r="BC82" i="32"/>
  <c r="BI148" i="32"/>
  <c r="BH148" i="32"/>
  <c r="BM147" i="32"/>
  <c r="BS147" i="32"/>
  <c r="BO112" i="32"/>
  <c r="BT116" i="32"/>
  <c r="BS116" i="32"/>
  <c r="BT95" i="32"/>
  <c r="BS95" i="32"/>
  <c r="BQ127" i="32"/>
  <c r="BN127" i="32"/>
  <c r="BS139" i="32"/>
  <c r="BW116" i="32"/>
  <c r="BV107" i="32"/>
  <c r="CC107" i="32" s="1"/>
  <c r="BA96" i="32"/>
  <c r="BV81" i="32"/>
  <c r="CE81" i="32" s="1"/>
  <c r="BV130" i="32"/>
  <c r="BX130" i="32" s="1"/>
  <c r="BL116" i="32"/>
  <c r="BW148" i="32"/>
  <c r="BL132" i="32"/>
  <c r="BW153" i="32"/>
  <c r="AZ75" i="32"/>
  <c r="BH75" i="32" s="1"/>
  <c r="BV146" i="32"/>
  <c r="CC146" i="32" s="1"/>
  <c r="CB148" i="32"/>
  <c r="BS109" i="32"/>
  <c r="BR132" i="32"/>
  <c r="CC124" i="32"/>
  <c r="BE82" i="32"/>
  <c r="BB82" i="32"/>
  <c r="BD148" i="32"/>
  <c r="BG148" i="32"/>
  <c r="BM112" i="32"/>
  <c r="BT112" i="32"/>
  <c r="BN95" i="32"/>
  <c r="BR95" i="32"/>
  <c r="BP127" i="32"/>
  <c r="BT127" i="32"/>
  <c r="BW106" i="32"/>
  <c r="BW151" i="32"/>
  <c r="BW124" i="32"/>
  <c r="BK94" i="32"/>
  <c r="BN94" i="32" s="1"/>
  <c r="BL127" i="32"/>
  <c r="BV87" i="32"/>
  <c r="CC87" i="32" s="1"/>
  <c r="BW108" i="32"/>
  <c r="BV80" i="32"/>
  <c r="CC80" i="32" s="1"/>
  <c r="BZ148" i="32"/>
  <c r="BF89" i="32"/>
  <c r="BM109" i="32"/>
  <c r="BP132" i="32"/>
  <c r="BY116" i="32"/>
  <c r="CE95" i="32"/>
  <c r="BZ124" i="32"/>
  <c r="BX108" i="32"/>
  <c r="BY108" i="32"/>
  <c r="BY84" i="32"/>
  <c r="BY106" i="32"/>
  <c r="BX132" i="32"/>
  <c r="BY148" i="32"/>
  <c r="BH94" i="32"/>
  <c r="BI89" i="32"/>
  <c r="BO109" i="32"/>
  <c r="BS132" i="32"/>
  <c r="CD151" i="32"/>
  <c r="CA116" i="32"/>
  <c r="BZ116" i="32"/>
  <c r="CC95" i="32"/>
  <c r="BX124" i="32"/>
  <c r="BZ108" i="32"/>
  <c r="BD82" i="32"/>
  <c r="BC148" i="32"/>
  <c r="BQ147" i="32"/>
  <c r="BP112" i="32"/>
  <c r="BS112" i="32"/>
  <c r="BM116" i="32"/>
  <c r="BQ95" i="32"/>
  <c r="BO127" i="32"/>
  <c r="BA76" i="32"/>
  <c r="BK133" i="32"/>
  <c r="BP133" i="32" s="1"/>
  <c r="BA82" i="32"/>
  <c r="BL147" i="32"/>
  <c r="BW135" i="32"/>
  <c r="BK89" i="32"/>
  <c r="BM89" i="32" s="1"/>
  <c r="BW140" i="32"/>
  <c r="BK69" i="32"/>
  <c r="BP69" i="32" s="1"/>
  <c r="BV82" i="32"/>
  <c r="BX82" i="32" s="1"/>
  <c r="BK62" i="32"/>
  <c r="BP62" i="32" s="1"/>
  <c r="BW99" i="32"/>
  <c r="BA94" i="32"/>
  <c r="AZ143" i="32"/>
  <c r="BG143" i="32" s="1"/>
  <c r="CC122" i="32"/>
  <c r="BC144" i="32"/>
  <c r="BD109" i="32"/>
  <c r="BS97" i="32"/>
  <c r="BZ120" i="32"/>
  <c r="BG144" i="32"/>
  <c r="BI133" i="32"/>
  <c r="BG133" i="32"/>
  <c r="BI109" i="32"/>
  <c r="BF92" i="32"/>
  <c r="BT130" i="32"/>
  <c r="BT97" i="32"/>
  <c r="BO97" i="32"/>
  <c r="CD75" i="32"/>
  <c r="CA150" i="32"/>
  <c r="BF139" i="32"/>
  <c r="BM104" i="32"/>
  <c r="BS115" i="32"/>
  <c r="BX98" i="32"/>
  <c r="CB104" i="32"/>
  <c r="BE119" i="32"/>
  <c r="BH124" i="32"/>
  <c r="BH100" i="32"/>
  <c r="BB149" i="32"/>
  <c r="BR113" i="32"/>
  <c r="BM152" i="32"/>
  <c r="BW120" i="32"/>
  <c r="BW76" i="32"/>
  <c r="BK79" i="32"/>
  <c r="BQ79" i="32" s="1"/>
  <c r="BL152" i="32"/>
  <c r="BX122" i="32"/>
  <c r="CE143" i="32"/>
  <c r="BH144" i="32"/>
  <c r="BE133" i="32"/>
  <c r="BH109" i="32"/>
  <c r="BI92" i="32"/>
  <c r="BQ130" i="32"/>
  <c r="BP97" i="32"/>
  <c r="BR97" i="32"/>
  <c r="CB68" i="32"/>
  <c r="BI153" i="32"/>
  <c r="BT88" i="32"/>
  <c r="BP115" i="32"/>
  <c r="BY76" i="32"/>
  <c r="CC104" i="32"/>
  <c r="BE59" i="32"/>
  <c r="BI128" i="32"/>
  <c r="CB72" i="32"/>
  <c r="BF152" i="32"/>
  <c r="BL73" i="32"/>
  <c r="BA100" i="32"/>
  <c r="BV63" i="32"/>
  <c r="BY63" i="32" s="1"/>
  <c r="CB63" i="32" s="1"/>
  <c r="BW75" i="32"/>
  <c r="CC143" i="32"/>
  <c r="BE92" i="32"/>
  <c r="BR130" i="32"/>
  <c r="BZ75" i="32"/>
  <c r="BY150" i="32"/>
  <c r="BH139" i="32"/>
  <c r="BN104" i="32"/>
  <c r="BT115" i="32"/>
  <c r="BZ76" i="32"/>
  <c r="CA104" i="32"/>
  <c r="BE124" i="32"/>
  <c r="BG100" i="32"/>
  <c r="BI152" i="32"/>
  <c r="BT152" i="32"/>
  <c r="AZ79" i="32"/>
  <c r="BF79" i="32" s="1"/>
  <c r="BK90" i="32"/>
  <c r="BM90" i="32" s="1"/>
  <c r="BL115" i="32"/>
  <c r="BV126" i="32"/>
  <c r="BZ126" i="32" s="1"/>
  <c r="BL113" i="32"/>
  <c r="BA152" i="32"/>
  <c r="BQ139" i="32"/>
  <c r="BO139" i="32"/>
  <c r="BE89" i="32"/>
  <c r="BG89" i="32"/>
  <c r="BZ95" i="32"/>
  <c r="CD95" i="32"/>
  <c r="BN139" i="32"/>
  <c r="BR139" i="32"/>
  <c r="BV145" i="32"/>
  <c r="CE145" i="32" s="1"/>
  <c r="BL76" i="32"/>
  <c r="BV101" i="32"/>
  <c r="CB101" i="32" s="1"/>
  <c r="BC89" i="32"/>
  <c r="CE116" i="32"/>
  <c r="BX95" i="32"/>
  <c r="BB148" i="32"/>
  <c r="BQ112" i="32"/>
  <c r="BM139" i="32"/>
  <c r="BA148" i="32"/>
  <c r="BL112" i="32"/>
  <c r="BB131" i="32"/>
  <c r="BA112" i="32"/>
  <c r="BL144" i="32"/>
  <c r="BW54" i="32"/>
  <c r="BK91" i="32"/>
  <c r="BO91" i="32" s="1"/>
  <c r="BL139" i="32"/>
  <c r="CB122" i="32"/>
  <c r="BX143" i="32"/>
  <c r="CD120" i="32"/>
  <c r="BY120" i="32"/>
  <c r="CC68" i="32"/>
  <c r="BN88" i="32"/>
  <c r="BP88" i="32"/>
  <c r="BS104" i="32"/>
  <c r="BZ122" i="32"/>
  <c r="CD122" i="32"/>
  <c r="BZ143" i="32"/>
  <c r="CA143" i="32"/>
  <c r="CA120" i="32"/>
  <c r="BX120" i="32"/>
  <c r="BE144" i="32"/>
  <c r="BB144" i="32"/>
  <c r="BB109" i="32"/>
  <c r="BF109" i="32"/>
  <c r="BC92" i="32"/>
  <c r="BD92" i="32"/>
  <c r="BS130" i="32"/>
  <c r="BO130" i="32"/>
  <c r="CE75" i="32"/>
  <c r="BX75" i="32"/>
  <c r="CD68" i="32"/>
  <c r="BZ68" i="32"/>
  <c r="CB150" i="32"/>
  <c r="BX150" i="32"/>
  <c r="BC153" i="32"/>
  <c r="BG153" i="32"/>
  <c r="BD139" i="32"/>
  <c r="BE139" i="32"/>
  <c r="BR88" i="32"/>
  <c r="BQ88" i="32"/>
  <c r="BP104" i="32"/>
  <c r="BT104" i="32"/>
  <c r="BR115" i="32"/>
  <c r="BO115" i="32"/>
  <c r="CD98" i="32"/>
  <c r="BZ98" i="32"/>
  <c r="BX76" i="32"/>
  <c r="CA76" i="32"/>
  <c r="BX62" i="32"/>
  <c r="BY62" i="32" s="1"/>
  <c r="CE104" i="32"/>
  <c r="BZ104" i="32"/>
  <c r="BI119" i="32"/>
  <c r="BH119" i="32"/>
  <c r="BD124" i="32"/>
  <c r="BC124" i="32"/>
  <c r="BG128" i="32"/>
  <c r="BH128" i="32"/>
  <c r="BN121" i="32"/>
  <c r="BR121" i="32"/>
  <c r="BY72" i="32"/>
  <c r="CD72" i="32"/>
  <c r="BB100" i="32"/>
  <c r="BE100" i="32"/>
  <c r="BH149" i="32"/>
  <c r="BE149" i="32"/>
  <c r="BE152" i="32"/>
  <c r="BH152" i="32"/>
  <c r="BP113" i="32"/>
  <c r="BS113" i="32"/>
  <c r="BO152" i="32"/>
  <c r="BQ152" i="32"/>
  <c r="BW122" i="32"/>
  <c r="BW72" i="32"/>
  <c r="BK126" i="32"/>
  <c r="BO126" i="32" s="1"/>
  <c r="BW98" i="32"/>
  <c r="BA149" i="32"/>
  <c r="BL97" i="32"/>
  <c r="BL130" i="32"/>
  <c r="AZ130" i="32"/>
  <c r="BH130" i="32" s="1"/>
  <c r="BV73" i="32"/>
  <c r="CA73" i="32" s="1"/>
  <c r="BA139" i="32"/>
  <c r="BK137" i="32"/>
  <c r="BS137" i="32" s="1"/>
  <c r="BA128" i="32"/>
  <c r="BV123" i="32"/>
  <c r="CB123" i="32" s="1"/>
  <c r="BK150" i="32"/>
  <c r="BT150" i="32" s="1"/>
  <c r="BA153" i="32"/>
  <c r="BA68" i="32"/>
  <c r="CD143" i="32"/>
  <c r="BY75" i="32"/>
  <c r="BZ150" i="32"/>
  <c r="CE150" i="32"/>
  <c r="BD153" i="32"/>
  <c r="BE153" i="32"/>
  <c r="BC139" i="32"/>
  <c r="BG139" i="32"/>
  <c r="BO104" i="32"/>
  <c r="BY122" i="32"/>
  <c r="CA122" i="32"/>
  <c r="CB143" i="32"/>
  <c r="CC120" i="32"/>
  <c r="BF144" i="32"/>
  <c r="BC109" i="32"/>
  <c r="BG92" i="32"/>
  <c r="BP130" i="32"/>
  <c r="CA75" i="32"/>
  <c r="CC75" i="32"/>
  <c r="BY68" i="32"/>
  <c r="CA68" i="32"/>
  <c r="CD150" i="32"/>
  <c r="BB153" i="32"/>
  <c r="BB139" i="32"/>
  <c r="BM88" i="32"/>
  <c r="BQ104" i="32"/>
  <c r="BM115" i="32"/>
  <c r="CE98" i="32"/>
  <c r="BY98" i="32"/>
  <c r="CB76" i="32"/>
  <c r="CE76" i="32"/>
  <c r="CD104" i="32"/>
  <c r="BD119" i="32"/>
  <c r="BG119" i="32"/>
  <c r="BI124" i="32"/>
  <c r="BB124" i="32"/>
  <c r="BE128" i="32"/>
  <c r="BB128" i="32"/>
  <c r="BT121" i="32"/>
  <c r="CA72" i="32"/>
  <c r="CE72" i="32"/>
  <c r="BC100" i="32"/>
  <c r="BD100" i="32"/>
  <c r="BC149" i="32"/>
  <c r="BG149" i="32"/>
  <c r="BC152" i="32"/>
  <c r="BD152" i="32"/>
  <c r="BM113" i="32"/>
  <c r="BT113" i="32"/>
  <c r="BR152" i="32"/>
  <c r="BS152" i="32"/>
  <c r="BL70" i="32"/>
  <c r="BA133" i="32"/>
  <c r="BK149" i="32"/>
  <c r="BO149" i="32" s="1"/>
  <c r="BV129" i="32"/>
  <c r="CC129" i="32" s="1"/>
  <c r="BV114" i="32"/>
  <c r="BZ114" i="32" s="1"/>
  <c r="AZ71" i="32"/>
  <c r="BB71" i="32" s="1"/>
  <c r="BC71" i="32" s="1"/>
  <c r="BD71" i="32" s="1"/>
  <c r="BA144" i="32"/>
  <c r="BK61" i="32"/>
  <c r="BP61" i="32" s="1"/>
  <c r="BV100" i="32"/>
  <c r="BY100" i="32" s="1"/>
  <c r="AZ137" i="32"/>
  <c r="BI137" i="32" s="1"/>
  <c r="BL88" i="32"/>
  <c r="BK67" i="32"/>
  <c r="BM67" i="32" s="1"/>
  <c r="BN67" i="32" s="1"/>
  <c r="AZ102" i="32"/>
  <c r="BF102" i="32" s="1"/>
  <c r="BV141" i="32"/>
  <c r="CC141" i="32" s="1"/>
  <c r="CB98" i="32"/>
  <c r="CD76" i="32"/>
  <c r="BF119" i="32"/>
  <c r="BG124" i="32"/>
  <c r="BC128" i="32"/>
  <c r="BX72" i="32"/>
  <c r="BI100" i="32"/>
  <c r="BD149" i="32"/>
  <c r="BG152" i="32"/>
  <c r="BN113" i="32"/>
  <c r="BN152" i="32"/>
  <c r="BV133" i="32"/>
  <c r="CD133" i="32" s="1"/>
  <c r="AZ85" i="32"/>
  <c r="BD85" i="32" s="1"/>
  <c r="BA109" i="32"/>
  <c r="BW104" i="32"/>
  <c r="BA119" i="32"/>
  <c r="AZ125" i="32"/>
  <c r="BF125" i="32" s="1"/>
  <c r="BK101" i="32"/>
  <c r="BQ101" i="32" s="1"/>
  <c r="BK64" i="32"/>
  <c r="BP64" i="32" s="1"/>
  <c r="BB68" i="32"/>
  <c r="BC68" i="32" s="1"/>
  <c r="BW62" i="32"/>
  <c r="BW143" i="32"/>
  <c r="BV127" i="32"/>
  <c r="BZ127" i="32" s="1"/>
  <c r="BK128" i="32"/>
  <c r="BQ128" i="32" s="1"/>
  <c r="BK75" i="32"/>
  <c r="BM75" i="32" s="1"/>
  <c r="BN75" i="32" s="1"/>
  <c r="BV89" i="32"/>
  <c r="CE89" i="32" s="1"/>
  <c r="BW95" i="32"/>
  <c r="BV103" i="32"/>
  <c r="CA103" i="32" s="1"/>
  <c r="BW150" i="32"/>
  <c r="BK145" i="32"/>
  <c r="BS145" i="32" s="1"/>
  <c r="AZ126" i="32"/>
  <c r="BH126" i="32" s="1"/>
  <c r="BV83" i="32"/>
  <c r="BY83" i="32" s="1"/>
  <c r="BL82" i="32"/>
  <c r="BK125" i="32"/>
  <c r="BN125" i="32" s="1"/>
  <c r="BV96" i="32"/>
  <c r="CB96" i="32" s="1"/>
  <c r="BA120" i="32"/>
  <c r="BV56" i="32"/>
  <c r="BX56" i="32" s="1"/>
  <c r="BY56" i="32" s="1"/>
  <c r="BK105" i="32"/>
  <c r="BN105" i="32" s="1"/>
  <c r="BL57" i="32"/>
  <c r="BL104" i="32"/>
  <c r="BL143" i="32"/>
  <c r="BL80" i="32"/>
  <c r="BK80" i="32"/>
  <c r="BN80" i="32" s="1"/>
  <c r="BL58" i="32"/>
  <c r="BK58" i="32"/>
  <c r="BP58" i="32" s="1"/>
  <c r="BT82" i="32"/>
  <c r="BQ82" i="32"/>
  <c r="BS82" i="32"/>
  <c r="BP82" i="32"/>
  <c r="BR82" i="32"/>
  <c r="BO82" i="32"/>
  <c r="AZ87" i="32"/>
  <c r="BA87" i="32"/>
  <c r="BK54" i="32"/>
  <c r="BL54" i="32"/>
  <c r="BM55" i="32" s="1"/>
  <c r="BN55" i="32" s="1"/>
  <c r="BO55" i="32" s="1"/>
  <c r="BZ118" i="32"/>
  <c r="BY118" i="32"/>
  <c r="BX118" i="32"/>
  <c r="CA118" i="32"/>
  <c r="CB118" i="32"/>
  <c r="CC118" i="32"/>
  <c r="BV117" i="32"/>
  <c r="BW117" i="32"/>
  <c r="BW139" i="32"/>
  <c r="BV139" i="32"/>
  <c r="CE139" i="32" s="1"/>
  <c r="CA57" i="32"/>
  <c r="BX57" i="32"/>
  <c r="BY57" i="32" s="1"/>
  <c r="BZ57" i="32" s="1"/>
  <c r="BV105" i="32"/>
  <c r="BW105" i="32"/>
  <c r="BV102" i="32"/>
  <c r="BW102" i="32"/>
  <c r="BW149" i="32"/>
  <c r="BV149" i="32"/>
  <c r="CD149" i="32" s="1"/>
  <c r="BW67" i="32"/>
  <c r="BV67" i="32"/>
  <c r="CA67" i="32" s="1"/>
  <c r="BV91" i="32"/>
  <c r="BW91" i="32"/>
  <c r="BA64" i="32"/>
  <c r="AZ64" i="32"/>
  <c r="BB64" i="32" s="1"/>
  <c r="BC64" i="32" s="1"/>
  <c r="BD64" i="32" s="1"/>
  <c r="BA62" i="32"/>
  <c r="AZ62" i="32"/>
  <c r="BB62" i="32" s="1"/>
  <c r="BC62" i="32" s="1"/>
  <c r="AZ118" i="32"/>
  <c r="BA118" i="32"/>
  <c r="BL84" i="32"/>
  <c r="BK84" i="32"/>
  <c r="BQ84" i="32" s="1"/>
  <c r="BL60" i="32"/>
  <c r="BK60" i="32"/>
  <c r="BP60" i="32" s="1"/>
  <c r="BA134" i="32"/>
  <c r="AZ134" i="32"/>
  <c r="BH134" i="32" s="1"/>
  <c r="BA127" i="32"/>
  <c r="AZ127" i="32"/>
  <c r="BC131" i="32"/>
  <c r="BT153" i="32"/>
  <c r="BK93" i="32"/>
  <c r="BS93" i="32" s="1"/>
  <c r="BV144" i="32"/>
  <c r="BW77" i="32"/>
  <c r="BV77" i="32"/>
  <c r="CD77" i="32" s="1"/>
  <c r="BA146" i="32"/>
  <c r="AZ146" i="32"/>
  <c r="BG146" i="32" s="1"/>
  <c r="BW92" i="32"/>
  <c r="BV92" i="32"/>
  <c r="CA92" i="32" s="1"/>
  <c r="BV70" i="32"/>
  <c r="BW70" i="32"/>
  <c r="BV90" i="32"/>
  <c r="BW90" i="32"/>
  <c r="BA99" i="32"/>
  <c r="AZ99" i="32"/>
  <c r="BI99" i="32" s="1"/>
  <c r="AZ150" i="32"/>
  <c r="BA150" i="32"/>
  <c r="BW78" i="32"/>
  <c r="BV78" i="32"/>
  <c r="BY78" i="32" s="1"/>
  <c r="BK120" i="32"/>
  <c r="BL120" i="32"/>
  <c r="BV121" i="32"/>
  <c r="BW121" i="32"/>
  <c r="AZ97" i="32"/>
  <c r="BA97" i="32"/>
  <c r="AZ73" i="32"/>
  <c r="BD73" i="32" s="1"/>
  <c r="BA73" i="32"/>
  <c r="BP144" i="32"/>
  <c r="BM144" i="32"/>
  <c r="BS144" i="32"/>
  <c r="BR144" i="32"/>
  <c r="BQ144" i="32"/>
  <c r="BT144" i="32"/>
  <c r="AZ110" i="32"/>
  <c r="BA110" i="32"/>
  <c r="BQ100" i="32"/>
  <c r="BM100" i="32"/>
  <c r="BR100" i="32"/>
  <c r="BO100" i="32"/>
  <c r="BN100" i="32"/>
  <c r="BP100" i="32"/>
  <c r="BA66" i="32"/>
  <c r="AZ66" i="32"/>
  <c r="BE66" i="32" s="1"/>
  <c r="BL92" i="32"/>
  <c r="BK92" i="32"/>
  <c r="BS92" i="32" s="1"/>
  <c r="BG74" i="32"/>
  <c r="BH74" i="32"/>
  <c r="BB74" i="32"/>
  <c r="BE74" i="32"/>
  <c r="BC74" i="32"/>
  <c r="BF74" i="32"/>
  <c r="BA113" i="32"/>
  <c r="AZ113" i="32"/>
  <c r="BH113" i="32" s="1"/>
  <c r="BK131" i="32"/>
  <c r="BL131" i="32"/>
  <c r="AZ105" i="32"/>
  <c r="BA105" i="32"/>
  <c r="BT100" i="32"/>
  <c r="CD118" i="32"/>
  <c r="BE58" i="32"/>
  <c r="BD74" i="32"/>
  <c r="BL100" i="32"/>
  <c r="BW118" i="32"/>
  <c r="BA63" i="32"/>
  <c r="AZ55" i="32"/>
  <c r="BB55" i="32" s="1"/>
  <c r="BC55" i="32" s="1"/>
  <c r="BD55" i="32" s="1"/>
  <c r="BL123" i="32"/>
  <c r="BK123" i="32"/>
  <c r="BM123" i="32" s="1"/>
  <c r="AZ108" i="32"/>
  <c r="BA108" i="32"/>
  <c r="BA83" i="32"/>
  <c r="AZ83" i="32"/>
  <c r="BD83" i="32" s="1"/>
  <c r="AZ67" i="32"/>
  <c r="BE67" i="32" s="1"/>
  <c r="BA67" i="32"/>
  <c r="BB112" i="32"/>
  <c r="BG112" i="32"/>
  <c r="BC112" i="32"/>
  <c r="BE112" i="32"/>
  <c r="BD112" i="32"/>
  <c r="BF112" i="32"/>
  <c r="BK129" i="32"/>
  <c r="BL129" i="32"/>
  <c r="BV138" i="32"/>
  <c r="BW138" i="32"/>
  <c r="BK99" i="32"/>
  <c r="BL99" i="32"/>
  <c r="BO153" i="32"/>
  <c r="BQ153" i="32"/>
  <c r="BR153" i="32"/>
  <c r="BN153" i="32"/>
  <c r="BS153" i="32"/>
  <c r="BM153" i="32"/>
  <c r="AZ70" i="32"/>
  <c r="BA70" i="32"/>
  <c r="BV152" i="32"/>
  <c r="BW152" i="32"/>
  <c r="BV61" i="32"/>
  <c r="BW61" i="32"/>
  <c r="BA141" i="32"/>
  <c r="AZ141" i="32"/>
  <c r="BH141" i="32" s="1"/>
  <c r="BI131" i="32"/>
  <c r="BH131" i="32"/>
  <c r="BE131" i="32"/>
  <c r="BD131" i="32"/>
  <c r="BW137" i="32"/>
  <c r="BV137" i="32"/>
  <c r="BY137" i="32" s="1"/>
  <c r="AZ140" i="32"/>
  <c r="BA140" i="32"/>
  <c r="BA121" i="32"/>
  <c r="AZ121" i="32"/>
  <c r="BC121" i="32" s="1"/>
  <c r="BK83" i="32"/>
  <c r="BL83" i="32"/>
  <c r="BL68" i="32"/>
  <c r="BK68" i="32"/>
  <c r="BP68" i="32" s="1"/>
  <c r="BA114" i="32"/>
  <c r="AZ114" i="32"/>
  <c r="BC114" i="32" s="1"/>
  <c r="BG131" i="32"/>
  <c r="BS100" i="32"/>
  <c r="CE118" i="32"/>
  <c r="BX65" i="32"/>
  <c r="BY65" i="32" s="1"/>
  <c r="BH112" i="32"/>
  <c r="BM82" i="32"/>
  <c r="BL153" i="32"/>
  <c r="BL74" i="32"/>
  <c r="BW57" i="32"/>
  <c r="BA74" i="32"/>
  <c r="BA131" i="32"/>
  <c r="BV128" i="32"/>
  <c r="CA128" i="32" s="1"/>
  <c r="AZ115" i="32"/>
  <c r="BI115" i="32" s="1"/>
  <c r="BV74" i="32"/>
  <c r="BY74" i="32" s="1"/>
  <c r="BK140" i="32"/>
  <c r="BS140" i="32" s="1"/>
  <c r="BA57" i="32"/>
  <c r="BA56" i="32"/>
  <c r="BB56" i="32" s="1"/>
  <c r="BC56" i="32" s="1"/>
  <c r="BD56" i="32" s="1"/>
  <c r="BV64" i="32"/>
  <c r="CA64" i="32" s="1"/>
  <c r="BA58" i="32"/>
  <c r="BA89" i="32"/>
  <c r="BA59" i="32"/>
  <c r="AZ145" i="32"/>
  <c r="BG145" i="32" s="1"/>
  <c r="CB62" i="32"/>
  <c r="BZ54" i="32"/>
  <c r="CB54" i="32"/>
  <c r="CC54" i="32" s="1"/>
  <c r="CD54" i="32" s="1"/>
  <c r="CE54" i="32" s="1"/>
  <c r="BZ59" i="32"/>
  <c r="BZ58" i="32"/>
  <c r="CB58" i="32" s="1"/>
  <c r="BZ65" i="32"/>
  <c r="CB65" i="32"/>
  <c r="BZ62" i="32"/>
  <c r="CB57" i="32"/>
  <c r="BZ60" i="32"/>
  <c r="BB63" i="32"/>
  <c r="BC63" i="32" s="1"/>
  <c r="BD63" i="32" s="1"/>
  <c r="BM73" i="32"/>
  <c r="BN73" i="32" s="1"/>
  <c r="BM74" i="32"/>
  <c r="BN74" i="32" s="1"/>
  <c r="BM70" i="32"/>
  <c r="BN70" i="32" s="1"/>
  <c r="BO70" i="32" s="1"/>
  <c r="BQ70" i="32" s="1"/>
  <c r="BM66" i="32"/>
  <c r="BN66" i="32" s="1"/>
  <c r="BO66" i="32" s="1"/>
  <c r="BM76" i="32"/>
  <c r="BN76" i="32" s="1"/>
  <c r="BO76" i="32" s="1"/>
  <c r="BM65" i="32"/>
  <c r="BN65" i="32" s="1"/>
  <c r="BO65" i="32" s="1"/>
  <c r="BM71" i="32"/>
  <c r="BN71" i="32" s="1"/>
  <c r="BO71" i="32" s="1"/>
  <c r="BO74" i="32"/>
  <c r="BQ74" i="32"/>
  <c r="BO73" i="32"/>
  <c r="BQ73" i="32" s="1"/>
  <c r="BB69" i="32"/>
  <c r="BC69" i="32" s="1"/>
  <c r="BD69" i="32" s="1"/>
  <c r="BD68" i="32"/>
  <c r="BB60" i="32"/>
  <c r="BC60" i="32" s="1"/>
  <c r="BD60" i="32" s="1"/>
  <c r="BM59" i="32"/>
  <c r="BN59" i="32" s="1"/>
  <c r="BO59" i="32" s="1"/>
  <c r="BC106" i="32" l="1"/>
  <c r="CA147" i="32"/>
  <c r="CD147" i="32"/>
  <c r="BE75" i="32"/>
  <c r="BF107" i="32"/>
  <c r="CB83" i="32"/>
  <c r="BZ147" i="32"/>
  <c r="CE147" i="32"/>
  <c r="BX147" i="32"/>
  <c r="BY147" i="32"/>
  <c r="CC147" i="32"/>
  <c r="BC103" i="32"/>
  <c r="BD151" i="32"/>
  <c r="BQ125" i="32"/>
  <c r="BN136" i="32"/>
  <c r="CD71" i="32"/>
  <c r="CA71" i="32"/>
  <c r="BX71" i="32"/>
  <c r="BZ93" i="32"/>
  <c r="BG103" i="32"/>
  <c r="BH103" i="32"/>
  <c r="BX87" i="32"/>
  <c r="BP75" i="32"/>
  <c r="BQ123" i="32"/>
  <c r="BY71" i="32"/>
  <c r="CC71" i="32"/>
  <c r="CB71" i="32"/>
  <c r="CE71" i="32"/>
  <c r="BE103" i="32"/>
  <c r="CE86" i="32"/>
  <c r="BF103" i="32"/>
  <c r="BY93" i="32"/>
  <c r="BY69" i="32"/>
  <c r="BO117" i="32"/>
  <c r="BB132" i="32"/>
  <c r="CE115" i="32"/>
  <c r="CD119" i="32"/>
  <c r="CD93" i="32"/>
  <c r="BD125" i="32"/>
  <c r="BZ131" i="32"/>
  <c r="CA93" i="32"/>
  <c r="CC69" i="32"/>
  <c r="CA85" i="32"/>
  <c r="BZ119" i="32"/>
  <c r="BR86" i="32"/>
  <c r="BS117" i="32"/>
  <c r="CA86" i="32"/>
  <c r="BB103" i="32"/>
  <c r="BD103" i="32"/>
  <c r="BE129" i="32"/>
  <c r="BZ86" i="32"/>
  <c r="BT141" i="32"/>
  <c r="BI98" i="32"/>
  <c r="CC86" i="32"/>
  <c r="BD117" i="32"/>
  <c r="BY87" i="32"/>
  <c r="BQ117" i="32"/>
  <c r="BT117" i="32"/>
  <c r="BD147" i="32"/>
  <c r="CB86" i="32"/>
  <c r="BY145" i="32"/>
  <c r="BD101" i="32"/>
  <c r="BB98" i="32"/>
  <c r="CD146" i="32"/>
  <c r="BI126" i="32"/>
  <c r="BH116" i="32"/>
  <c r="BC123" i="32"/>
  <c r="BS85" i="32"/>
  <c r="BP117" i="32"/>
  <c r="BF98" i="32"/>
  <c r="BX86" i="32"/>
  <c r="CB66" i="32"/>
  <c r="BX66" i="32"/>
  <c r="BX129" i="32"/>
  <c r="BN117" i="32"/>
  <c r="BG129" i="32"/>
  <c r="CD86" i="32"/>
  <c r="BP67" i="32"/>
  <c r="BM117" i="32"/>
  <c r="BT86" i="32"/>
  <c r="BN114" i="32"/>
  <c r="CE85" i="32"/>
  <c r="CB115" i="32"/>
  <c r="BM103" i="32"/>
  <c r="CE93" i="32"/>
  <c r="BN103" i="32"/>
  <c r="BS103" i="32"/>
  <c r="BG132" i="32"/>
  <c r="BS133" i="32"/>
  <c r="BB88" i="32"/>
  <c r="CD85" i="32"/>
  <c r="BM63" i="32"/>
  <c r="BN63" i="32" s="1"/>
  <c r="BO63" i="32" s="1"/>
  <c r="BQ63" i="32" s="1"/>
  <c r="BO103" i="32"/>
  <c r="CA131" i="32"/>
  <c r="BE91" i="32"/>
  <c r="BI132" i="32"/>
  <c r="BD123" i="32"/>
  <c r="BO122" i="32"/>
  <c r="CC85" i="32"/>
  <c r="BQ119" i="32"/>
  <c r="CD115" i="32"/>
  <c r="BQ85" i="32"/>
  <c r="BQ103" i="32"/>
  <c r="CB119" i="32"/>
  <c r="CB93" i="32"/>
  <c r="BY131" i="32"/>
  <c r="BP103" i="32"/>
  <c r="BX93" i="32"/>
  <c r="CE131" i="32"/>
  <c r="CA115" i="32"/>
  <c r="BD106" i="32"/>
  <c r="BC91" i="32"/>
  <c r="CD131" i="32"/>
  <c r="BR123" i="32"/>
  <c r="BS123" i="32"/>
  <c r="CC127" i="32"/>
  <c r="BH106" i="32"/>
  <c r="BF132" i="32"/>
  <c r="BM149" i="32"/>
  <c r="BF123" i="32"/>
  <c r="BR114" i="32"/>
  <c r="BI123" i="32"/>
  <c r="BH104" i="32"/>
  <c r="BS119" i="32"/>
  <c r="CB69" i="32"/>
  <c r="CA69" i="32"/>
  <c r="BZ115" i="32"/>
  <c r="BF88" i="32"/>
  <c r="BY115" i="32"/>
  <c r="BE123" i="32"/>
  <c r="CB131" i="32"/>
  <c r="BX115" i="32"/>
  <c r="BX85" i="32"/>
  <c r="BT136" i="32"/>
  <c r="BX126" i="32"/>
  <c r="BD132" i="32"/>
  <c r="BB104" i="32"/>
  <c r="BF75" i="32"/>
  <c r="CE119" i="32"/>
  <c r="CC131" i="32"/>
  <c r="BE93" i="32"/>
  <c r="BI93" i="32"/>
  <c r="BC93" i="32"/>
  <c r="BF116" i="32"/>
  <c r="BP135" i="32"/>
  <c r="BM69" i="32"/>
  <c r="BN69" i="32" s="1"/>
  <c r="BN119" i="32"/>
  <c r="BS122" i="32"/>
  <c r="BC98" i="32"/>
  <c r="BF93" i="32"/>
  <c r="BE104" i="32"/>
  <c r="BG93" i="32"/>
  <c r="BM114" i="32"/>
  <c r="BO119" i="32"/>
  <c r="BM119" i="32"/>
  <c r="BQ134" i="32"/>
  <c r="BP119" i="32"/>
  <c r="BM126" i="32"/>
  <c r="BD93" i="32"/>
  <c r="CA81" i="32"/>
  <c r="BO86" i="32"/>
  <c r="BR141" i="32"/>
  <c r="BF91" i="32"/>
  <c r="BT111" i="32"/>
  <c r="BO134" i="32"/>
  <c r="BB93" i="32"/>
  <c r="BR119" i="32"/>
  <c r="BP85" i="32"/>
  <c r="BG107" i="32"/>
  <c r="BX127" i="32"/>
  <c r="BN85" i="32"/>
  <c r="BI91" i="32"/>
  <c r="BT85" i="32"/>
  <c r="BD91" i="32"/>
  <c r="BT146" i="32"/>
  <c r="BO141" i="32"/>
  <c r="BB107" i="32"/>
  <c r="CA112" i="32"/>
  <c r="BO146" i="32"/>
  <c r="BC107" i="32"/>
  <c r="BT135" i="32"/>
  <c r="BE151" i="32"/>
  <c r="BE107" i="32"/>
  <c r="BD98" i="32"/>
  <c r="BH123" i="32"/>
  <c r="BG98" i="32"/>
  <c r="BH98" i="32"/>
  <c r="BB147" i="32"/>
  <c r="CA110" i="32"/>
  <c r="BQ146" i="32"/>
  <c r="BR135" i="32"/>
  <c r="BZ66" i="32"/>
  <c r="BI107" i="32"/>
  <c r="BM135" i="32"/>
  <c r="BM85" i="32"/>
  <c r="BH91" i="32"/>
  <c r="CD81" i="32"/>
  <c r="BD107" i="32"/>
  <c r="BO85" i="32"/>
  <c r="BG91" i="32"/>
  <c r="BE85" i="32"/>
  <c r="CB112" i="32"/>
  <c r="BY112" i="32"/>
  <c r="BP141" i="32"/>
  <c r="BS135" i="32"/>
  <c r="BZ112" i="32"/>
  <c r="BN141" i="32"/>
  <c r="BQ135" i="32"/>
  <c r="BM141" i="32"/>
  <c r="BR137" i="32"/>
  <c r="BN135" i="32"/>
  <c r="BP111" i="32"/>
  <c r="BQ105" i="32"/>
  <c r="BM125" i="32"/>
  <c r="BZ129" i="32"/>
  <c r="BT134" i="32"/>
  <c r="BH147" i="32"/>
  <c r="BC129" i="32"/>
  <c r="BT101" i="32"/>
  <c r="CA87" i="32"/>
  <c r="BD129" i="32"/>
  <c r="BF101" i="32"/>
  <c r="BR93" i="32"/>
  <c r="BP93" i="32"/>
  <c r="CB129" i="32"/>
  <c r="BN126" i="32"/>
  <c r="BM134" i="32"/>
  <c r="BN134" i="32"/>
  <c r="BZ145" i="32"/>
  <c r="BB129" i="32"/>
  <c r="BM101" i="32"/>
  <c r="BC101" i="32"/>
  <c r="CE129" i="32"/>
  <c r="CA145" i="32"/>
  <c r="BC147" i="32"/>
  <c r="BB101" i="32"/>
  <c r="CE87" i="32"/>
  <c r="BM137" i="32"/>
  <c r="BO140" i="32"/>
  <c r="CB87" i="32"/>
  <c r="BM72" i="32"/>
  <c r="BN72" i="32" s="1"/>
  <c r="BO72" i="32" s="1"/>
  <c r="BE132" i="32"/>
  <c r="BI147" i="32"/>
  <c r="CD66" i="32"/>
  <c r="BC132" i="32"/>
  <c r="CA66" i="32"/>
  <c r="BX55" i="32"/>
  <c r="BY55" i="32" s="1"/>
  <c r="CB85" i="32"/>
  <c r="BX69" i="32"/>
  <c r="BY85" i="32"/>
  <c r="CE69" i="32"/>
  <c r="BP134" i="32"/>
  <c r="BR103" i="32"/>
  <c r="BY119" i="32"/>
  <c r="BT89" i="32"/>
  <c r="BH129" i="32"/>
  <c r="BM62" i="32"/>
  <c r="BN62" i="32" s="1"/>
  <c r="BY89" i="32"/>
  <c r="BI101" i="32"/>
  <c r="BR134" i="32"/>
  <c r="CC119" i="32"/>
  <c r="BZ89" i="32"/>
  <c r="BH101" i="32"/>
  <c r="BX145" i="32"/>
  <c r="BQ141" i="32"/>
  <c r="BX119" i="32"/>
  <c r="BT79" i="32"/>
  <c r="BP137" i="32"/>
  <c r="BX146" i="32"/>
  <c r="CD69" i="32"/>
  <c r="CA146" i="32"/>
  <c r="BB61" i="32"/>
  <c r="BC61" i="32" s="1"/>
  <c r="BD61" i="32" s="1"/>
  <c r="BF147" i="32"/>
  <c r="CC145" i="32"/>
  <c r="BI129" i="32"/>
  <c r="CB145" i="32"/>
  <c r="BP126" i="32"/>
  <c r="CB146" i="32"/>
  <c r="BG101" i="32"/>
  <c r="CA144" i="32"/>
  <c r="CE144" i="32"/>
  <c r="BH127" i="32"/>
  <c r="BE127" i="32"/>
  <c r="BY127" i="32"/>
  <c r="CA127" i="32"/>
  <c r="CB127" i="32"/>
  <c r="BH102" i="32"/>
  <c r="BG102" i="32"/>
  <c r="BX100" i="32"/>
  <c r="CA100" i="32"/>
  <c r="CD100" i="32"/>
  <c r="CA114" i="32"/>
  <c r="BX114" i="32"/>
  <c r="BD130" i="32"/>
  <c r="BG130" i="32"/>
  <c r="BC130" i="32"/>
  <c r="CA126" i="32"/>
  <c r="CC126" i="32"/>
  <c r="CB126" i="32"/>
  <c r="CD126" i="32"/>
  <c r="BY126" i="32"/>
  <c r="BY81" i="32"/>
  <c r="BZ81" i="32"/>
  <c r="CB81" i="32"/>
  <c r="CC81" i="32"/>
  <c r="BB116" i="32"/>
  <c r="BG116" i="32"/>
  <c r="BD116" i="32"/>
  <c r="BC116" i="32"/>
  <c r="BD104" i="32"/>
  <c r="BC104" i="32"/>
  <c r="BG104" i="32"/>
  <c r="BB138" i="32"/>
  <c r="BD138" i="32"/>
  <c r="BF138" i="32"/>
  <c r="BE138" i="32"/>
  <c r="BH138" i="32"/>
  <c r="BI138" i="32"/>
  <c r="BM136" i="32"/>
  <c r="BS136" i="32"/>
  <c r="BO136" i="32"/>
  <c r="BP136" i="32"/>
  <c r="BO114" i="32"/>
  <c r="BS114" i="32"/>
  <c r="BP114" i="32"/>
  <c r="CD110" i="32"/>
  <c r="CC110" i="32"/>
  <c r="BY110" i="32"/>
  <c r="BX110" i="32"/>
  <c r="BZ110" i="32"/>
  <c r="CE110" i="32"/>
  <c r="BB106" i="32"/>
  <c r="BE106" i="32"/>
  <c r="BF106" i="32"/>
  <c r="BG106" i="32"/>
  <c r="BG88" i="32"/>
  <c r="BI88" i="32"/>
  <c r="BC88" i="32"/>
  <c r="BE88" i="32"/>
  <c r="BQ86" i="32"/>
  <c r="BN86" i="32"/>
  <c r="BP86" i="32"/>
  <c r="BT122" i="32"/>
  <c r="BN122" i="32"/>
  <c r="BP122" i="32"/>
  <c r="BR122" i="32"/>
  <c r="BQ122" i="32"/>
  <c r="BS86" i="32"/>
  <c r="BG123" i="32"/>
  <c r="BQ114" i="32"/>
  <c r="BF104" i="32"/>
  <c r="BY114" i="32"/>
  <c r="BN146" i="32"/>
  <c r="BE116" i="32"/>
  <c r="BB130" i="32"/>
  <c r="BR111" i="32"/>
  <c r="BG138" i="32"/>
  <c r="BD88" i="32"/>
  <c r="BG151" i="32"/>
  <c r="BR136" i="32"/>
  <c r="BB102" i="32"/>
  <c r="BX81" i="32"/>
  <c r="CE126" i="32"/>
  <c r="BM64" i="32"/>
  <c r="BN64" i="32" s="1"/>
  <c r="BC102" i="32"/>
  <c r="BO87" i="32"/>
  <c r="BQ87" i="32"/>
  <c r="BH151" i="32"/>
  <c r="BC151" i="32"/>
  <c r="BF151" i="32"/>
  <c r="BI151" i="32"/>
  <c r="BG117" i="32"/>
  <c r="BB117" i="32"/>
  <c r="BH117" i="32"/>
  <c r="BE117" i="32"/>
  <c r="BF117" i="32"/>
  <c r="BC117" i="32"/>
  <c r="CC112" i="32"/>
  <c r="BX112" i="32"/>
  <c r="CE112" i="32"/>
  <c r="BM56" i="32"/>
  <c r="BN56" i="32" s="1"/>
  <c r="BO56" i="32" s="1"/>
  <c r="BQ111" i="32"/>
  <c r="BO111" i="32"/>
  <c r="BN111" i="32"/>
  <c r="BM111" i="32"/>
  <c r="BR146" i="32"/>
  <c r="BP146" i="32"/>
  <c r="BS146" i="32"/>
  <c r="BE147" i="32"/>
  <c r="CE66" i="32"/>
  <c r="BQ126" i="32"/>
  <c r="CD145" i="32"/>
  <c r="BZ87" i="32"/>
  <c r="BY66" i="32"/>
  <c r="BP101" i="32"/>
  <c r="CD87" i="32"/>
  <c r="BO105" i="32"/>
  <c r="BQ137" i="32"/>
  <c r="BY146" i="32"/>
  <c r="CE146" i="32"/>
  <c r="BR125" i="32"/>
  <c r="BZ146" i="32"/>
  <c r="BN137" i="32"/>
  <c r="BM145" i="32"/>
  <c r="CD107" i="32"/>
  <c r="BB113" i="32"/>
  <c r="BO133" i="32"/>
  <c r="BO90" i="32"/>
  <c r="BC85" i="32"/>
  <c r="BG113" i="32"/>
  <c r="BE62" i="32"/>
  <c r="BE65" i="32"/>
  <c r="BS79" i="32"/>
  <c r="BM91" i="32"/>
  <c r="BS90" i="32"/>
  <c r="BI90" i="32"/>
  <c r="BQ149" i="32"/>
  <c r="BY107" i="32"/>
  <c r="BS150" i="32"/>
  <c r="BX107" i="32"/>
  <c r="BP150" i="32"/>
  <c r="BH125" i="32"/>
  <c r="BM77" i="32"/>
  <c r="BN77" i="32" s="1"/>
  <c r="BG90" i="32"/>
  <c r="BF90" i="32"/>
  <c r="BP94" i="32"/>
  <c r="BR94" i="32"/>
  <c r="BS87" i="32"/>
  <c r="BR87" i="32"/>
  <c r="BT93" i="32"/>
  <c r="CA129" i="32"/>
  <c r="BS126" i="32"/>
  <c r="CD129" i="32"/>
  <c r="BR126" i="32"/>
  <c r="BN101" i="32"/>
  <c r="CC89" i="32"/>
  <c r="BM61" i="32"/>
  <c r="BN61" i="32" s="1"/>
  <c r="BO61" i="32" s="1"/>
  <c r="CD89" i="32"/>
  <c r="CB141" i="32"/>
  <c r="BX89" i="32"/>
  <c r="BM105" i="32"/>
  <c r="BO137" i="32"/>
  <c r="BR105" i="32"/>
  <c r="BY103" i="32"/>
  <c r="BO101" i="32"/>
  <c r="CB89" i="32"/>
  <c r="BY129" i="32"/>
  <c r="BT126" i="32"/>
  <c r="BR101" i="32"/>
  <c r="CA89" i="32"/>
  <c r="BS101" i="32"/>
  <c r="BP125" i="32"/>
  <c r="BT137" i="32"/>
  <c r="BS105" i="32"/>
  <c r="BT87" i="32"/>
  <c r="BN87" i="32"/>
  <c r="BC72" i="32"/>
  <c r="CE82" i="32"/>
  <c r="BE72" i="32"/>
  <c r="BG115" i="32"/>
  <c r="BY101" i="32"/>
  <c r="BE79" i="32"/>
  <c r="CA133" i="32"/>
  <c r="BH115" i="32"/>
  <c r="CB130" i="32"/>
  <c r="CB73" i="32"/>
  <c r="CA82" i="32"/>
  <c r="BZ130" i="32"/>
  <c r="BX73" i="32"/>
  <c r="BM87" i="32"/>
  <c r="CA130" i="32"/>
  <c r="BP87" i="32"/>
  <c r="BE143" i="32"/>
  <c r="CB80" i="32"/>
  <c r="BC115" i="32"/>
  <c r="BF115" i="32"/>
  <c r="BE115" i="32"/>
  <c r="CA101" i="32"/>
  <c r="BX80" i="32"/>
  <c r="BH143" i="32"/>
  <c r="BS149" i="32"/>
  <c r="CB149" i="32"/>
  <c r="BR149" i="32"/>
  <c r="BT91" i="32"/>
  <c r="BG85" i="32"/>
  <c r="BR150" i="32"/>
  <c r="BM79" i="32"/>
  <c r="BP91" i="32"/>
  <c r="CB77" i="32"/>
  <c r="BS89" i="32"/>
  <c r="BC145" i="32"/>
  <c r="BC90" i="32"/>
  <c r="BH90" i="32"/>
  <c r="BN149" i="32"/>
  <c r="BP149" i="32"/>
  <c r="CB107" i="32"/>
  <c r="BO92" i="32"/>
  <c r="BF85" i="32"/>
  <c r="BB85" i="32"/>
  <c r="CE107" i="32"/>
  <c r="BR133" i="32"/>
  <c r="BE125" i="32"/>
  <c r="BG121" i="32"/>
  <c r="BI85" i="32"/>
  <c r="BQ133" i="32"/>
  <c r="BY149" i="32"/>
  <c r="BR90" i="32"/>
  <c r="BQ91" i="32"/>
  <c r="BG125" i="32"/>
  <c r="BE113" i="32"/>
  <c r="BN89" i="32"/>
  <c r="BN90" i="32"/>
  <c r="BM150" i="32"/>
  <c r="BT133" i="32"/>
  <c r="BN150" i="32"/>
  <c r="BD75" i="32"/>
  <c r="BE90" i="32"/>
  <c r="BI75" i="32"/>
  <c r="CE74" i="32"/>
  <c r="BX64" i="32"/>
  <c r="BY64" i="32" s="1"/>
  <c r="BN91" i="32"/>
  <c r="BB57" i="32"/>
  <c r="BC57" i="32" s="1"/>
  <c r="BD57" i="32" s="1"/>
  <c r="BZ107" i="32"/>
  <c r="BN133" i="32"/>
  <c r="BI134" i="32"/>
  <c r="BM133" i="32"/>
  <c r="BP90" i="32"/>
  <c r="BC125" i="32"/>
  <c r="BQ90" i="32"/>
  <c r="BO89" i="32"/>
  <c r="BT149" i="32"/>
  <c r="BB125" i="32"/>
  <c r="BH85" i="32"/>
  <c r="BZ149" i="32"/>
  <c r="CD137" i="32"/>
  <c r="BI125" i="32"/>
  <c r="BT90" i="32"/>
  <c r="BR84" i="32"/>
  <c r="BR89" i="32"/>
  <c r="CA107" i="32"/>
  <c r="BS91" i="32"/>
  <c r="BQ89" i="32"/>
  <c r="BO150" i="32"/>
  <c r="BP89" i="32"/>
  <c r="BP79" i="32"/>
  <c r="BQ150" i="32"/>
  <c r="BN79" i="32"/>
  <c r="BR91" i="32"/>
  <c r="BC75" i="32"/>
  <c r="BD90" i="32"/>
  <c r="BB75" i="32"/>
  <c r="BG75" i="32"/>
  <c r="CD74" i="32"/>
  <c r="BO79" i="32"/>
  <c r="BR79" i="32"/>
  <c r="BB67" i="32"/>
  <c r="BC67" i="32" s="1"/>
  <c r="BD67" i="32" s="1"/>
  <c r="BM140" i="32"/>
  <c r="BP140" i="32"/>
  <c r="BM57" i="32"/>
  <c r="BN57" i="32" s="1"/>
  <c r="BO57" i="32" s="1"/>
  <c r="BB58" i="32"/>
  <c r="BC58" i="32" s="1"/>
  <c r="BD58" i="32" s="1"/>
  <c r="BB59" i="32"/>
  <c r="BC59" i="32" s="1"/>
  <c r="BD59" i="32" s="1"/>
  <c r="CC67" i="32"/>
  <c r="CB67" i="32"/>
  <c r="BO94" i="32"/>
  <c r="CC130" i="32"/>
  <c r="BI79" i="32"/>
  <c r="CC82" i="32"/>
  <c r="CB144" i="32"/>
  <c r="BQ94" i="32"/>
  <c r="CA63" i="32"/>
  <c r="BZ96" i="32"/>
  <c r="BI143" i="32"/>
  <c r="BD141" i="32"/>
  <c r="BX63" i="32"/>
  <c r="BZ123" i="32"/>
  <c r="BD99" i="32"/>
  <c r="CD82" i="32"/>
  <c r="CD80" i="32"/>
  <c r="BS80" i="32"/>
  <c r="CA80" i="32"/>
  <c r="BX83" i="32"/>
  <c r="BE71" i="32"/>
  <c r="BS94" i="32"/>
  <c r="BB83" i="32"/>
  <c r="BY82" i="32"/>
  <c r="BC83" i="32"/>
  <c r="CC144" i="32"/>
  <c r="BE64" i="32"/>
  <c r="BZ80" i="32"/>
  <c r="CD123" i="32"/>
  <c r="BY123" i="32"/>
  <c r="CE101" i="32"/>
  <c r="BF143" i="32"/>
  <c r="BY80" i="32"/>
  <c r="BP123" i="32"/>
  <c r="BZ101" i="32"/>
  <c r="CD101" i="32"/>
  <c r="CE141" i="32"/>
  <c r="CC133" i="32"/>
  <c r="BG79" i="32"/>
  <c r="BC79" i="32"/>
  <c r="BI114" i="32"/>
  <c r="CC78" i="32"/>
  <c r="BD79" i="32"/>
  <c r="BH79" i="32"/>
  <c r="BI127" i="32"/>
  <c r="BM94" i="32"/>
  <c r="BT94" i="32"/>
  <c r="BY130" i="32"/>
  <c r="BZ133" i="32"/>
  <c r="BB79" i="32"/>
  <c r="BX67" i="32"/>
  <c r="CE130" i="32"/>
  <c r="CB82" i="32"/>
  <c r="BI141" i="32"/>
  <c r="CD130" i="32"/>
  <c r="BZ82" i="32"/>
  <c r="BD143" i="32"/>
  <c r="CE80" i="32"/>
  <c r="CC101" i="32"/>
  <c r="BX101" i="32"/>
  <c r="CE96" i="32"/>
  <c r="BC143" i="32"/>
  <c r="BM128" i="32"/>
  <c r="BB143" i="32"/>
  <c r="BD115" i="32"/>
  <c r="BZ74" i="32"/>
  <c r="BH145" i="32"/>
  <c r="BF145" i="32"/>
  <c r="BX74" i="32"/>
  <c r="BR145" i="32"/>
  <c r="BB145" i="32"/>
  <c r="BE145" i="32"/>
  <c r="BI145" i="32"/>
  <c r="CB74" i="32"/>
  <c r="CC74" i="32"/>
  <c r="BD145" i="32"/>
  <c r="CE78" i="32"/>
  <c r="CE133" i="32"/>
  <c r="CB78" i="32"/>
  <c r="BD114" i="32"/>
  <c r="BB137" i="32"/>
  <c r="BY144" i="32"/>
  <c r="CC73" i="32"/>
  <c r="BM80" i="32"/>
  <c r="BX123" i="32"/>
  <c r="BX96" i="32"/>
  <c r="BZ83" i="32"/>
  <c r="BX133" i="32"/>
  <c r="BN93" i="32"/>
  <c r="CE67" i="32"/>
  <c r="CD78" i="32"/>
  <c r="CB114" i="32"/>
  <c r="CA78" i="32"/>
  <c r="CD114" i="32"/>
  <c r="BF114" i="32"/>
  <c r="BB66" i="32"/>
  <c r="BC66" i="32" s="1"/>
  <c r="BE83" i="32"/>
  <c r="BE114" i="32"/>
  <c r="BH137" i="32"/>
  <c r="CC100" i="32"/>
  <c r="BH114" i="32"/>
  <c r="BB127" i="32"/>
  <c r="BC137" i="32"/>
  <c r="BX78" i="32"/>
  <c r="CD144" i="32"/>
  <c r="CC114" i="32"/>
  <c r="BF127" i="32"/>
  <c r="CE127" i="32"/>
  <c r="BM60" i="32"/>
  <c r="BN60" i="32" s="1"/>
  <c r="BO60" i="32" s="1"/>
  <c r="BE102" i="32"/>
  <c r="BG141" i="32"/>
  <c r="CE114" i="32"/>
  <c r="CD96" i="32"/>
  <c r="BQ80" i="32"/>
  <c r="BT125" i="32"/>
  <c r="BF146" i="32"/>
  <c r="CC123" i="32"/>
  <c r="BP105" i="32"/>
  <c r="BR128" i="32"/>
  <c r="BB146" i="32"/>
  <c r="BN128" i="32"/>
  <c r="BR140" i="32"/>
  <c r="CC103" i="32"/>
  <c r="BF126" i="32"/>
  <c r="CD141" i="32"/>
  <c r="CD73" i="32"/>
  <c r="BO80" i="32"/>
  <c r="BO125" i="32"/>
  <c r="BD146" i="32"/>
  <c r="BQ140" i="32"/>
  <c r="CD103" i="32"/>
  <c r="CE123" i="32"/>
  <c r="BZ103" i="32"/>
  <c r="CE100" i="32"/>
  <c r="BE126" i="32"/>
  <c r="BC126" i="32"/>
  <c r="BI102" i="32"/>
  <c r="CB133" i="32"/>
  <c r="BZ67" i="32"/>
  <c r="BG127" i="32"/>
  <c r="BG83" i="32"/>
  <c r="BB114" i="32"/>
  <c r="BD127" i="32"/>
  <c r="BF83" i="32"/>
  <c r="BZ73" i="32"/>
  <c r="CD67" i="32"/>
  <c r="BD137" i="32"/>
  <c r="BE137" i="32"/>
  <c r="BZ141" i="32"/>
  <c r="CE73" i="32"/>
  <c r="BB141" i="32"/>
  <c r="BS128" i="32"/>
  <c r="BT123" i="32"/>
  <c r="BE146" i="32"/>
  <c r="BX103" i="32"/>
  <c r="CE103" i="32"/>
  <c r="BC99" i="32"/>
  <c r="CA141" i="32"/>
  <c r="BF99" i="32"/>
  <c r="BR80" i="32"/>
  <c r="BY141" i="32"/>
  <c r="CA83" i="32"/>
  <c r="BQ93" i="32"/>
  <c r="BZ78" i="32"/>
  <c r="BO93" i="32"/>
  <c r="BY67" i="32"/>
  <c r="BY133" i="32"/>
  <c r="BC127" i="32"/>
  <c r="BH83" i="32"/>
  <c r="BI83" i="32"/>
  <c r="BF137" i="32"/>
  <c r="CB100" i="32"/>
  <c r="BG137" i="32"/>
  <c r="BZ100" i="32"/>
  <c r="BM93" i="32"/>
  <c r="BY73" i="32"/>
  <c r="BE130" i="32"/>
  <c r="CD127" i="32"/>
  <c r="BX144" i="32"/>
  <c r="BE141" i="32"/>
  <c r="BX141" i="32"/>
  <c r="BY96" i="32"/>
  <c r="BP80" i="32"/>
  <c r="BS125" i="32"/>
  <c r="BD102" i="32"/>
  <c r="BI130" i="32"/>
  <c r="BI146" i="32"/>
  <c r="BT128" i="32"/>
  <c r="CA123" i="32"/>
  <c r="BP128" i="32"/>
  <c r="BN140" i="32"/>
  <c r="CB103" i="32"/>
  <c r="BO128" i="32"/>
  <c r="BT140" i="32"/>
  <c r="BB99" i="32"/>
  <c r="BG126" i="32"/>
  <c r="CC96" i="32"/>
  <c r="BT80" i="32"/>
  <c r="BT105" i="32"/>
  <c r="BB126" i="32"/>
  <c r="CA96" i="32"/>
  <c r="BD126" i="32"/>
  <c r="BF130" i="32"/>
  <c r="CE83" i="32"/>
  <c r="BZ144" i="32"/>
  <c r="BG99" i="32"/>
  <c r="BH99" i="32"/>
  <c r="CD83" i="32"/>
  <c r="BG114" i="32"/>
  <c r="BH146" i="32"/>
  <c r="BN123" i="32"/>
  <c r="BB115" i="32"/>
  <c r="BO123" i="32"/>
  <c r="BC146" i="32"/>
  <c r="BF141" i="32"/>
  <c r="BE99" i="32"/>
  <c r="CC83" i="32"/>
  <c r="CA74" i="32"/>
  <c r="BC141" i="32"/>
  <c r="BX128" i="32"/>
  <c r="BO145" i="32"/>
  <c r="BT145" i="32"/>
  <c r="CA56" i="32"/>
  <c r="BP145" i="32"/>
  <c r="BF134" i="32"/>
  <c r="BM58" i="32"/>
  <c r="BN58" i="32" s="1"/>
  <c r="BO58" i="32" s="1"/>
  <c r="BQ58" i="32" s="1"/>
  <c r="BZ139" i="32"/>
  <c r="CA77" i="32"/>
  <c r="BN145" i="32"/>
  <c r="BX92" i="32"/>
  <c r="BQ145" i="32"/>
  <c r="BQ92" i="32"/>
  <c r="BG134" i="32"/>
  <c r="BC113" i="32"/>
  <c r="BT92" i="32"/>
  <c r="CB137" i="32"/>
  <c r="BY139" i="32"/>
  <c r="CE92" i="32"/>
  <c r="BN84" i="32"/>
  <c r="BM54" i="32"/>
  <c r="BN54" i="32" s="1"/>
  <c r="BO54" i="32" s="1"/>
  <c r="CE137" i="32"/>
  <c r="CC139" i="32"/>
  <c r="CE149" i="32"/>
  <c r="BT84" i="32"/>
  <c r="CA139" i="32"/>
  <c r="BZ92" i="32"/>
  <c r="BS84" i="32"/>
  <c r="BY77" i="32"/>
  <c r="CD139" i="32"/>
  <c r="BC134" i="32"/>
  <c r="CE128" i="32"/>
  <c r="CC128" i="32"/>
  <c r="BX139" i="32"/>
  <c r="CA61" i="32"/>
  <c r="BX61" i="32"/>
  <c r="BY61" i="32" s="1"/>
  <c r="BZ61" i="32" s="1"/>
  <c r="CB61" i="32" s="1"/>
  <c r="BB70" i="32"/>
  <c r="BC70" i="32" s="1"/>
  <c r="BD70" i="32" s="1"/>
  <c r="BE70" i="32"/>
  <c r="BS99" i="32"/>
  <c r="BP99" i="32"/>
  <c r="BR99" i="32"/>
  <c r="BQ99" i="32"/>
  <c r="BO99" i="32"/>
  <c r="BN99" i="32"/>
  <c r="BM99" i="32"/>
  <c r="BT99" i="32"/>
  <c r="BT129" i="32"/>
  <c r="BM129" i="32"/>
  <c r="BR129" i="32"/>
  <c r="BO129" i="32"/>
  <c r="BQ129" i="32"/>
  <c r="BN129" i="32"/>
  <c r="BS129" i="32"/>
  <c r="BP129" i="32"/>
  <c r="BI108" i="32"/>
  <c r="BE108" i="32"/>
  <c r="BB108" i="32"/>
  <c r="BC108" i="32"/>
  <c r="BH108" i="32"/>
  <c r="BF108" i="32"/>
  <c r="BG108" i="32"/>
  <c r="BD108" i="32"/>
  <c r="BB105" i="32"/>
  <c r="BC105" i="32"/>
  <c r="BF105" i="32"/>
  <c r="BG105" i="32"/>
  <c r="BH105" i="32"/>
  <c r="BD105" i="32"/>
  <c r="BI105" i="32"/>
  <c r="BE105" i="32"/>
  <c r="BB97" i="32"/>
  <c r="BC97" i="32"/>
  <c r="BE97" i="32"/>
  <c r="BD97" i="32"/>
  <c r="BI97" i="32"/>
  <c r="BF97" i="32"/>
  <c r="BH97" i="32"/>
  <c r="BG97" i="32"/>
  <c r="BO120" i="32"/>
  <c r="BM120" i="32"/>
  <c r="BR120" i="32"/>
  <c r="BP120" i="32"/>
  <c r="BT120" i="32"/>
  <c r="BQ120" i="32"/>
  <c r="BN120" i="32"/>
  <c r="BS120" i="32"/>
  <c r="BG150" i="32"/>
  <c r="BD150" i="32"/>
  <c r="BF150" i="32"/>
  <c r="BH150" i="32"/>
  <c r="BC150" i="32"/>
  <c r="BB150" i="32"/>
  <c r="BI150" i="32"/>
  <c r="BE150" i="32"/>
  <c r="CC90" i="32"/>
  <c r="BX90" i="32"/>
  <c r="BY90" i="32"/>
  <c r="CA90" i="32"/>
  <c r="CB90" i="32"/>
  <c r="CD90" i="32"/>
  <c r="BZ90" i="32"/>
  <c r="CE90" i="32"/>
  <c r="CE91" i="32"/>
  <c r="CD91" i="32"/>
  <c r="BX91" i="32"/>
  <c r="BY91" i="32"/>
  <c r="CA91" i="32"/>
  <c r="CB91" i="32"/>
  <c r="BZ91" i="32"/>
  <c r="CC91" i="32"/>
  <c r="CE105" i="32"/>
  <c r="BZ105" i="32"/>
  <c r="BY105" i="32"/>
  <c r="CC105" i="32"/>
  <c r="BX105" i="32"/>
  <c r="CA105" i="32"/>
  <c r="CB105" i="32"/>
  <c r="CD105" i="32"/>
  <c r="BB87" i="32"/>
  <c r="BF87" i="32"/>
  <c r="BC87" i="32"/>
  <c r="BG87" i="32"/>
  <c r="BE87" i="32"/>
  <c r="BD87" i="32"/>
  <c r="BI87" i="32"/>
  <c r="BH87" i="32"/>
  <c r="BE121" i="32"/>
  <c r="BD134" i="32"/>
  <c r="CA149" i="32"/>
  <c r="BX137" i="32"/>
  <c r="BP92" i="32"/>
  <c r="BB134" i="32"/>
  <c r="BI121" i="32"/>
  <c r="BD113" i="32"/>
  <c r="BN92" i="32"/>
  <c r="BP84" i="32"/>
  <c r="BZ137" i="32"/>
  <c r="BR92" i="32"/>
  <c r="BM84" i="32"/>
  <c r="CC92" i="32"/>
  <c r="BM68" i="32"/>
  <c r="BN68" i="32" s="1"/>
  <c r="BB121" i="32"/>
  <c r="BZ77" i="32"/>
  <c r="CC77" i="32"/>
  <c r="CB128" i="32"/>
  <c r="CB92" i="32"/>
  <c r="CD128" i="32"/>
  <c r="BZ128" i="32"/>
  <c r="BM92" i="32"/>
  <c r="BD121" i="32"/>
  <c r="BX149" i="32"/>
  <c r="BF113" i="32"/>
  <c r="BE134" i="32"/>
  <c r="BH121" i="32"/>
  <c r="CC149" i="32"/>
  <c r="CC137" i="32"/>
  <c r="BI113" i="32"/>
  <c r="BO84" i="32"/>
  <c r="BF121" i="32"/>
  <c r="CB139" i="32"/>
  <c r="BY92" i="32"/>
  <c r="CA137" i="32"/>
  <c r="BX77" i="32"/>
  <c r="CE77" i="32"/>
  <c r="CD92" i="32"/>
  <c r="BY128" i="32"/>
  <c r="BN83" i="32"/>
  <c r="BS83" i="32"/>
  <c r="BT83" i="32"/>
  <c r="BQ83" i="32"/>
  <c r="BO83" i="32"/>
  <c r="BR83" i="32"/>
  <c r="BM83" i="32"/>
  <c r="BP83" i="32"/>
  <c r="BD140" i="32"/>
  <c r="BC140" i="32"/>
  <c r="BF140" i="32"/>
  <c r="BI140" i="32"/>
  <c r="BG140" i="32"/>
  <c r="BE140" i="32"/>
  <c r="BH140" i="32"/>
  <c r="BB140" i="32"/>
  <c r="CA152" i="32"/>
  <c r="CB152" i="32"/>
  <c r="BX152" i="32"/>
  <c r="CC152" i="32"/>
  <c r="BZ152" i="32"/>
  <c r="BY152" i="32"/>
  <c r="CD152" i="32"/>
  <c r="CE152" i="32"/>
  <c r="CE138" i="32"/>
  <c r="CB138" i="32"/>
  <c r="CA138" i="32"/>
  <c r="BZ138" i="32"/>
  <c r="BY138" i="32"/>
  <c r="CC138" i="32"/>
  <c r="BX138" i="32"/>
  <c r="CD138" i="32"/>
  <c r="BN131" i="32"/>
  <c r="BR131" i="32"/>
  <c r="BM131" i="32"/>
  <c r="BO131" i="32"/>
  <c r="BP131" i="32"/>
  <c r="BQ131" i="32"/>
  <c r="BT131" i="32"/>
  <c r="BS131" i="32"/>
  <c r="BB110" i="32"/>
  <c r="BE110" i="32"/>
  <c r="BD110" i="32"/>
  <c r="BH110" i="32"/>
  <c r="BF110" i="32"/>
  <c r="BI110" i="32"/>
  <c r="BG110" i="32"/>
  <c r="BC110" i="32"/>
  <c r="BE73" i="32"/>
  <c r="BB73" i="32"/>
  <c r="BC73" i="32" s="1"/>
  <c r="CB121" i="32"/>
  <c r="CC121" i="32"/>
  <c r="BX121" i="32"/>
  <c r="CA121" i="32"/>
  <c r="BZ121" i="32"/>
  <c r="CD121" i="32"/>
  <c r="CE121" i="32"/>
  <c r="BY121" i="32"/>
  <c r="CB70" i="32"/>
  <c r="CE70" i="32"/>
  <c r="BX70" i="32"/>
  <c r="CD70" i="32"/>
  <c r="BY70" i="32"/>
  <c r="BZ70" i="32"/>
  <c r="CC70" i="32"/>
  <c r="CA70" i="32"/>
  <c r="BE118" i="32"/>
  <c r="BD118" i="32"/>
  <c r="BG118" i="32"/>
  <c r="BH118" i="32"/>
  <c r="BI118" i="32"/>
  <c r="BC118" i="32"/>
  <c r="BF118" i="32"/>
  <c r="BB118" i="32"/>
  <c r="BX102" i="32"/>
  <c r="CA102" i="32"/>
  <c r="CB102" i="32"/>
  <c r="BY102" i="32"/>
  <c r="CE102" i="32"/>
  <c r="CD102" i="32"/>
  <c r="CC102" i="32"/>
  <c r="BZ102" i="32"/>
  <c r="BX117" i="32"/>
  <c r="CA117" i="32"/>
  <c r="BY117" i="32"/>
  <c r="CC117" i="32"/>
  <c r="CD117" i="32"/>
  <c r="CE117" i="32"/>
  <c r="CB117" i="32"/>
  <c r="BZ117" i="32"/>
  <c r="CB59" i="32"/>
  <c r="CB60" i="32"/>
  <c r="CB64" i="32"/>
  <c r="BZ64" i="32"/>
  <c r="BZ55" i="32"/>
  <c r="CB55" i="32"/>
  <c r="CC60" i="32" s="1"/>
  <c r="CD60" i="32" s="1"/>
  <c r="CE60" i="32" s="1"/>
  <c r="BZ56" i="32"/>
  <c r="CB56" i="32"/>
  <c r="CC56" i="32" s="1"/>
  <c r="CD56" i="32" s="1"/>
  <c r="CE56" i="32" s="1"/>
  <c r="BZ63" i="32"/>
  <c r="CC57" i="32"/>
  <c r="CD57" i="32" s="1"/>
  <c r="CE57" i="32" s="1"/>
  <c r="CC58" i="32"/>
  <c r="CD58" i="32" s="1"/>
  <c r="CE58" i="32" s="1"/>
  <c r="BQ60" i="32"/>
  <c r="BQ76" i="32"/>
  <c r="BQ71" i="32"/>
  <c r="BQ77" i="32"/>
  <c r="BO77" i="32"/>
  <c r="BO75" i="32"/>
  <c r="BQ75" i="32"/>
  <c r="BQ65" i="32"/>
  <c r="BQ72" i="32"/>
  <c r="BF73" i="32"/>
  <c r="BF70" i="32"/>
  <c r="BD72" i="32"/>
  <c r="BF72" i="32" s="1"/>
  <c r="BF71" i="32"/>
  <c r="BO69" i="32"/>
  <c r="BQ69" i="32" s="1"/>
  <c r="BO68" i="32"/>
  <c r="BQ59" i="32"/>
  <c r="BO67" i="32"/>
  <c r="BF69" i="32"/>
  <c r="BF68" i="32"/>
  <c r="BF67" i="32"/>
  <c r="BD66" i="32"/>
  <c r="BF66" i="32" s="1"/>
  <c r="BF63" i="32"/>
  <c r="BF64" i="32"/>
  <c r="BD62" i="32"/>
  <c r="BF62" i="32" s="1"/>
  <c r="BD65" i="32"/>
  <c r="BF65" i="32" s="1"/>
  <c r="BO64" i="32"/>
  <c r="BQ64" i="32" s="1"/>
  <c r="BO62" i="32"/>
  <c r="BQ62" i="32" s="1"/>
  <c r="BF61" i="32"/>
  <c r="BF60" i="32"/>
  <c r="CC65" i="32" l="1"/>
  <c r="CD65" i="32" s="1"/>
  <c r="CE65" i="32" s="1"/>
  <c r="CC63" i="32"/>
  <c r="CD63" i="32" s="1"/>
  <c r="CE63" i="32" s="1"/>
  <c r="CC64" i="32"/>
  <c r="CD64" i="32" s="1"/>
  <c r="CE64" i="32" s="1"/>
  <c r="CC61" i="32"/>
  <c r="CD61" i="32" s="1"/>
  <c r="CE61" i="32" s="1"/>
  <c r="CC62" i="32"/>
  <c r="CD62" i="32" s="1"/>
  <c r="CE62" i="32" s="1"/>
  <c r="CC55" i="32"/>
  <c r="CD55" i="32" s="1"/>
  <c r="CE55" i="32" s="1"/>
  <c r="BE57" i="32" s="1"/>
  <c r="CC59" i="32"/>
  <c r="CD59" i="32" s="1"/>
  <c r="CE59" i="32" s="1"/>
  <c r="BQ61" i="32"/>
  <c r="BR76" i="32"/>
  <c r="BS76" i="32" s="1"/>
  <c r="BT76" i="32" s="1"/>
  <c r="BR77" i="32"/>
  <c r="BS77" i="32" s="1"/>
  <c r="BT77" i="32" s="1"/>
  <c r="BR74" i="32"/>
  <c r="BS74" i="32" s="1"/>
  <c r="BT74" i="32" s="1"/>
  <c r="BR75" i="32"/>
  <c r="BS75" i="32" s="1"/>
  <c r="BT75" i="32" s="1"/>
  <c r="BR70" i="32"/>
  <c r="BS70" i="32" s="1"/>
  <c r="BT70" i="32" s="1"/>
  <c r="BR71" i="32"/>
  <c r="BS71" i="32" s="1"/>
  <c r="BT71" i="32" s="1"/>
  <c r="BR73" i="32"/>
  <c r="BS73" i="32" s="1"/>
  <c r="BT73" i="32" s="1"/>
  <c r="BR72" i="32"/>
  <c r="BS72" i="32" s="1"/>
  <c r="BT72" i="32" s="1"/>
  <c r="BG72" i="32"/>
  <c r="BH72" i="32" s="1"/>
  <c r="BI72" i="32" s="1"/>
  <c r="BG73" i="32"/>
  <c r="BH73" i="32" s="1"/>
  <c r="BI73" i="32" s="1"/>
  <c r="BG71" i="32"/>
  <c r="BH71" i="32" s="1"/>
  <c r="BI71" i="32" s="1"/>
  <c r="BG70" i="32"/>
  <c r="BH70" i="32" s="1"/>
  <c r="BI70" i="32" s="1"/>
  <c r="BG69" i="32"/>
  <c r="BH69" i="32" s="1"/>
  <c r="BI69" i="32" s="1"/>
  <c r="BG68" i="32"/>
  <c r="BH68" i="32" s="1"/>
  <c r="BI68" i="32" s="1"/>
  <c r="BG67" i="32"/>
  <c r="BH67" i="32" s="1"/>
  <c r="BI67" i="32" s="1"/>
  <c r="BG66" i="32"/>
  <c r="BH66" i="32" s="1"/>
  <c r="BI66" i="32" s="1"/>
  <c r="BG62" i="32"/>
  <c r="BH62" i="32" s="1"/>
  <c r="BI62" i="32" s="1"/>
  <c r="BG65" i="32"/>
  <c r="BH65" i="32" s="1"/>
  <c r="BI65" i="32" s="1"/>
  <c r="BG64" i="32"/>
  <c r="BH64" i="32" s="1"/>
  <c r="BI64" i="32" s="1"/>
  <c r="BG63" i="32"/>
  <c r="BH63" i="32" s="1"/>
  <c r="BI63" i="32" s="1"/>
  <c r="BG61" i="32"/>
  <c r="BH61" i="32" s="1"/>
  <c r="BI61" i="32" s="1"/>
  <c r="BG60" i="32"/>
  <c r="BH60" i="32" s="1"/>
  <c r="BI60" i="32" s="1"/>
  <c r="BE56" i="32" l="1"/>
  <c r="BP54" i="32"/>
  <c r="BQ54" i="32" s="1"/>
  <c r="BR54" i="32" s="1"/>
  <c r="BS54" i="32" s="1"/>
  <c r="BT54" i="32" s="1"/>
  <c r="BE55" i="32"/>
  <c r="BE54" i="32"/>
  <c r="D4" i="39"/>
  <c r="BP56" i="32"/>
  <c r="BP57" i="32"/>
  <c r="BP55" i="32"/>
  <c r="D70" i="39"/>
  <c r="D31" i="39"/>
  <c r="D88" i="39"/>
  <c r="D102" i="39"/>
  <c r="D17" i="39"/>
  <c r="D22" i="39"/>
  <c r="D5" i="39"/>
  <c r="D62" i="39"/>
  <c r="D13" i="39"/>
  <c r="D72" i="39"/>
  <c r="D91" i="39"/>
  <c r="D41" i="39"/>
  <c r="D35" i="39"/>
  <c r="D66" i="39"/>
  <c r="D83" i="39"/>
  <c r="D12" i="39"/>
  <c r="D46" i="39"/>
  <c r="D98" i="39"/>
  <c r="D81" i="39"/>
  <c r="D36" i="39"/>
  <c r="D65" i="39"/>
  <c r="D97" i="39"/>
  <c r="D30" i="39"/>
  <c r="D67" i="39"/>
  <c r="D99" i="39"/>
  <c r="D78" i="39"/>
  <c r="D58" i="39"/>
  <c r="D42" i="39"/>
  <c r="D15" i="39"/>
  <c r="D24" i="39"/>
  <c r="D49" i="39"/>
  <c r="D92" i="39"/>
  <c r="D6" i="39"/>
  <c r="D60" i="39"/>
  <c r="D44" i="39"/>
  <c r="D40" i="39"/>
  <c r="D76" i="39"/>
  <c r="D50" i="39"/>
  <c r="D64" i="39"/>
  <c r="D26" i="39"/>
  <c r="D14" i="39"/>
  <c r="D19" i="39"/>
  <c r="D51" i="39"/>
  <c r="D10" i="39"/>
  <c r="D52" i="39"/>
  <c r="D85" i="39"/>
  <c r="D20" i="39"/>
  <c r="D75" i="39"/>
  <c r="D47" i="39"/>
  <c r="D53" i="39"/>
  <c r="D73" i="39"/>
  <c r="D74" i="39"/>
  <c r="D23" i="39"/>
  <c r="D54" i="39"/>
  <c r="D63" i="39"/>
  <c r="D69" i="39"/>
  <c r="D33" i="39"/>
  <c r="D45" i="39"/>
  <c r="D77" i="39"/>
  <c r="D34" i="39"/>
  <c r="D39" i="39"/>
  <c r="D86" i="39"/>
  <c r="D94" i="39"/>
  <c r="D11" i="39"/>
  <c r="D55" i="39"/>
  <c r="D79" i="39"/>
  <c r="D38" i="39"/>
  <c r="D27" i="39"/>
  <c r="D29" i="39"/>
  <c r="D84" i="39"/>
  <c r="D59" i="39"/>
  <c r="D103" i="39"/>
  <c r="D71" i="39"/>
  <c r="D93" i="39"/>
  <c r="D56" i="39"/>
  <c r="D87" i="39"/>
  <c r="D32" i="39"/>
  <c r="D96" i="39"/>
  <c r="D95" i="39"/>
  <c r="D18" i="39"/>
  <c r="D37" i="39"/>
  <c r="D101" i="39"/>
  <c r="D100" i="39"/>
  <c r="D68" i="39"/>
  <c r="D8" i="39"/>
  <c r="D9" i="39"/>
  <c r="D16" i="39"/>
  <c r="D82" i="39"/>
  <c r="D28" i="39"/>
  <c r="D7" i="39"/>
  <c r="D90" i="39"/>
  <c r="D21" i="39"/>
  <c r="D89" i="39"/>
  <c r="D80" i="39"/>
  <c r="D48" i="39"/>
  <c r="D25" i="39"/>
  <c r="D43" i="39"/>
  <c r="D57" i="39"/>
  <c r="D61" i="39"/>
  <c r="BF58" i="32" l="1"/>
  <c r="BF59" i="32"/>
  <c r="BF54" i="32"/>
  <c r="BG54" i="32" s="1"/>
  <c r="BH54" i="32" s="1"/>
  <c r="BI54" i="32" s="1"/>
  <c r="BF57" i="32"/>
  <c r="BF55" i="32"/>
  <c r="BF56" i="32"/>
  <c r="BQ55" i="32"/>
  <c r="BR55" i="32" s="1"/>
  <c r="BS55" i="32" s="1"/>
  <c r="BT55" i="32" s="1"/>
  <c r="BQ68" i="32"/>
  <c r="BQ56" i="32"/>
  <c r="BQ67" i="32"/>
  <c r="BQ57" i="32"/>
  <c r="BQ66" i="32"/>
  <c r="BR66" i="32" s="1"/>
  <c r="BS66" i="32" s="1"/>
  <c r="BT66" i="32" s="1"/>
  <c r="BR60" i="32"/>
  <c r="BS60" i="32" s="1"/>
  <c r="BT60" i="32" s="1"/>
  <c r="BR64" i="32"/>
  <c r="BS64" i="32" s="1"/>
  <c r="BT64" i="32" s="1"/>
  <c r="BR63" i="32"/>
  <c r="BS63" i="32" s="1"/>
  <c r="BT63" i="32" s="1"/>
  <c r="BR59" i="32"/>
  <c r="BS59" i="32" s="1"/>
  <c r="BT59" i="32" s="1"/>
  <c r="BR62" i="32"/>
  <c r="BS62" i="32" s="1"/>
  <c r="BT62" i="32" s="1"/>
  <c r="BR65" i="32"/>
  <c r="BS65" i="32" s="1"/>
  <c r="BT65" i="32" s="1"/>
  <c r="BR57" i="32" l="1"/>
  <c r="BS57" i="32" s="1"/>
  <c r="BT57" i="32" s="1"/>
  <c r="BG59" i="32"/>
  <c r="BH59" i="32" s="1"/>
  <c r="BI59" i="32" s="1"/>
  <c r="BR56" i="32"/>
  <c r="BS56" i="32" s="1"/>
  <c r="BT56" i="32" s="1"/>
  <c r="BG58" i="32"/>
  <c r="BH58" i="32" s="1"/>
  <c r="BI58" i="32" s="1"/>
  <c r="BG55" i="32"/>
  <c r="BH55" i="32" s="1"/>
  <c r="BI55" i="32" s="1"/>
  <c r="BR58" i="32"/>
  <c r="BS58" i="32" s="1"/>
  <c r="BT58" i="32" s="1"/>
  <c r="BG56" i="32"/>
  <c r="BH56" i="32" s="1"/>
  <c r="BI56" i="32" s="1"/>
  <c r="BG57" i="32"/>
  <c r="BH57" i="32" s="1"/>
  <c r="BI57" i="32" s="1"/>
  <c r="BR61" i="32"/>
  <c r="BS61" i="32" s="1"/>
  <c r="BT61" i="32" s="1"/>
  <c r="BR69" i="32"/>
  <c r="BS69" i="32" s="1"/>
  <c r="BT69" i="32" s="1"/>
  <c r="BR67" i="32"/>
  <c r="BS67" i="32" s="1"/>
  <c r="BT67" i="32" s="1"/>
  <c r="BR68" i="32"/>
  <c r="BS68" i="32" s="1"/>
  <c r="BT68" i="32" s="1"/>
  <c r="B98" i="39" l="1"/>
  <c r="B87" i="39"/>
  <c r="B19" i="39"/>
  <c r="B99" i="39"/>
  <c r="B76" i="39"/>
  <c r="B59" i="39"/>
  <c r="B60" i="39"/>
  <c r="B81" i="39"/>
  <c r="B47" i="39"/>
  <c r="B18" i="39"/>
  <c r="B85" i="39"/>
  <c r="B89" i="39"/>
  <c r="B12" i="39"/>
  <c r="B15" i="39"/>
  <c r="B65" i="39"/>
  <c r="B21" i="39"/>
  <c r="B92" i="39"/>
  <c r="B17" i="39"/>
  <c r="B94" i="39"/>
  <c r="B26" i="39"/>
  <c r="B11" i="39"/>
  <c r="B64" i="39"/>
  <c r="B39" i="39"/>
  <c r="B72" i="39"/>
  <c r="B80" i="39"/>
  <c r="B44" i="39"/>
  <c r="B32" i="39"/>
  <c r="B50" i="39"/>
  <c r="B82" i="39"/>
  <c r="B33" i="39"/>
  <c r="B30" i="39"/>
  <c r="B88" i="39"/>
  <c r="B75" i="39"/>
  <c r="B79" i="39"/>
  <c r="B102" i="39"/>
  <c r="B8" i="39"/>
  <c r="B23" i="39"/>
  <c r="B38" i="39"/>
  <c r="B69" i="39"/>
  <c r="B16" i="39"/>
  <c r="B10" i="39"/>
  <c r="B61" i="39"/>
  <c r="B96" i="39"/>
  <c r="B4" i="39"/>
  <c r="B71" i="39"/>
  <c r="B14" i="39"/>
  <c r="B63" i="39"/>
  <c r="B73" i="39"/>
  <c r="B84" i="39"/>
  <c r="B101" i="39"/>
  <c r="B100" i="39"/>
  <c r="B55" i="39"/>
  <c r="B46" i="39"/>
  <c r="B31" i="39"/>
  <c r="B29" i="39"/>
  <c r="B77" i="39"/>
  <c r="B7" i="39"/>
  <c r="B36" i="39"/>
  <c r="B91" i="39"/>
  <c r="B13" i="39"/>
  <c r="B51" i="39"/>
  <c r="B90" i="39"/>
  <c r="B103" i="39"/>
  <c r="B54" i="39"/>
  <c r="B48" i="39"/>
  <c r="B86" i="39"/>
  <c r="B28" i="39"/>
  <c r="B20" i="39"/>
  <c r="B70" i="39"/>
  <c r="B43" i="39"/>
  <c r="B6" i="39"/>
  <c r="B35" i="39"/>
  <c r="B45" i="39"/>
  <c r="B53" i="39"/>
  <c r="B5" i="39"/>
  <c r="B78" i="39"/>
  <c r="B57" i="39"/>
  <c r="B37" i="39"/>
  <c r="B24" i="39"/>
  <c r="B22" i="39"/>
  <c r="B52" i="39"/>
  <c r="B42" i="39"/>
  <c r="B74" i="39"/>
  <c r="B9" i="39"/>
  <c r="B41" i="39"/>
  <c r="B67" i="39"/>
  <c r="B49" i="39"/>
  <c r="B97" i="39"/>
  <c r="B58" i="39"/>
  <c r="B93" i="39"/>
  <c r="B68" i="39"/>
  <c r="B27" i="39"/>
  <c r="B62" i="39"/>
  <c r="B34" i="39"/>
  <c r="B56" i="39"/>
  <c r="B95" i="39"/>
  <c r="B40" i="39"/>
  <c r="B83" i="39"/>
  <c r="B25" i="39"/>
  <c r="B66" i="39"/>
  <c r="C68" i="39"/>
  <c r="C73" i="39"/>
  <c r="C58" i="39"/>
  <c r="C13" i="39"/>
  <c r="C99" i="39"/>
  <c r="C62" i="39"/>
  <c r="C9" i="39"/>
  <c r="C100" i="39"/>
  <c r="C31" i="39"/>
  <c r="C103" i="39"/>
  <c r="C36" i="39"/>
  <c r="C52" i="39"/>
  <c r="C14" i="39"/>
  <c r="C71" i="39"/>
  <c r="C79" i="39"/>
  <c r="C80" i="39"/>
  <c r="C25" i="39"/>
  <c r="C16" i="39"/>
  <c r="C26" i="39"/>
  <c r="C75" i="39"/>
  <c r="C37" i="39"/>
  <c r="C54" i="39"/>
  <c r="C88" i="39"/>
  <c r="C87" i="39"/>
  <c r="C51" i="39"/>
  <c r="C41" i="39"/>
  <c r="C15" i="39"/>
  <c r="C98" i="39"/>
  <c r="C84" i="39"/>
  <c r="C38" i="39"/>
  <c r="C24" i="39"/>
  <c r="C34" i="39"/>
  <c r="C49" i="39"/>
  <c r="C66" i="39"/>
  <c r="C77" i="39"/>
  <c r="C39" i="39"/>
  <c r="C85" i="39"/>
  <c r="C28" i="39"/>
  <c r="C92" i="39"/>
  <c r="C69" i="39"/>
  <c r="C56" i="39"/>
  <c r="C101" i="39"/>
  <c r="C57" i="39"/>
  <c r="C27" i="39"/>
  <c r="C89" i="39"/>
  <c r="C86" i="39"/>
  <c r="C67" i="39"/>
  <c r="C78" i="39"/>
  <c r="C18" i="39"/>
  <c r="C72" i="39"/>
  <c r="C65" i="39"/>
  <c r="C35" i="39"/>
  <c r="C50" i="39"/>
  <c r="C12" i="39"/>
  <c r="C42" i="39"/>
  <c r="C11" i="39"/>
  <c r="C6" i="39"/>
  <c r="C63" i="39"/>
  <c r="C93" i="39"/>
  <c r="C95" i="39"/>
  <c r="C22" i="39"/>
  <c r="C5" i="39"/>
  <c r="C82" i="39"/>
  <c r="C29" i="39"/>
  <c r="C17" i="39"/>
  <c r="C43" i="39"/>
  <c r="C76" i="39"/>
  <c r="C83" i="39"/>
  <c r="C45" i="39"/>
  <c r="C59" i="39"/>
  <c r="C33" i="39"/>
  <c r="C96" i="39"/>
  <c r="C60" i="39"/>
  <c r="C32" i="39"/>
  <c r="C94" i="39"/>
  <c r="C53" i="39"/>
  <c r="C97" i="39"/>
  <c r="C44" i="39"/>
  <c r="C61" i="39"/>
  <c r="C81" i="39"/>
  <c r="C21" i="39"/>
  <c r="C19" i="39"/>
  <c r="C30" i="39"/>
  <c r="C90" i="39"/>
  <c r="C20" i="39"/>
  <c r="C74" i="39"/>
  <c r="C102" i="39"/>
  <c r="C48" i="39"/>
  <c r="C46" i="39"/>
  <c r="C55" i="39"/>
  <c r="C91" i="39"/>
  <c r="C70" i="39"/>
  <c r="C64" i="39"/>
  <c r="C40" i="39"/>
  <c r="C8" i="39"/>
  <c r="C47" i="39"/>
  <c r="C23" i="39"/>
  <c r="C4" i="39"/>
  <c r="C10" i="39"/>
  <c r="C7" i="39"/>
</calcChain>
</file>

<file path=xl/comments1.xml><?xml version="1.0" encoding="utf-8"?>
<comments xmlns="http://schemas.openxmlformats.org/spreadsheetml/2006/main">
  <authors>
    <author>NMA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U = united rating, первый объединенный рейтинг. В процессе объединения изменены некоторые ники, поэтому ссылка не на предыдущий рейтинг, а на входящий (поэтому два листа имеем рейтинговых)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3" authorId="0">
      <text>
        <r>
          <rPr>
            <b/>
            <sz val="8"/>
            <color indexed="8"/>
            <rFont val="DejaVu Sans"/>
            <family val="1"/>
          </rPr>
          <t xml:space="preserve">Natalchenko:
</t>
        </r>
        <r>
          <rPr>
            <sz val="8"/>
            <color indexed="8"/>
            <rFont val="DejaVu Sans"/>
            <family val="1"/>
          </rPr>
          <t>При переносе рейтинга с листа "1.RNK" к целому числовому значению (рейтинг TTW всегда целый) добавляется еще дробная часть, а именно, порядковый номер деленный на 1000. Это делается для того, чтобы в случае двух или более участников с одинаковым рейтингом в колонке Rate все значения были различными. Тогда функция РАНГ в колонке Rank присваивает каждому участнику уникальный ранг. Иначе участники с одинаковым рейтингом получат одинаковые ранги, что не позволит корректно провести посев. При таком способе более высокий ранг (ближе к первому номеру посева) получает более поздний по алфавиту участник.</t>
        </r>
      </text>
    </comment>
    <comment ref="F3" authorId="0">
      <text>
        <r>
          <rPr>
            <b/>
            <sz val="8"/>
            <color indexed="8"/>
            <rFont val="DejaVu Sans"/>
            <family val="1"/>
          </rPr>
          <t xml:space="preserve">Natalchenko:
</t>
        </r>
        <r>
          <rPr>
            <sz val="8"/>
            <color indexed="8"/>
            <rFont val="DejaVu Sans"/>
            <family val="1"/>
          </rPr>
          <t>Колонка взнос защищена. Для отметки внесения суммы надо выбирать "сдал" в следующей колонке Сдал?, а не вбивать руками 200 р.</t>
        </r>
      </text>
    </comment>
    <comment ref="L3" authorId="0">
      <text>
        <r>
          <rPr>
            <b/>
            <sz val="8"/>
            <color indexed="8"/>
            <rFont val="DejaVu Sans"/>
            <family val="1"/>
          </rPr>
          <t xml:space="preserve">Natalchenko:
</t>
        </r>
        <r>
          <rPr>
            <sz val="8"/>
            <color indexed="8"/>
            <rFont val="DejaVu Sans"/>
            <family val="1"/>
          </rPr>
          <t>При переносе рейтинга с листа "1.RNK" к целому числовому значению (рейтинг TTW всегда целый) добавляется еще дробная часть, а именно, порядковый номер деленный на 1000. Это делается для того, чтобы в случае двух или более участников с одинаковым рейтингом в колонке Rate все значения были различными. Тогда функция РАНГ в колонке Rank присваивает каждому участнику уникальный ранг. Иначе участники с одинаковым рейтингом получат одинаковые ранги, что не позволит корректно провести посев. При таком способе более высокий ранг (ближе к первому номеру посева) получает более поздний по алфавиту участник.</t>
        </r>
      </text>
    </comment>
  </commentList>
</comments>
</file>

<file path=xl/comments3.xml><?xml version="1.0" encoding="utf-8"?>
<comments xmlns="http://schemas.openxmlformats.org/spreadsheetml/2006/main">
  <authors>
    <author>NMA</author>
    <author>1</author>
  </authors>
  <commentList>
    <comment ref="B1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Смещение групп  относительно группы №1 на листе "Группы 5"</t>
        </r>
      </text>
    </comment>
    <comment ref="S4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 игроков по занятым местам. На какой позиции первое место, второе и т.д.</t>
        </r>
      </text>
    </comment>
    <comment ref="U4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 игроков по занятым местам. На какой позиции первое место, второе и т.д.</t>
        </r>
      </text>
    </comment>
    <comment ref="W4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 игроков по занятым местам. На какой позиции первое место, второе и т.д.</t>
        </r>
      </text>
    </comment>
    <comment ref="Y4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 игроков по занятым местам. На какой позиции первое место, второе и т.д.</t>
        </r>
      </text>
    </comment>
    <comment ref="AA4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 игроков по занятым местам. На какой позиции первое место, второе и т.д.</t>
        </r>
      </text>
    </comment>
    <comment ref="AC4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 игроков по занятым местам. На какой позиции первое место, второе и т.д.</t>
        </r>
      </text>
    </comment>
    <comment ref="AE4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 игроков по занятым местам. На какой позиции первое место, второе и т.д.</t>
        </r>
      </text>
    </comment>
    <comment ref="AG4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 игроков по занятым местам. На какой позиции первое место, второе и т.д.</t>
        </r>
      </text>
    </comment>
    <comment ref="AL9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ФОРМУЛА!</t>
        </r>
      </text>
    </comment>
    <comment ref="AM11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Сняться может только участник группового этапа. Иначе ОШИБКА.</t>
        </r>
      </text>
    </comment>
    <comment ref="AM2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Сняться может только участник группового этапа. Иначе ОШИБКА.</t>
        </r>
      </text>
    </comment>
    <comment ref="BH51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строкам для поиска ранга</t>
        </r>
      </text>
    </comment>
    <comment ref="BS51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строкам для поиска ранга</t>
        </r>
      </text>
    </comment>
    <comment ref="CD51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строкам для поиска ранга</t>
        </r>
      </text>
    </comment>
    <comment ref="R52" authorId="1">
      <text>
        <r>
          <rPr>
            <b/>
            <sz val="8"/>
            <color indexed="81"/>
            <rFont val="Tahoma"/>
            <family val="2"/>
            <charset val="204"/>
          </rPr>
          <t>1:</t>
        </r>
        <r>
          <rPr>
            <sz val="8"/>
            <color indexed="81"/>
            <rFont val="Tahoma"/>
            <family val="2"/>
            <charset val="204"/>
          </rPr>
          <t xml:space="preserve">
выбор, определенный при старте турнира на листе "Заявка"</t>
        </r>
      </text>
    </comment>
    <comment ref="AY52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столбцам для выбора индекса "половины сетки" из таблицы сеток</t>
        </r>
      </text>
    </comment>
    <comment ref="BH52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столбцам для поиска ранга</t>
        </r>
      </text>
    </comment>
    <comment ref="BS52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столбцам для поиска ранга</t>
        </r>
      </text>
    </comment>
    <comment ref="CD52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столбцам для поиска ранга</t>
        </r>
      </text>
    </comment>
    <comment ref="O53" authorId="1">
      <text>
        <r>
          <rPr>
            <b/>
            <sz val="8"/>
            <color indexed="81"/>
            <rFont val="Tahoma"/>
            <family val="2"/>
            <charset val="204"/>
          </rPr>
          <t>1: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строкам. Оно не зависит от типа посева.</t>
        </r>
      </text>
    </comment>
    <comment ref="P53" authorId="1">
      <text>
        <r>
          <rPr>
            <b/>
            <sz val="8"/>
            <color indexed="81"/>
            <rFont val="Tahoma"/>
            <family val="2"/>
            <charset val="204"/>
          </rPr>
          <t>1: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столбцам при змейке</t>
        </r>
      </text>
    </comment>
    <comment ref="Q53" authorId="1">
      <text>
        <r>
          <rPr>
            <b/>
            <sz val="8"/>
            <color indexed="81"/>
            <rFont val="Tahoma"/>
            <family val="2"/>
            <charset val="204"/>
          </rPr>
          <t>1:</t>
        </r>
        <r>
          <rPr>
            <sz val="8"/>
            <color indexed="81"/>
            <rFont val="Tahoma"/>
            <family val="2"/>
            <charset val="204"/>
          </rPr>
          <t xml:space="preserve">
смещение по столбцам при линейке</t>
        </r>
      </text>
    </comment>
    <comment ref="R53" authorId="1">
      <text>
        <r>
          <rPr>
            <b/>
            <sz val="8"/>
            <color indexed="81"/>
            <rFont val="Tahoma"/>
            <family val="2"/>
            <charset val="204"/>
          </rPr>
          <t>1:</t>
        </r>
        <r>
          <rPr>
            <sz val="8"/>
            <color indexed="81"/>
            <rFont val="Tahoma"/>
            <family val="2"/>
            <charset val="204"/>
          </rPr>
          <t xml:space="preserve">
выбор одного из двух вариантов смещения по столбцам в зависимости от решения на старте турнира</t>
        </r>
      </text>
    </comment>
    <comment ref="AO53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финал предварительно</t>
        </r>
      </text>
    </comment>
    <comment ref="AP53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0 если снялся, 1 если не снимался</t>
        </r>
      </text>
    </comment>
    <comment ref="AQ53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Финал с учетом вкупления</t>
        </r>
      </text>
    </comment>
    <comment ref="AU53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Индекс порядкового номера в колонке своего финала. Бежит по серому столбику с желтым шрифтом и находит позицию игрока с нужным номером. Позиция может не совпадать с порядковым номером предварительного списка даже в первом финале. А в остальных финалах никогда не совпадает.</t>
        </r>
      </text>
    </comment>
    <comment ref="AV53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Индекс порядкового номера в колонке своего финала. Бежит по серому столбику с желтым шрифтом и находит позицию игрока с нужным номером. Позиция может не совпадать с порядковым номером предварительного списка даже в первом финале. А в остальных финалах никогда не совпадает.</t>
        </r>
      </text>
    </comment>
    <comment ref="AW53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Индекс порядкового номера в колонке своего финала. Бежит по серому столбику с желтым шрифтом и находит позицию игрока с нужным номером. Позиция может не совпадать с порядковым номером предварительного списка даже в первом финале. А в остальных финалах никогда не совпадает.</t>
        </r>
      </text>
    </comment>
    <comment ref="AY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Размер полной сетки, целиком вмещающей финал</t>
        </r>
      </text>
    </comment>
    <comment ref="BB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Есть ли одногруппник вверху?</t>
        </r>
      </text>
    </comment>
    <comment ref="BC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Требуется ли "развод" в другую половину сетки? ДА - если вверху есть единственный одногрупник.</t>
        </r>
      </text>
    </comment>
    <comment ref="BD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номер "влияющего" одногруппника</t>
        </r>
      </text>
    </comment>
    <comment ref="BE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Выбираем половину сетки без учета "развода"</t>
        </r>
      </text>
    </comment>
    <comment ref="BF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Выбираем половину сетки с учетом "развода"</t>
        </r>
      </text>
    </comment>
    <comment ref="BG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считаем ранг игрока внутри своей половины сетки</t>
        </r>
      </text>
    </comment>
    <comment ref="BH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позиция, соответствующая рангу в своей полусетке</t>
        </r>
      </text>
    </comment>
    <comment ref="BI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номер посева</t>
        </r>
      </text>
    </comment>
    <comment ref="BM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Есть ли одногруппник вверху?</t>
        </r>
      </text>
    </comment>
    <comment ref="BN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Требуется ли "развод" в другую половину сетки? ДА - если вверху есть единственный одногрупник.</t>
        </r>
      </text>
    </comment>
    <comment ref="BO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номер "влияющего" одногруппника</t>
        </r>
      </text>
    </comment>
    <comment ref="BP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Выбираем половину сетки без учета "развода"</t>
        </r>
      </text>
    </comment>
    <comment ref="BQ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Выбираем половину сетки с учетом "развода"</t>
        </r>
      </text>
    </comment>
    <comment ref="BR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считаем ранг игрока внутри своей половины сетки</t>
        </r>
      </text>
    </comment>
    <comment ref="BS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позиция, соответствующая рангу в своей полусетке</t>
        </r>
      </text>
    </comment>
    <comment ref="BT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номер посева</t>
        </r>
      </text>
    </comment>
    <comment ref="BX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Есть ли одногруппник вверху?</t>
        </r>
      </text>
    </comment>
    <comment ref="BY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Требуется ли "развод" в другую половину сетки? ДА - если вверху есть единственный одногрупник.</t>
        </r>
      </text>
    </comment>
    <comment ref="BZ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номер "влияющего" одногруппника</t>
        </r>
      </text>
    </comment>
    <comment ref="CA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Выбираем половину сетки без учета "развода"</t>
        </r>
      </text>
    </comment>
    <comment ref="CB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Выбираем половину сетки с учетом "развода"</t>
        </r>
      </text>
    </comment>
    <comment ref="CC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считаем ранг игрока внутри своей половины сетки</t>
        </r>
      </text>
    </comment>
    <comment ref="CD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позиция, соответствующая рангу в своей полусетке</t>
        </r>
      </text>
    </comment>
    <comment ref="CE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номер посева</t>
        </r>
      </text>
    </comment>
    <comment ref="CI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индекс "половины" сетки (верх/ низ)</t>
        </r>
      </text>
    </comment>
    <comment ref="CJ53" authorId="0">
      <text>
        <r>
          <rPr>
            <b/>
            <sz val="8"/>
            <color indexed="81"/>
            <rFont val="Tahoma"/>
            <family val="2"/>
            <charset val="204"/>
          </rPr>
          <t>NMA:</t>
        </r>
        <r>
          <rPr>
            <sz val="8"/>
            <color indexed="81"/>
            <rFont val="Tahoma"/>
            <family val="2"/>
            <charset val="204"/>
          </rPr>
          <t xml:space="preserve">
Ранг строки в своей "полусетке"</t>
        </r>
      </text>
    </comment>
  </commentList>
</comments>
</file>

<file path=xl/comments4.xml><?xml version="1.0" encoding="utf-8"?>
<comments xmlns="http://schemas.openxmlformats.org/spreadsheetml/2006/main">
  <authors>
    <author>Натальченко</author>
    <author>1</author>
  </authors>
  <commentList>
    <comment ref="DG6" authorId="0">
      <text>
        <r>
          <rPr>
            <b/>
            <sz val="8"/>
            <color indexed="81"/>
            <rFont val="Tahoma"/>
            <family val="2"/>
            <charset val="204"/>
          </rPr>
          <t>Натальченко:</t>
        </r>
        <r>
          <rPr>
            <sz val="8"/>
            <color indexed="81"/>
            <rFont val="Tahoma"/>
            <family val="2"/>
            <charset val="204"/>
          </rPr>
          <t xml:space="preserve">
глубина группы (кол-во игроков макс)</t>
        </r>
      </text>
    </comment>
    <comment ref="DE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36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36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36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64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64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64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9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9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9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120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120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120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14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14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14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176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176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176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204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204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204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23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23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23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260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260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260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28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28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28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316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316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316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344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344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344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37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37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372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400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400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400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  <comment ref="DE42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строкам, чтобы получить верхний левый угол группы</t>
        </r>
      </text>
    </comment>
    <comment ref="DF42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смещение по столбцам, чтобы получить верхний левый угол группы</t>
        </r>
      </text>
    </comment>
    <comment ref="DI428" authorId="1">
      <text>
        <r>
          <rPr>
            <b/>
            <sz val="9"/>
            <color indexed="81"/>
            <rFont val="Tahoma"/>
            <family val="2"/>
            <charset val="204"/>
          </rPr>
          <t>1:</t>
        </r>
        <r>
          <rPr>
            <sz val="9"/>
            <color indexed="81"/>
            <rFont val="Tahoma"/>
            <family val="2"/>
            <charset val="204"/>
          </rPr>
          <t xml:space="preserve">
номер группы</t>
        </r>
      </text>
    </comment>
  </commentList>
</comments>
</file>

<file path=xl/sharedStrings.xml><?xml version="1.0" encoding="utf-8"?>
<sst xmlns="http://schemas.openxmlformats.org/spreadsheetml/2006/main" count="4631" uniqueCount="4365">
  <si>
    <t>СТРОКА</t>
  </si>
  <si>
    <t>четность</t>
  </si>
  <si>
    <t>змейкой</t>
  </si>
  <si>
    <t>равномерный</t>
  </si>
  <si>
    <t>СТОЛБЕЦ</t>
  </si>
  <si>
    <t>Сеты</t>
  </si>
  <si>
    <t>Дробь</t>
  </si>
  <si>
    <t>N</t>
  </si>
  <si>
    <t>k</t>
  </si>
  <si>
    <t>S</t>
  </si>
  <si>
    <t>No</t>
  </si>
  <si>
    <t>tmp_id</t>
  </si>
  <si>
    <t>Name</t>
  </si>
  <si>
    <t>Mean</t>
  </si>
  <si>
    <t>Количество участников:</t>
  </si>
  <si>
    <t>Стартовый взнос:</t>
  </si>
  <si>
    <t>Сбор:</t>
  </si>
  <si>
    <t>сдал</t>
  </si>
  <si>
    <t>№</t>
  </si>
  <si>
    <t>Rate</t>
  </si>
  <si>
    <t>Rank</t>
  </si>
  <si>
    <t>Взнос</t>
  </si>
  <si>
    <t>Сдал?</t>
  </si>
  <si>
    <t>долг</t>
  </si>
  <si>
    <t>Количество групп</t>
  </si>
  <si>
    <t>в группе</t>
  </si>
  <si>
    <t>группа</t>
  </si>
  <si>
    <t>Группа1</t>
  </si>
  <si>
    <t>Группа2</t>
  </si>
  <si>
    <t>Группа3</t>
  </si>
  <si>
    <t>Группа4</t>
  </si>
  <si>
    <t>Группа5</t>
  </si>
  <si>
    <t>Группа6</t>
  </si>
  <si>
    <t>Группа7</t>
  </si>
  <si>
    <t>Группа8</t>
  </si>
  <si>
    <t>Группа9</t>
  </si>
  <si>
    <t>Группа10</t>
  </si>
  <si>
    <t>key</t>
  </si>
  <si>
    <t>Участник</t>
  </si>
  <si>
    <t>ПОСЕВ</t>
  </si>
  <si>
    <t>ЗМЕЙКОЙ</t>
  </si>
  <si>
    <t>РАВНОМЕРНЫЙ</t>
  </si>
  <si>
    <t>ВЫБРАТЬ</t>
  </si>
  <si>
    <t>Участников в заявке</t>
  </si>
  <si>
    <t>Групп в турнире</t>
  </si>
  <si>
    <t>Предварительно</t>
  </si>
  <si>
    <t>Финал 1</t>
  </si>
  <si>
    <t>Финал 2</t>
  </si>
  <si>
    <t>Группа11</t>
  </si>
  <si>
    <t>Группа12</t>
  </si>
  <si>
    <t>Группа13</t>
  </si>
  <si>
    <t>Группа14</t>
  </si>
  <si>
    <t>Группа15</t>
  </si>
  <si>
    <t>Группа16</t>
  </si>
  <si>
    <t>смещение по строкам</t>
  </si>
  <si>
    <t>смещение по столбцам</t>
  </si>
  <si>
    <t>Финал 3</t>
  </si>
  <si>
    <t>Игроков</t>
  </si>
  <si>
    <t>Финал I</t>
  </si>
  <si>
    <t>Финал II</t>
  </si>
  <si>
    <t>Финал III</t>
  </si>
  <si>
    <t>start</t>
  </si>
  <si>
    <t>finish</t>
  </si>
  <si>
    <t>i</t>
  </si>
  <si>
    <t>ii</t>
  </si>
  <si>
    <t>iii</t>
  </si>
  <si>
    <t>iv</t>
  </si>
  <si>
    <t>v</t>
  </si>
  <si>
    <t>vi</t>
  </si>
  <si>
    <t>vii</t>
  </si>
  <si>
    <t>номер посева</t>
  </si>
  <si>
    <t>вызвано матчей</t>
  </si>
  <si>
    <t>сыграно матчей</t>
  </si>
  <si>
    <t>осталось матчей</t>
  </si>
  <si>
    <t>итого матчей</t>
  </si>
  <si>
    <t>номер группы</t>
  </si>
  <si>
    <t>Снялось с турнира</t>
  </si>
  <si>
    <t>откуда?</t>
  </si>
  <si>
    <t>Вкупилось в 1 финал</t>
  </si>
  <si>
    <t>chk</t>
  </si>
  <si>
    <t>Финал НАПРЯМУЮ</t>
  </si>
  <si>
    <t>Снялось</t>
  </si>
  <si>
    <t>Вкупилось</t>
  </si>
  <si>
    <t>Напрямую</t>
  </si>
  <si>
    <t>ИТОГО:</t>
  </si>
  <si>
    <t>dx1</t>
  </si>
  <si>
    <t>dx2</t>
  </si>
  <si>
    <t>dx3</t>
  </si>
  <si>
    <t>О</t>
  </si>
  <si>
    <t>М</t>
  </si>
  <si>
    <t>Авакова А</t>
  </si>
  <si>
    <t>Акинина А</t>
  </si>
  <si>
    <t>Аленчева Д</t>
  </si>
  <si>
    <t>Аникина О</t>
  </si>
  <si>
    <t>Артемьев А</t>
  </si>
  <si>
    <t>Арутунян Г</t>
  </si>
  <si>
    <t>Астахов И</t>
  </si>
  <si>
    <t>Афонин А</t>
  </si>
  <si>
    <t>Бабенко С</t>
  </si>
  <si>
    <t>Байков П</t>
  </si>
  <si>
    <t>Батченко Г</t>
  </si>
  <si>
    <t>Боброва А</t>
  </si>
  <si>
    <t>Броминский С</t>
  </si>
  <si>
    <t>Буланцева Ю</t>
  </si>
  <si>
    <t>Буринова Д</t>
  </si>
  <si>
    <t>Бурцева</t>
  </si>
  <si>
    <t>Бучина А</t>
  </si>
  <si>
    <t>Быков Д</t>
  </si>
  <si>
    <t>Вайло Ю</t>
  </si>
  <si>
    <t>Васильченко Н</t>
  </si>
  <si>
    <t>Веденов Н</t>
  </si>
  <si>
    <t>Веков С</t>
  </si>
  <si>
    <t>Власов Д</t>
  </si>
  <si>
    <t>Волков А</t>
  </si>
  <si>
    <t>Волков Н</t>
  </si>
  <si>
    <t>Выговский А</t>
  </si>
  <si>
    <t>Гавриленко О</t>
  </si>
  <si>
    <t>Германов Д</t>
  </si>
  <si>
    <t>Гиль В</t>
  </si>
  <si>
    <t>Глявиев Т</t>
  </si>
  <si>
    <t>Голдобин Т</t>
  </si>
  <si>
    <t>Гончаренко</t>
  </si>
  <si>
    <t>Гончаренко В</t>
  </si>
  <si>
    <t>Горбатенко Д</t>
  </si>
  <si>
    <t>Гущенкова</t>
  </si>
  <si>
    <t>Далвидер С</t>
  </si>
  <si>
    <t>Даниулов Р</t>
  </si>
  <si>
    <t>Денисов</t>
  </si>
  <si>
    <t>Денисова М</t>
  </si>
  <si>
    <t>Долгих Е</t>
  </si>
  <si>
    <t>Долгих Л</t>
  </si>
  <si>
    <t>Доценко Б</t>
  </si>
  <si>
    <t>Дробов А</t>
  </si>
  <si>
    <t>Дубов В</t>
  </si>
  <si>
    <t>Дубова А</t>
  </si>
  <si>
    <t>Дьяконова</t>
  </si>
  <si>
    <t>Елисеев А</t>
  </si>
  <si>
    <t>Епифанова А</t>
  </si>
  <si>
    <t>Епремян Э</t>
  </si>
  <si>
    <t>Ермоленко Д</t>
  </si>
  <si>
    <t>Ефимиади М</t>
  </si>
  <si>
    <t>Ефременкова С</t>
  </si>
  <si>
    <t>Жаворонков С</t>
  </si>
  <si>
    <t>Жданов В</t>
  </si>
  <si>
    <t>Завалко Р</t>
  </si>
  <si>
    <t>Игнашкина А</t>
  </si>
  <si>
    <t>Ижик</t>
  </si>
  <si>
    <t>Каленик М</t>
  </si>
  <si>
    <t>Кашенков Р</t>
  </si>
  <si>
    <t>Кириллов В</t>
  </si>
  <si>
    <t>Кирин</t>
  </si>
  <si>
    <t>Климов Д</t>
  </si>
  <si>
    <t>Ковалев А</t>
  </si>
  <si>
    <t>Козлова Н</t>
  </si>
  <si>
    <t>Коко</t>
  </si>
  <si>
    <t>Кононов М</t>
  </si>
  <si>
    <t>Копчугова И</t>
  </si>
  <si>
    <t>Копчугова Л</t>
  </si>
  <si>
    <t>Кормаков А</t>
  </si>
  <si>
    <t>Коротаев Н</t>
  </si>
  <si>
    <t>Косков В</t>
  </si>
  <si>
    <t>Кочетов И</t>
  </si>
  <si>
    <t>Кочетов О</t>
  </si>
  <si>
    <t>Кравченко А</t>
  </si>
  <si>
    <t>Крылов А</t>
  </si>
  <si>
    <t>Крылова Н</t>
  </si>
  <si>
    <t>Крюкова Ал</t>
  </si>
  <si>
    <t>Крюкова Ан</t>
  </si>
  <si>
    <t>Кузина У</t>
  </si>
  <si>
    <t>Кузнецов В</t>
  </si>
  <si>
    <t>Курятник К</t>
  </si>
  <si>
    <t>Левчук Е</t>
  </si>
  <si>
    <t>Лим К</t>
  </si>
  <si>
    <t>Лобанов С</t>
  </si>
  <si>
    <t>Лобанова Т</t>
  </si>
  <si>
    <t>Лоботрясов М</t>
  </si>
  <si>
    <t>Ложкина Е</t>
  </si>
  <si>
    <t>Лыков В</t>
  </si>
  <si>
    <t>Макаров Д</t>
  </si>
  <si>
    <t>Малютин В</t>
  </si>
  <si>
    <t>Маслова П</t>
  </si>
  <si>
    <t>Матеранский А</t>
  </si>
  <si>
    <t>Мельников</t>
  </si>
  <si>
    <t>Митин Г</t>
  </si>
  <si>
    <t>Митрофанов Е</t>
  </si>
  <si>
    <t>Михайлов В</t>
  </si>
  <si>
    <t>Михайлов Л</t>
  </si>
  <si>
    <t>Молочаев К</t>
  </si>
  <si>
    <t>Молчин С</t>
  </si>
  <si>
    <t>Науменкова Н</t>
  </si>
  <si>
    <t>Небытов</t>
  </si>
  <si>
    <t>Нестеров Н</t>
  </si>
  <si>
    <t>Нестеров С</t>
  </si>
  <si>
    <t>Нечаева Л</t>
  </si>
  <si>
    <t>Новиков С</t>
  </si>
  <si>
    <t>Новикова Е</t>
  </si>
  <si>
    <t>Нур Сарахана</t>
  </si>
  <si>
    <t>Павин Р</t>
  </si>
  <si>
    <t>Павлюк А</t>
  </si>
  <si>
    <t>Панов А</t>
  </si>
  <si>
    <t>Парветхаа</t>
  </si>
  <si>
    <t>Пашинцев М</t>
  </si>
  <si>
    <t>Петросян Г</t>
  </si>
  <si>
    <t>Плетнева Н</t>
  </si>
  <si>
    <t>Поварницын И</t>
  </si>
  <si>
    <t>Поляков Д</t>
  </si>
  <si>
    <t>Поляков Е</t>
  </si>
  <si>
    <t>Пономарев А</t>
  </si>
  <si>
    <t>Прешантни</t>
  </si>
  <si>
    <t>Прижиягловский</t>
  </si>
  <si>
    <t>Пустовалов Е</t>
  </si>
  <si>
    <t>Разувайкин</t>
  </si>
  <si>
    <t>Родионова</t>
  </si>
  <si>
    <t>Романов Д</t>
  </si>
  <si>
    <t>Рязанцева Е</t>
  </si>
  <si>
    <t>Сакоян А</t>
  </si>
  <si>
    <t>Сарах</t>
  </si>
  <si>
    <t>Сарья Е</t>
  </si>
  <si>
    <t>Сафонова Е</t>
  </si>
  <si>
    <t>Семендяев</t>
  </si>
  <si>
    <t>Семендяев В</t>
  </si>
  <si>
    <t>Сергеева Е</t>
  </si>
  <si>
    <t>Сергеенков С</t>
  </si>
  <si>
    <t>Сидорович Д</t>
  </si>
  <si>
    <t>Синявский Ф</t>
  </si>
  <si>
    <t>Слепченко С</t>
  </si>
  <si>
    <t>Смола М</t>
  </si>
  <si>
    <t>Созонов П</t>
  </si>
  <si>
    <t>Солодова М</t>
  </si>
  <si>
    <t>Сотскова</t>
  </si>
  <si>
    <t>Стадникова М</t>
  </si>
  <si>
    <t>Станишевский Б</t>
  </si>
  <si>
    <t>Степанов Е</t>
  </si>
  <si>
    <t>Стржельбицкий М</t>
  </si>
  <si>
    <t>Сурагин</t>
  </si>
  <si>
    <t>Суреш А</t>
  </si>
  <si>
    <t>Топоров Н</t>
  </si>
  <si>
    <t>Трефилов В</t>
  </si>
  <si>
    <t>Трофимов А</t>
  </si>
  <si>
    <t>Труненков</t>
  </si>
  <si>
    <t>Трухин С</t>
  </si>
  <si>
    <t>Тулиев И</t>
  </si>
  <si>
    <t>Тэо Р</t>
  </si>
  <si>
    <t>Узель Ж</t>
  </si>
  <si>
    <t>Учватов В</t>
  </si>
  <si>
    <t>Фадеева Л</t>
  </si>
  <si>
    <t>Фатеева Л</t>
  </si>
  <si>
    <t>Фатхутдинов И</t>
  </si>
  <si>
    <t>Фомина А</t>
  </si>
  <si>
    <t>Храпов Ю</t>
  </si>
  <si>
    <t>Цю Л</t>
  </si>
  <si>
    <t>Чеботнягин А</t>
  </si>
  <si>
    <t>Чеботнягин Ф</t>
  </si>
  <si>
    <t>Чепелюк Е</t>
  </si>
  <si>
    <t>Черкасова Е</t>
  </si>
  <si>
    <t>Чешинский А</t>
  </si>
  <si>
    <t>Чонг М</t>
  </si>
  <si>
    <t>Шагалин Д</t>
  </si>
  <si>
    <t>Шакуло А</t>
  </si>
  <si>
    <t>Шарат</t>
  </si>
  <si>
    <t>Шарипова И</t>
  </si>
  <si>
    <t>Шарыева И</t>
  </si>
  <si>
    <t>Шем</t>
  </si>
  <si>
    <t>Шестаков Д</t>
  </si>
  <si>
    <t>Шпинев Н</t>
  </si>
  <si>
    <t>Шутова Е</t>
  </si>
  <si>
    <t>Эстрина Е</t>
  </si>
  <si>
    <t>Юшин А</t>
  </si>
  <si>
    <t>Яковленкова И</t>
  </si>
  <si>
    <t>Винокур В</t>
  </si>
  <si>
    <t>Воробьева М</t>
  </si>
  <si>
    <t>Джеянти Б</t>
  </si>
  <si>
    <t>Калугин Д</t>
  </si>
  <si>
    <t>Ким Д</t>
  </si>
  <si>
    <t>Князев П</t>
  </si>
  <si>
    <t>Куклин В</t>
  </si>
  <si>
    <t>Лим Ч</t>
  </si>
  <si>
    <t>Мартынова Л</t>
  </si>
  <si>
    <t>Нурул А</t>
  </si>
  <si>
    <t>Поповкин А</t>
  </si>
  <si>
    <t>Сактишваран Т</t>
  </si>
  <si>
    <t>Тири Ф</t>
  </si>
  <si>
    <t xml:space="preserve"> </t>
  </si>
  <si>
    <t xml:space="preserve"> | </t>
  </si>
  <si>
    <t>1 партия</t>
  </si>
  <si>
    <t>2 партия</t>
  </si>
  <si>
    <t>3 партия</t>
  </si>
  <si>
    <t>Количество финалов</t>
  </si>
  <si>
    <t>Из группы в 1 финал</t>
  </si>
  <si>
    <t>Из группы во 2 финал</t>
  </si>
  <si>
    <t>Абаева Елена</t>
  </si>
  <si>
    <t>Абельмасов Игорь</t>
  </si>
  <si>
    <t>Абрамов Алексей</t>
  </si>
  <si>
    <t>Абрамов Андрей</t>
  </si>
  <si>
    <t>Айн</t>
  </si>
  <si>
    <t>Акмалетдинова Г</t>
  </si>
  <si>
    <t>Аксенова Дарья</t>
  </si>
  <si>
    <t>Алаев Виктор</t>
  </si>
  <si>
    <t>Алексеева Екатерина</t>
  </si>
  <si>
    <t>Алексеева Елена</t>
  </si>
  <si>
    <t>Алехин Дмитрий</t>
  </si>
  <si>
    <t>Алешин Александр</t>
  </si>
  <si>
    <t>Алиева Сабина</t>
  </si>
  <si>
    <t>Алимова Мария</t>
  </si>
  <si>
    <t>Алпатов Никита</t>
  </si>
  <si>
    <t>Анди</t>
  </si>
  <si>
    <t>Андреев Юрий</t>
  </si>
  <si>
    <t>Андреева</t>
  </si>
  <si>
    <t>Анискина Олеся</t>
  </si>
  <si>
    <t>Анискина Элина</t>
  </si>
  <si>
    <t>Антонов Константин</t>
  </si>
  <si>
    <t>Арабчикова Анна</t>
  </si>
  <si>
    <t>Арнаутов Юрий</t>
  </si>
  <si>
    <t>Астафьева Мария</t>
  </si>
  <si>
    <t>Ахламов Алексей</t>
  </si>
  <si>
    <t>Ашмарин Андрей</t>
  </si>
  <si>
    <t>Бабушкина</t>
  </si>
  <si>
    <t>Байгус Юлия</t>
  </si>
  <si>
    <t>Бакеландт Франсуа</t>
  </si>
  <si>
    <t>Бакланов Михаил</t>
  </si>
  <si>
    <t>Бакушев Алексей</t>
  </si>
  <si>
    <t>Баранкин Денис</t>
  </si>
  <si>
    <t>Баранов Анатолий</t>
  </si>
  <si>
    <t>Барбашина Наталья</t>
  </si>
  <si>
    <t>Барсова Виктория</t>
  </si>
  <si>
    <t>Бахметов А</t>
  </si>
  <si>
    <t>Бахов Юрий</t>
  </si>
  <si>
    <t>Бедридская</t>
  </si>
  <si>
    <t>Белаш Евгения</t>
  </si>
  <si>
    <t>Белов Евгений</t>
  </si>
  <si>
    <t>Белов Николай</t>
  </si>
  <si>
    <t>Беляев Михаил</t>
  </si>
  <si>
    <t>Беляев Павел</t>
  </si>
  <si>
    <t>Березовская Ольга</t>
  </si>
  <si>
    <t>Березовская Т</t>
  </si>
  <si>
    <t>Беспалов</t>
  </si>
  <si>
    <t>Бехтин Борис</t>
  </si>
  <si>
    <t>Бехтин Сергей</t>
  </si>
  <si>
    <t>Бирюкова Маргарита</t>
  </si>
  <si>
    <t>Блитович Эмина</t>
  </si>
  <si>
    <t>Боблак А</t>
  </si>
  <si>
    <t>Боблак Е</t>
  </si>
  <si>
    <t>Боблак О</t>
  </si>
  <si>
    <t>Богачев Алексей</t>
  </si>
  <si>
    <t>Богданова Станислава</t>
  </si>
  <si>
    <t>Бондарец Д</t>
  </si>
  <si>
    <t>Бондарь Федор</t>
  </si>
  <si>
    <t>Борисова Ольга</t>
  </si>
  <si>
    <t>Борисова Ольга 1</t>
  </si>
  <si>
    <t>Боровиков К</t>
  </si>
  <si>
    <t>Брагин Иван</t>
  </si>
  <si>
    <t>Бражник Александр</t>
  </si>
  <si>
    <t>Бровко Александр</t>
  </si>
  <si>
    <t>Бровко Елена</t>
  </si>
  <si>
    <t>Бурдюгов Станислав</t>
  </si>
  <si>
    <t>Быков Сергей</t>
  </si>
  <si>
    <t>Быковский Сергей</t>
  </si>
  <si>
    <t>Вавилкина Юлия</t>
  </si>
  <si>
    <t>Варопаева Ася</t>
  </si>
  <si>
    <t>Варшавский Илья</t>
  </si>
  <si>
    <t>Васильев Алексей</t>
  </si>
  <si>
    <t>Васильева Татьяна</t>
  </si>
  <si>
    <t>Вахов Денис</t>
  </si>
  <si>
    <t>Вахова Даниэла</t>
  </si>
  <si>
    <t>Великанова Анастасия</t>
  </si>
  <si>
    <t>Вельможко</t>
  </si>
  <si>
    <t>Вернер Александр</t>
  </si>
  <si>
    <t>Вернер Денис</t>
  </si>
  <si>
    <t>Викина Ирина</t>
  </si>
  <si>
    <t>Вилайван Кхамнанг</t>
  </si>
  <si>
    <t>Виноградов Андрей</t>
  </si>
  <si>
    <t>Винокуров Викентий</t>
  </si>
  <si>
    <t>Винокуров Денис</t>
  </si>
  <si>
    <t>Вирченко</t>
  </si>
  <si>
    <t>Вирченко Антон</t>
  </si>
  <si>
    <t>Владимиров И</t>
  </si>
  <si>
    <t>Во Дат</t>
  </si>
  <si>
    <t>Войшвилло В</t>
  </si>
  <si>
    <t>Воробьев Алексей</t>
  </si>
  <si>
    <t>Воропаев Роберт</t>
  </si>
  <si>
    <t>Воропаева Ася</t>
  </si>
  <si>
    <t>Высоцкий Андрей</t>
  </si>
  <si>
    <t>Высоцкий Всеволод</t>
  </si>
  <si>
    <t>Гаврилов Максим</t>
  </si>
  <si>
    <t>Гайдукова Анна</t>
  </si>
  <si>
    <t>Галеева Рина</t>
  </si>
  <si>
    <t>Галявьев Тимур</t>
  </si>
  <si>
    <t>Ганичева Ангелина</t>
  </si>
  <si>
    <t>Гаспарян Юрий</t>
  </si>
  <si>
    <t>Гафиуллин Наиль</t>
  </si>
  <si>
    <t>Гладков Н</t>
  </si>
  <si>
    <t>Голубева Елена</t>
  </si>
  <si>
    <t>Голубчикова Екатерина</t>
  </si>
  <si>
    <t>Горбатова Дарья</t>
  </si>
  <si>
    <t>Горбатова Яна</t>
  </si>
  <si>
    <t>Горбачев Александр</t>
  </si>
  <si>
    <t>Государева Мария</t>
  </si>
  <si>
    <t>Граева Дарья</t>
  </si>
  <si>
    <t>Грашенкова Мария</t>
  </si>
  <si>
    <t>Грецкая Ирина</t>
  </si>
  <si>
    <t>Григорьев Олег</t>
  </si>
  <si>
    <t>Гришина</t>
  </si>
  <si>
    <t>Гумирова Венера</t>
  </si>
  <si>
    <t>Гуца Михаил</t>
  </si>
  <si>
    <t>Давыдов Олег</t>
  </si>
  <si>
    <t>Данильчев А</t>
  </si>
  <si>
    <t>Дворников Денис</t>
  </si>
  <si>
    <t>Дегтярев Андрей</t>
  </si>
  <si>
    <t>Демиденко Олег</t>
  </si>
  <si>
    <t>Дергачева Александра</t>
  </si>
  <si>
    <t>Дитсавгон Кхамсао</t>
  </si>
  <si>
    <t>Дмитриев Василий</t>
  </si>
  <si>
    <t>Догонина Надежда</t>
  </si>
  <si>
    <t>Дружкина Александра</t>
  </si>
  <si>
    <t>Дубовенко Дмитрий</t>
  </si>
  <si>
    <t>Дьяков Андрей</t>
  </si>
  <si>
    <t>Евдокимов Александр</t>
  </si>
  <si>
    <t>Евдокимова Ольга</t>
  </si>
  <si>
    <t>Евсегнеева Жанна</t>
  </si>
  <si>
    <t>Егоров Егор</t>
  </si>
  <si>
    <t>Ельфимов</t>
  </si>
  <si>
    <t>Ермаков Олег</t>
  </si>
  <si>
    <t>Ермакова Татьяна</t>
  </si>
  <si>
    <t>Ермолаенко Александр</t>
  </si>
  <si>
    <t>Ермошин Дмитрий</t>
  </si>
  <si>
    <t>Ершкова</t>
  </si>
  <si>
    <t>Желновская Дарья</t>
  </si>
  <si>
    <t>Желонкин Дмитрий</t>
  </si>
  <si>
    <t>Жолобов Андрей</t>
  </si>
  <si>
    <t>Журков А</t>
  </si>
  <si>
    <t>Загрядская Мария</t>
  </si>
  <si>
    <t>Загуменнов Артем</t>
  </si>
  <si>
    <t>Зайцев Артем</t>
  </si>
  <si>
    <t>Заказникова Е</t>
  </si>
  <si>
    <t>Застебин Юрий</t>
  </si>
  <si>
    <t>Захаров Иван</t>
  </si>
  <si>
    <t>Земцова Варвара</t>
  </si>
  <si>
    <t>Зинченко Александр</t>
  </si>
  <si>
    <t>Знаменский Алексей</t>
  </si>
  <si>
    <t>Золотарев Александр</t>
  </si>
  <si>
    <t>Зотова Мария</t>
  </si>
  <si>
    <t>Зубанюк Максим</t>
  </si>
  <si>
    <t>Зубарь Александр</t>
  </si>
  <si>
    <t>Иваницкий Антон</t>
  </si>
  <si>
    <t>Иванников Д</t>
  </si>
  <si>
    <t>Иванников Р</t>
  </si>
  <si>
    <t>Иванов Андрей</t>
  </si>
  <si>
    <t>Иванов Антон</t>
  </si>
  <si>
    <t>Иванов Михаил</t>
  </si>
  <si>
    <t>Иванова Людмила</t>
  </si>
  <si>
    <t>Иванченко Иван</t>
  </si>
  <si>
    <t>Ивин Никита</t>
  </si>
  <si>
    <t>Игошин Сергей</t>
  </si>
  <si>
    <t>Игумнов Иван</t>
  </si>
  <si>
    <t>Игумнов Сергей</t>
  </si>
  <si>
    <t>Изотов Егор</t>
  </si>
  <si>
    <t>Ильин Григорий</t>
  </si>
  <si>
    <t>Илькевич Константин</t>
  </si>
  <si>
    <t>Ипатов Илья</t>
  </si>
  <si>
    <t>Ипатова Елена</t>
  </si>
  <si>
    <t>Исаев О</t>
  </si>
  <si>
    <t>Исаченко Сергей</t>
  </si>
  <si>
    <t>Ицков Вадим</t>
  </si>
  <si>
    <t>Ицкова Виктория</t>
  </si>
  <si>
    <t>Кабанова Е</t>
  </si>
  <si>
    <t>Кадетова Наталья</t>
  </si>
  <si>
    <t>Кадников Виталий</t>
  </si>
  <si>
    <t>Казаков Андрей</t>
  </si>
  <si>
    <t>Казаков Артем</t>
  </si>
  <si>
    <t>Казбеков Борис</t>
  </si>
  <si>
    <t>Кайманов Никита</t>
  </si>
  <si>
    <t>Калинников Александр</t>
  </si>
  <si>
    <t>Камелин Павел</t>
  </si>
  <si>
    <t>Кандаков П</t>
  </si>
  <si>
    <t>Каневский Станислав</t>
  </si>
  <si>
    <t>Кановалова О</t>
  </si>
  <si>
    <t>Кантор В</t>
  </si>
  <si>
    <t>Кар Шин</t>
  </si>
  <si>
    <t>Карасев Артем</t>
  </si>
  <si>
    <t>Касьянов Игорь</t>
  </si>
  <si>
    <t>Кацура Илья</t>
  </si>
  <si>
    <t>Качалова Ольга</t>
  </si>
  <si>
    <t>Кваснов Антон</t>
  </si>
  <si>
    <t>Кикоть Владимир</t>
  </si>
  <si>
    <t>Киреев Александр</t>
  </si>
  <si>
    <t>Кириллов Сергей</t>
  </si>
  <si>
    <t>Кирпичников Егор</t>
  </si>
  <si>
    <t>Кирьянов Сергей</t>
  </si>
  <si>
    <t>Кичигин Александр</t>
  </si>
  <si>
    <t>Клапоущак Сергей</t>
  </si>
  <si>
    <t>Клименков Андрей</t>
  </si>
  <si>
    <t>Климчак Валентина</t>
  </si>
  <si>
    <t>Книщук Денис</t>
  </si>
  <si>
    <t>Ко Истефан</t>
  </si>
  <si>
    <t>Ковальский Михаил</t>
  </si>
  <si>
    <t>Ковшова Ксения</t>
  </si>
  <si>
    <t>Коган Анна</t>
  </si>
  <si>
    <t>Кодыш Д</t>
  </si>
  <si>
    <t>Козелков Александр</t>
  </si>
  <si>
    <t>Козлов Игорь</t>
  </si>
  <si>
    <t>Козлов Сергей</t>
  </si>
  <si>
    <t>Колесников Павел</t>
  </si>
  <si>
    <t>Колесникова Кристина</t>
  </si>
  <si>
    <t>Колосов Александр</t>
  </si>
  <si>
    <t>Комарова Полина</t>
  </si>
  <si>
    <t>Кондратьев А</t>
  </si>
  <si>
    <t>Конинин О</t>
  </si>
  <si>
    <t>Кононов Сергей</t>
  </si>
  <si>
    <t>Коноров Виктор</t>
  </si>
  <si>
    <t>Константинова Арина</t>
  </si>
  <si>
    <t>Копейкин Алексей</t>
  </si>
  <si>
    <t>Копейкин Владимир</t>
  </si>
  <si>
    <t>Копейкин Сергей</t>
  </si>
  <si>
    <t>Корниенко София</t>
  </si>
  <si>
    <t>Коробов П</t>
  </si>
  <si>
    <t>Королев Тимофей</t>
  </si>
  <si>
    <t>Кортуков Евгений</t>
  </si>
  <si>
    <t>Кортуков Олег</t>
  </si>
  <si>
    <t>Костарев Александр</t>
  </si>
  <si>
    <t>Костына Виталий</t>
  </si>
  <si>
    <t>Костюкевич Е</t>
  </si>
  <si>
    <t>Коу</t>
  </si>
  <si>
    <t>Кофанов Дмитрий</t>
  </si>
  <si>
    <t>Кочетков В</t>
  </si>
  <si>
    <t>Кочуков Станислав</t>
  </si>
  <si>
    <t>Кравишвили А</t>
  </si>
  <si>
    <t>Крыжаноский М</t>
  </si>
  <si>
    <t>Кузнецов Иван</t>
  </si>
  <si>
    <t>Кузьменко Дарья</t>
  </si>
  <si>
    <t>Кулачкин В</t>
  </si>
  <si>
    <t>Куликов Леонид</t>
  </si>
  <si>
    <t>Купина С</t>
  </si>
  <si>
    <t>Кураев Роман</t>
  </si>
  <si>
    <t>Курдюков Егор</t>
  </si>
  <si>
    <t>Курило Павел</t>
  </si>
  <si>
    <t>Курлышова Ксения</t>
  </si>
  <si>
    <t>Куропаткин Д</t>
  </si>
  <si>
    <t>Курочкин Александр</t>
  </si>
  <si>
    <t>Лабутина А</t>
  </si>
  <si>
    <t>Лагутин С</t>
  </si>
  <si>
    <t>Ладейщиков Андрей</t>
  </si>
  <si>
    <t>Лазарева Л</t>
  </si>
  <si>
    <t>Ларина Мария</t>
  </si>
  <si>
    <t>Лебедев Георгий</t>
  </si>
  <si>
    <t>Лобушкина Елена</t>
  </si>
  <si>
    <t>Логинова</t>
  </si>
  <si>
    <t>Ломакин Даниил</t>
  </si>
  <si>
    <t>Лунев Святослав</t>
  </si>
  <si>
    <t>Лыкосов С</t>
  </si>
  <si>
    <t>Макаренков Дмитрий</t>
  </si>
  <si>
    <t>Макарова О</t>
  </si>
  <si>
    <t>Максютов Ринат</t>
  </si>
  <si>
    <t>Макушина Людмила</t>
  </si>
  <si>
    <t>Малышев Л</t>
  </si>
  <si>
    <t>Малышкин Алексей</t>
  </si>
  <si>
    <t>Мамаева Дарья</t>
  </si>
  <si>
    <t>Мамонтова Светлана</t>
  </si>
  <si>
    <t>Манакова Елена</t>
  </si>
  <si>
    <t>Мануйлов Константин</t>
  </si>
  <si>
    <t>Марич Виталий</t>
  </si>
  <si>
    <t>Маркина Е</t>
  </si>
  <si>
    <t>Марко Антон</t>
  </si>
  <si>
    <t>Маслихов Роман</t>
  </si>
  <si>
    <t>Маслова Ирина</t>
  </si>
  <si>
    <t>Матвеев Александр</t>
  </si>
  <si>
    <t>Махоткин Викентий</t>
  </si>
  <si>
    <t>Мачнев Сергей</t>
  </si>
  <si>
    <t>Медведев Андрей</t>
  </si>
  <si>
    <t>Медведев Евгений</t>
  </si>
  <si>
    <t>Мелкоева Е</t>
  </si>
  <si>
    <t>Мендеров Андрей</t>
  </si>
  <si>
    <t>Мендерова Ю</t>
  </si>
  <si>
    <t>Мерзликин Артем</t>
  </si>
  <si>
    <t>Мигалина Тамара</t>
  </si>
  <si>
    <t>Миллер Елена</t>
  </si>
  <si>
    <t>Минаев Алексей</t>
  </si>
  <si>
    <t>Минаев Игорь</t>
  </si>
  <si>
    <t>Минин Михаил</t>
  </si>
  <si>
    <t>Миргалаутдинов Эмиль</t>
  </si>
  <si>
    <t>Мироненков Владимир</t>
  </si>
  <si>
    <t>Миронов Сергей</t>
  </si>
  <si>
    <t>Митрофанова Виктория</t>
  </si>
  <si>
    <t>Михайлова Светлана</t>
  </si>
  <si>
    <t>Мичовская Н</t>
  </si>
  <si>
    <t>Мичовский И</t>
  </si>
  <si>
    <t>Мишурин Андрей</t>
  </si>
  <si>
    <t>Мозгунов Михаил</t>
  </si>
  <si>
    <t>Моисеенко Юрий</t>
  </si>
  <si>
    <t>Молодов Сергей</t>
  </si>
  <si>
    <t>Молочаев Алексей</t>
  </si>
  <si>
    <t>Монаков Александр</t>
  </si>
  <si>
    <t>Монастырев Александр</t>
  </si>
  <si>
    <t>Морозов Егор</t>
  </si>
  <si>
    <t>Морозова Дарья</t>
  </si>
  <si>
    <t>Морозова Ольга</t>
  </si>
  <si>
    <t>Мосина Наталья</t>
  </si>
  <si>
    <t>Муляди Дасеп</t>
  </si>
  <si>
    <t>Мун Анастасия</t>
  </si>
  <si>
    <t>Мун Геннадий</t>
  </si>
  <si>
    <t>Муравьева</t>
  </si>
  <si>
    <t>Мыкина Вера</t>
  </si>
  <si>
    <t>Мысина Вера</t>
  </si>
  <si>
    <t>Мякишев Константин</t>
  </si>
  <si>
    <t>Мясников Александр</t>
  </si>
  <si>
    <t>Назаренко Антон</t>
  </si>
  <si>
    <t>Назаров Вадим</t>
  </si>
  <si>
    <t>Насонов Антон</t>
  </si>
  <si>
    <t>Науменков Сергей</t>
  </si>
  <si>
    <t>Небусова Алена</t>
  </si>
  <si>
    <t>Нечитайло Владимир</t>
  </si>
  <si>
    <t>Нешумов В</t>
  </si>
  <si>
    <t>Никифоров Олег</t>
  </si>
  <si>
    <t>Никишин Вячеслав</t>
  </si>
  <si>
    <t>Николаева Марина</t>
  </si>
  <si>
    <t>Николенко Михаил</t>
  </si>
  <si>
    <t>Новицкий П</t>
  </si>
  <si>
    <t>Новожилова Наталья</t>
  </si>
  <si>
    <t>Новыш Д</t>
  </si>
  <si>
    <t>Обухов</t>
  </si>
  <si>
    <t>Овдеенко Елизавета</t>
  </si>
  <si>
    <t>Овчухов Геннадий</t>
  </si>
  <si>
    <t>Огнева Надежда</t>
  </si>
  <si>
    <t>Округин Александр</t>
  </si>
  <si>
    <t>Округина Виктория</t>
  </si>
  <si>
    <t>Окунев Олег</t>
  </si>
  <si>
    <t>Ольшанская Ангелина</t>
  </si>
  <si>
    <t>Оныщук Алексей</t>
  </si>
  <si>
    <t>Орлов</t>
  </si>
  <si>
    <t>Орлов Алексей</t>
  </si>
  <si>
    <t>Орлов Дмитрий</t>
  </si>
  <si>
    <t>Орнатов Евгений</t>
  </si>
  <si>
    <t>Осипов Виктор</t>
  </si>
  <si>
    <t>Осияненко Анастасия</t>
  </si>
  <si>
    <t>Осташев Леонид</t>
  </si>
  <si>
    <t>Павленко В</t>
  </si>
  <si>
    <t>Павлов Евгений</t>
  </si>
  <si>
    <t>Палеев Михаил</t>
  </si>
  <si>
    <t>Палеха Иван</t>
  </si>
  <si>
    <t>Панфиленок Евгений</t>
  </si>
  <si>
    <t>Парийская Наталья</t>
  </si>
  <si>
    <t>Парийский Артем</t>
  </si>
  <si>
    <t>Пателеев Павел</t>
  </si>
  <si>
    <t>Патрин Александр</t>
  </si>
  <si>
    <t>Патюта Максим</t>
  </si>
  <si>
    <t>Пачеко Даниель</t>
  </si>
  <si>
    <t>Певнев Илья</t>
  </si>
  <si>
    <t>Пекарь Виктория</t>
  </si>
  <si>
    <t>Пересецкий Виталий</t>
  </si>
  <si>
    <t>Петров Георгий</t>
  </si>
  <si>
    <t>Поветкин Михаил</t>
  </si>
  <si>
    <t>Поликарпов Олег</t>
  </si>
  <si>
    <t>Полинская Анна</t>
  </si>
  <si>
    <t>Полудкин Е</t>
  </si>
  <si>
    <t>Поляков Александр</t>
  </si>
  <si>
    <t>Поляков Иван</t>
  </si>
  <si>
    <t>Поляков Игорь</t>
  </si>
  <si>
    <t>Пономарев Игорь</t>
  </si>
  <si>
    <t>Попов И</t>
  </si>
  <si>
    <t>Попова Светлана</t>
  </si>
  <si>
    <t>Портнов Д</t>
  </si>
  <si>
    <t>Портнов Дмитрий</t>
  </si>
  <si>
    <t>Портнов Е</t>
  </si>
  <si>
    <t>Постнова Людмила</t>
  </si>
  <si>
    <t>Пояркова Т</t>
  </si>
  <si>
    <t>Предеин Евгений</t>
  </si>
  <si>
    <t>Проничев</t>
  </si>
  <si>
    <t>Прудников Сергей</t>
  </si>
  <si>
    <t>Пугачева Т</t>
  </si>
  <si>
    <t>Пуличкина Ольга</t>
  </si>
  <si>
    <t>Пупыкин Виктор</t>
  </si>
  <si>
    <t>Пупыкин Дмитрий</t>
  </si>
  <si>
    <t>Пупыкин Максим</t>
  </si>
  <si>
    <t>Путилин В</t>
  </si>
  <si>
    <t>Пухов Станислав</t>
  </si>
  <si>
    <t>Пушкарев Сергей</t>
  </si>
  <si>
    <t>Пыхтин Н</t>
  </si>
  <si>
    <t>Радченко Валерий</t>
  </si>
  <si>
    <t>Ратуш Галина</t>
  </si>
  <si>
    <t>Рахимов И</t>
  </si>
  <si>
    <t>Рекозубова А</t>
  </si>
  <si>
    <t>Рогачев Владимир</t>
  </si>
  <si>
    <t>Рогова Наталья</t>
  </si>
  <si>
    <t>Рогова Ольга</t>
  </si>
  <si>
    <t>Рогожников Анатолий</t>
  </si>
  <si>
    <t>Розенблюм Максим</t>
  </si>
  <si>
    <t>Рудлер В</t>
  </si>
  <si>
    <t>Рулева</t>
  </si>
  <si>
    <t>Русанов А</t>
  </si>
  <si>
    <t>Рыбакова Татьяна</t>
  </si>
  <si>
    <t>Ряховская Ксения</t>
  </si>
  <si>
    <t>Савельев Антон</t>
  </si>
  <si>
    <t>Савельев Юрий</t>
  </si>
  <si>
    <t>Савельева Валерия</t>
  </si>
  <si>
    <t>Савченков Владимир</t>
  </si>
  <si>
    <t>Сазонов Павел</t>
  </si>
  <si>
    <t>Самарин А</t>
  </si>
  <si>
    <t>Санин В</t>
  </si>
  <si>
    <t>Сапчев Дмитрий</t>
  </si>
  <si>
    <t>Светлов Кирилл</t>
  </si>
  <si>
    <t>Свешников К</t>
  </si>
  <si>
    <t>Свиридов Сергей</t>
  </si>
  <si>
    <t>Седых Л</t>
  </si>
  <si>
    <t>Седых С</t>
  </si>
  <si>
    <t>Селезнева Марина</t>
  </si>
  <si>
    <t>Селиверстова Е</t>
  </si>
  <si>
    <t>Семенов Иван</t>
  </si>
  <si>
    <t>Семенова Анастасия</t>
  </si>
  <si>
    <t>Семенова Ольга</t>
  </si>
  <si>
    <t>Семчуков П</t>
  </si>
  <si>
    <t>Сенеш Габор</t>
  </si>
  <si>
    <t>Сенченков А</t>
  </si>
  <si>
    <t>Сергеев А</t>
  </si>
  <si>
    <t>Сергеева</t>
  </si>
  <si>
    <t>Сериков В</t>
  </si>
  <si>
    <t>Сетуха Елена</t>
  </si>
  <si>
    <t>Сивухин Павел</t>
  </si>
  <si>
    <t>Сигал Борис</t>
  </si>
  <si>
    <t>Сидоров Илья</t>
  </si>
  <si>
    <t>Сизов Александр</t>
  </si>
  <si>
    <t>Синельник О</t>
  </si>
  <si>
    <t>Синха Абхай</t>
  </si>
  <si>
    <t>Синчинов Роман</t>
  </si>
  <si>
    <t>Скоробогатов Константин</t>
  </si>
  <si>
    <t>Скребнев Евгений</t>
  </si>
  <si>
    <t>Смагин Борис</t>
  </si>
  <si>
    <t>Смелый Игорь</t>
  </si>
  <si>
    <t>Смирнов П</t>
  </si>
  <si>
    <t>Смолякова Елизавета</t>
  </si>
  <si>
    <t>Собинов</t>
  </si>
  <si>
    <t>Собинов А</t>
  </si>
  <si>
    <t>Соколов Андрей</t>
  </si>
  <si>
    <t>Соколова Алла</t>
  </si>
  <si>
    <t>Соколова Инна</t>
  </si>
  <si>
    <t>Соловьев Владислав</t>
  </si>
  <si>
    <t>Солодухина Елена</t>
  </si>
  <si>
    <t>Соломатин Юрий</t>
  </si>
  <si>
    <t>Сорокин Александр</t>
  </si>
  <si>
    <t>Сорокин Александр С</t>
  </si>
  <si>
    <t>Сорокина Надежда</t>
  </si>
  <si>
    <t>Сорокина Юля</t>
  </si>
  <si>
    <t>Сотскова Татьяна</t>
  </si>
  <si>
    <t>Спиридонов В</t>
  </si>
  <si>
    <t>Спиридонов Никита</t>
  </si>
  <si>
    <t>Старовойтов Сергей</t>
  </si>
  <si>
    <t>Старостин Александр</t>
  </si>
  <si>
    <t>Сташевский В</t>
  </si>
  <si>
    <t>Степаненко Владимир</t>
  </si>
  <si>
    <t>Ступак Александр</t>
  </si>
  <si>
    <t>Стучинский Николай</t>
  </si>
  <si>
    <t>Субботина С</t>
  </si>
  <si>
    <t>Сунарто</t>
  </si>
  <si>
    <t>Супрунюк Дмитрий</t>
  </si>
  <si>
    <t>Сухарев Семен</t>
  </si>
  <si>
    <t>Сызько А</t>
  </si>
  <si>
    <t>Сызько К</t>
  </si>
  <si>
    <t>Тараканов Руслан</t>
  </si>
  <si>
    <t>Тарасов Кирилл</t>
  </si>
  <si>
    <t>Татаринцева Ирина</t>
  </si>
  <si>
    <t>Таштариан Масуд</t>
  </si>
  <si>
    <t>Тен Дмитрий</t>
  </si>
  <si>
    <t>Теплюк Николай</t>
  </si>
  <si>
    <t>Тесля В</t>
  </si>
  <si>
    <t>Тимофеев Александр</t>
  </si>
  <si>
    <t>Тинякова Александра</t>
  </si>
  <si>
    <t>Тинякова Дарья</t>
  </si>
  <si>
    <t>Тихомиров Григорий</t>
  </si>
  <si>
    <t>Тихонов Андрей</t>
  </si>
  <si>
    <t>Ткаченко Кирилл</t>
  </si>
  <si>
    <t>Ткачук Андрей</t>
  </si>
  <si>
    <t>Трефилов Петр</t>
  </si>
  <si>
    <t>Трофимовский Сергей</t>
  </si>
  <si>
    <t>Трубникова М</t>
  </si>
  <si>
    <t>Тупиков Евгений</t>
  </si>
  <si>
    <t>Туровцев Константин</t>
  </si>
  <si>
    <t>Фаенова Юлия</t>
  </si>
  <si>
    <t>Федоров Дмитрий</t>
  </si>
  <si>
    <t>Федоров Дмитрий 2</t>
  </si>
  <si>
    <t>Федосюткин Антон</t>
  </si>
  <si>
    <t>Федоткин Григорий</t>
  </si>
  <si>
    <t>Фельк Александр</t>
  </si>
  <si>
    <t>Фельк Ирина</t>
  </si>
  <si>
    <t>Феоктистова О</t>
  </si>
  <si>
    <t>Фертман Борис</t>
  </si>
  <si>
    <t>Филимонова</t>
  </si>
  <si>
    <t>Фисенко Дмитрий</t>
  </si>
  <si>
    <t>Фомина Ольга</t>
  </si>
  <si>
    <t>Фомичев Олег</t>
  </si>
  <si>
    <t>Форофонтова Елена</t>
  </si>
  <si>
    <t>Хабаров Алексей</t>
  </si>
  <si>
    <t>Хайкин Владислав</t>
  </si>
  <si>
    <t>Харченко Алексей</t>
  </si>
  <si>
    <t>Харченко Татьяна</t>
  </si>
  <si>
    <t>Хасанова А</t>
  </si>
  <si>
    <t>Хаян Гаик</t>
  </si>
  <si>
    <t>Хитриченко Василиса</t>
  </si>
  <si>
    <t>Хохлова Елена</t>
  </si>
  <si>
    <t>Хренников Александр</t>
  </si>
  <si>
    <t>Хункаев С</t>
  </si>
  <si>
    <t>Цибульский А</t>
  </si>
  <si>
    <t>Цуканов Степан</t>
  </si>
  <si>
    <t>Чантуридзе Давид</t>
  </si>
  <si>
    <t>Чантхамонти</t>
  </si>
  <si>
    <t>Чарыева Ирина</t>
  </si>
  <si>
    <t>Чашин Алексей</t>
  </si>
  <si>
    <t>Чемеринский Сергей</t>
  </si>
  <si>
    <t>Чертенков Леонид</t>
  </si>
  <si>
    <t>Чертенкова Татьяна</t>
  </si>
  <si>
    <t>Чертков С</t>
  </si>
  <si>
    <t>Чертова Ирина</t>
  </si>
  <si>
    <t>Чижов Николай</t>
  </si>
  <si>
    <t>Чистяков Виталий</t>
  </si>
  <si>
    <t>Чихирев Андрей</t>
  </si>
  <si>
    <t>Чугунов Георгий</t>
  </si>
  <si>
    <t>Чукавин Артем</t>
  </si>
  <si>
    <t>Чукавина Александра</t>
  </si>
  <si>
    <t>Чуков Андрей</t>
  </si>
  <si>
    <t>Чурилин Юрий</t>
  </si>
  <si>
    <t>Шалаева Марина</t>
  </si>
  <si>
    <t>Шалманова Ирина</t>
  </si>
  <si>
    <t>Шарапова Елена</t>
  </si>
  <si>
    <t>Шарма Мукеш</t>
  </si>
  <si>
    <t>Швецов Александр</t>
  </si>
  <si>
    <t>Шестеро Дмитрий</t>
  </si>
  <si>
    <t>Шибаева Юлия</t>
  </si>
  <si>
    <t>Шиканян Вера</t>
  </si>
  <si>
    <t>Широких Илья</t>
  </si>
  <si>
    <t>Широченко Маргарита</t>
  </si>
  <si>
    <t>Шмыков Василий</t>
  </si>
  <si>
    <t>Шорина</t>
  </si>
  <si>
    <t>Шульгин Александр</t>
  </si>
  <si>
    <t>Шумская Елена</t>
  </si>
  <si>
    <t>Шушков А</t>
  </si>
  <si>
    <t>Щепетков С</t>
  </si>
  <si>
    <t>Щербачева Элина</t>
  </si>
  <si>
    <t>Щербаченко Сергей</t>
  </si>
  <si>
    <t>Юдин Андрей</t>
  </si>
  <si>
    <t>Юн Виктор</t>
  </si>
  <si>
    <t>Юрьев И</t>
  </si>
  <si>
    <t>Яковлева Лена</t>
  </si>
  <si>
    <t>Ямпольский Илья</t>
  </si>
  <si>
    <t>Янчук Анна</t>
  </si>
  <si>
    <t>Япарова М</t>
  </si>
  <si>
    <t>Яркина Оксана</t>
  </si>
  <si>
    <t>Ясинецкий Валерий</t>
  </si>
  <si>
    <t>Абаева Е</t>
  </si>
  <si>
    <t>Абасова Карина</t>
  </si>
  <si>
    <t>Аблитаров Эдуард</t>
  </si>
  <si>
    <t>Абрамов Константин</t>
  </si>
  <si>
    <t>Абрамов Сергей</t>
  </si>
  <si>
    <t>Абрамчук Анастасия</t>
  </si>
  <si>
    <t>Авакова Софья</t>
  </si>
  <si>
    <t>Аванесов Дмитрий</t>
  </si>
  <si>
    <t>Авербух Наталья</t>
  </si>
  <si>
    <t>Аверьянов Дмитрий</t>
  </si>
  <si>
    <t>Автономов Константин</t>
  </si>
  <si>
    <t>Агаджанян Елена</t>
  </si>
  <si>
    <t>Агальцов</t>
  </si>
  <si>
    <t>Агальцов Алексей</t>
  </si>
  <si>
    <t>Агапов Максим</t>
  </si>
  <si>
    <t>Агафонов Александр</t>
  </si>
  <si>
    <t>Агафонов Евгений</t>
  </si>
  <si>
    <t>Агафонова Татьяна</t>
  </si>
  <si>
    <t>Агеенко Глеб</t>
  </si>
  <si>
    <t>Аджамоглян Артем</t>
  </si>
  <si>
    <t>Азми</t>
  </si>
  <si>
    <t>Айк Зогранян</t>
  </si>
  <si>
    <t>Айн Азмира Бинти</t>
  </si>
  <si>
    <t>Акиньшин Роман</t>
  </si>
  <si>
    <t>Акмалетдинова Юлия</t>
  </si>
  <si>
    <t>Акмонаева Жанна</t>
  </si>
  <si>
    <t>Аксенов Валентин</t>
  </si>
  <si>
    <t>Аксенов Максим</t>
  </si>
  <si>
    <t>Аксенов Николай</t>
  </si>
  <si>
    <t>Аксенова Ксения</t>
  </si>
  <si>
    <t>Алабужев Дмитрий</t>
  </si>
  <si>
    <t>Александр Можаев</t>
  </si>
  <si>
    <t>Александров Антон</t>
  </si>
  <si>
    <t>Александров Лев</t>
  </si>
  <si>
    <t>Александров Николай</t>
  </si>
  <si>
    <t>Алексеев Алексей</t>
  </si>
  <si>
    <t>Алексеев Кирилл</t>
  </si>
  <si>
    <t>Алексеева Варвара</t>
  </si>
  <si>
    <t>Алексеева Наталья</t>
  </si>
  <si>
    <t>Алексеева Полина</t>
  </si>
  <si>
    <t>Алексеева София</t>
  </si>
  <si>
    <t>Алексеева Эмилия</t>
  </si>
  <si>
    <t>Аленчева</t>
  </si>
  <si>
    <t>Аленькин Сергей</t>
  </si>
  <si>
    <t>Алехин Артем</t>
  </si>
  <si>
    <t>Алешин Михаил</t>
  </si>
  <si>
    <t>Алешкин А.д</t>
  </si>
  <si>
    <t>Алиев Рамиз</t>
  </si>
  <si>
    <t>Алиев Тимур</t>
  </si>
  <si>
    <t>Алипа Антон</t>
  </si>
  <si>
    <t>Алтунина Ольга</t>
  </si>
  <si>
    <t>Алферов Алексей</t>
  </si>
  <si>
    <t>Алферова Светлана</t>
  </si>
  <si>
    <t>Амерханов Марат</t>
  </si>
  <si>
    <t>Ан М</t>
  </si>
  <si>
    <t>Ананьев Алексей</t>
  </si>
  <si>
    <t>Ананьев Иван</t>
  </si>
  <si>
    <t>Ананьев Михаил</t>
  </si>
  <si>
    <t>Анастасов Эдуард</t>
  </si>
  <si>
    <t>Андреасян Игорь</t>
  </si>
  <si>
    <t>Андреев Артем</t>
  </si>
  <si>
    <t>Андреев Виктор</t>
  </si>
  <si>
    <t>Андреев Дмитрий</t>
  </si>
  <si>
    <t>Андреев Игорь</t>
  </si>
  <si>
    <t>Андреев Павел</t>
  </si>
  <si>
    <t>Андреева Александра</t>
  </si>
  <si>
    <t>Андреева Анастасия</t>
  </si>
  <si>
    <t>Андреева Екатерина</t>
  </si>
  <si>
    <t>Андреева Ирина</t>
  </si>
  <si>
    <t>Андреева Надежда</t>
  </si>
  <si>
    <t>Андреева Светлана</t>
  </si>
  <si>
    <t>Андрейчук Евгений</t>
  </si>
  <si>
    <t>Андрианова Елена</t>
  </si>
  <si>
    <t>Андрианова Маргарита</t>
  </si>
  <si>
    <t>Андрусов Андрей</t>
  </si>
  <si>
    <t>Андрусов Никита</t>
  </si>
  <si>
    <t>Андрюков Михаил</t>
  </si>
  <si>
    <t>Аниканов Андрей</t>
  </si>
  <si>
    <t>Аникина Елена</t>
  </si>
  <si>
    <t>Анисимов Андрей</t>
  </si>
  <si>
    <t>Анохин Артем</t>
  </si>
  <si>
    <t>Анохин Максим</t>
  </si>
  <si>
    <t>Антипов Александр</t>
  </si>
  <si>
    <t>Антипова Евгения</t>
  </si>
  <si>
    <t>Антонов Александр</t>
  </si>
  <si>
    <t>Антонов Игорь</t>
  </si>
  <si>
    <t>Антонова Алена</t>
  </si>
  <si>
    <t>Антропов Андрей</t>
  </si>
  <si>
    <t>Ануфриев Андрей</t>
  </si>
  <si>
    <t>Анхимова Екатерина</t>
  </si>
  <si>
    <t>Апанаев Мурат</t>
  </si>
  <si>
    <t>Апанасевич Сергей</t>
  </si>
  <si>
    <t>Аравин</t>
  </si>
  <si>
    <t>Аралов Андрей</t>
  </si>
  <si>
    <t>Арановская Лиля</t>
  </si>
  <si>
    <t>Арапиди Георгий</t>
  </si>
  <si>
    <t>Арбузов Олег</t>
  </si>
  <si>
    <t>Арефьев Артур</t>
  </si>
  <si>
    <t>Аронова Светлана</t>
  </si>
  <si>
    <t>Артынский Андрей</t>
  </si>
  <si>
    <t>Архангельская Ольга</t>
  </si>
  <si>
    <t>Архангельский Алексей</t>
  </si>
  <si>
    <t>Архангельский Артем</t>
  </si>
  <si>
    <t>Архангельский Иван</t>
  </si>
  <si>
    <t>Архангельский Сергей</t>
  </si>
  <si>
    <t>Архипкина Инна</t>
  </si>
  <si>
    <t>Архипов Александр</t>
  </si>
  <si>
    <t>Астафьев Максим</t>
  </si>
  <si>
    <t>Афанасьев Вадим</t>
  </si>
  <si>
    <t>Афанасьев Иннокентий</t>
  </si>
  <si>
    <t>Афанасьева Анисия</t>
  </si>
  <si>
    <t>Афанасьева Софья</t>
  </si>
  <si>
    <t>Афонин Андрей</t>
  </si>
  <si>
    <t>Афонина Анастасия</t>
  </si>
  <si>
    <t>Ахаев Владислав</t>
  </si>
  <si>
    <t>Ахапкин Юрий</t>
  </si>
  <si>
    <t>Ахияров Рустам</t>
  </si>
  <si>
    <t>Ашмарин Олег</t>
  </si>
  <si>
    <t>Ашмарина Ромина</t>
  </si>
  <si>
    <t>Ашраф</t>
  </si>
  <si>
    <t>Ашуркевич Кирилл</t>
  </si>
  <si>
    <t>Аюкина Екатерина</t>
  </si>
  <si>
    <t>Аюкина Светлана</t>
  </si>
  <si>
    <t>Бабашкина Виктория</t>
  </si>
  <si>
    <t>Бабенко Владимир</t>
  </si>
  <si>
    <t>Бабенко Дмитрий</t>
  </si>
  <si>
    <t>Бабошин Иван</t>
  </si>
  <si>
    <t>Бабушкина Наталья</t>
  </si>
  <si>
    <t>Бавыкина Валерия</t>
  </si>
  <si>
    <t>Базалеев Федор</t>
  </si>
  <si>
    <t>Базанов Иван</t>
  </si>
  <si>
    <t>Базарова Мария</t>
  </si>
  <si>
    <t>Байбекова Валентина</t>
  </si>
  <si>
    <t>Бакланов Владимир</t>
  </si>
  <si>
    <t>Бакланов Михаил М</t>
  </si>
  <si>
    <t>Баклыкова Мария</t>
  </si>
  <si>
    <t>Бакулин Даниил</t>
  </si>
  <si>
    <t>Бакулина Оксана</t>
  </si>
  <si>
    <t>Бакунин Дмитрий</t>
  </si>
  <si>
    <t>Бакурова Мария</t>
  </si>
  <si>
    <t>Бакшаева Нина</t>
  </si>
  <si>
    <t>Балев Андрей</t>
  </si>
  <si>
    <t>Балтаев Ильшат</t>
  </si>
  <si>
    <t>Банных Антон</t>
  </si>
  <si>
    <t>Барабадзе Гия</t>
  </si>
  <si>
    <t>Баранаева Евгения</t>
  </si>
  <si>
    <t>Баранов Николай</t>
  </si>
  <si>
    <t>Баранова Диана</t>
  </si>
  <si>
    <t>Баранова Ольга</t>
  </si>
  <si>
    <t>Барбашова Наталья</t>
  </si>
  <si>
    <t>Барзгорадзе Елена</t>
  </si>
  <si>
    <t>Баринова Ирина</t>
  </si>
  <si>
    <t>Басалыга Кирилл</t>
  </si>
  <si>
    <t>Басклейн Ирина</t>
  </si>
  <si>
    <t>Баурин Никита</t>
  </si>
  <si>
    <t>Бахтиева Лейсана</t>
  </si>
  <si>
    <t>Башкатов Игорь</t>
  </si>
  <si>
    <t>Башлаков Михаил</t>
  </si>
  <si>
    <t>Башмаков Владимир</t>
  </si>
  <si>
    <t>Бездетнов Павел</t>
  </si>
  <si>
    <t>Безенина Анна</t>
  </si>
  <si>
    <t>Беззуб Андрей</t>
  </si>
  <si>
    <t>Бекетов Дмитрий</t>
  </si>
  <si>
    <t>Белал Александр</t>
  </si>
  <si>
    <t>Белановская Наталья</t>
  </si>
  <si>
    <t>Белеванцев Василий</t>
  </si>
  <si>
    <t>Беленький Игорь</t>
  </si>
  <si>
    <t>Беликов Андрей</t>
  </si>
  <si>
    <t>Беликов Дмитрий</t>
  </si>
  <si>
    <t>Беликова Надежда</t>
  </si>
  <si>
    <t>Белокопытова Виктория</t>
  </si>
  <si>
    <t>Белолипецкая Людмила</t>
  </si>
  <si>
    <t>Белопольская Анна</t>
  </si>
  <si>
    <t>Белоус Антон</t>
  </si>
  <si>
    <t>Белоус Юрий</t>
  </si>
  <si>
    <t>Белоусова Анастасия</t>
  </si>
  <si>
    <t>Белоусько Максим</t>
  </si>
  <si>
    <t>Белый Александр</t>
  </si>
  <si>
    <t>Белых Станислав</t>
  </si>
  <si>
    <t>Беляев Андрей</t>
  </si>
  <si>
    <t>Беляев Игорь</t>
  </si>
  <si>
    <t>Беляев Сергей</t>
  </si>
  <si>
    <t>Беляева Екатерина</t>
  </si>
  <si>
    <t>Беляков Константин</t>
  </si>
  <si>
    <t>Беляченко Валерий</t>
  </si>
  <si>
    <t>Береговская Мария</t>
  </si>
  <si>
    <t>Бережинский Олег</t>
  </si>
  <si>
    <t>Березникова Мария</t>
  </si>
  <si>
    <t>Беседина Яна</t>
  </si>
  <si>
    <t>Бесков Дмитрий</t>
  </si>
  <si>
    <t>Бескова Вера</t>
  </si>
  <si>
    <t>Бессонов Дмитрий</t>
  </si>
  <si>
    <t>Бессонова Елена</t>
  </si>
  <si>
    <t>Бид Са Вонг</t>
  </si>
  <si>
    <t>Бикташев Евгений</t>
  </si>
  <si>
    <t>Билинсон Борис</t>
  </si>
  <si>
    <t>Бирюков Алексей</t>
  </si>
  <si>
    <t>Бирюкова Дарья</t>
  </si>
  <si>
    <t>Бирюлёва Екатерина</t>
  </si>
  <si>
    <t>Биянчи Николай</t>
  </si>
  <si>
    <t>Блинов Павел</t>
  </si>
  <si>
    <t>Блохин Илья</t>
  </si>
  <si>
    <t>Блохина Алена</t>
  </si>
  <si>
    <t>Боблак Алена</t>
  </si>
  <si>
    <t>Боброва Юлия</t>
  </si>
  <si>
    <t>Бовыкина Евгения</t>
  </si>
  <si>
    <t>Богданов Максим</t>
  </si>
  <si>
    <t>Богданов Юрий</t>
  </si>
  <si>
    <t>Боговалов Михаил</t>
  </si>
  <si>
    <t>Богомаз Наталья</t>
  </si>
  <si>
    <t>Богомолова Анна</t>
  </si>
  <si>
    <t>Богумирский Олег</t>
  </si>
  <si>
    <t>Богута Олег</t>
  </si>
  <si>
    <t>Бойко Маргарита</t>
  </si>
  <si>
    <t>Бойкова Юлия</t>
  </si>
  <si>
    <t>Боков Константин</t>
  </si>
  <si>
    <t>Болотникова Евгения</t>
  </si>
  <si>
    <t>Болотова Екатерина</t>
  </si>
  <si>
    <t>Болтнев Роман</t>
  </si>
  <si>
    <t>Бондарев Максим</t>
  </si>
  <si>
    <t>Бондарева Инга</t>
  </si>
  <si>
    <t>Бондарец Даниил</t>
  </si>
  <si>
    <t>Боргоякова Диана</t>
  </si>
  <si>
    <t>Бордан Виктор</t>
  </si>
  <si>
    <t>Бордачев Егор</t>
  </si>
  <si>
    <t>Бордачева Татьяна</t>
  </si>
  <si>
    <t>Бордюговский Алексей</t>
  </si>
  <si>
    <t>Борисенко Юлия</t>
  </si>
  <si>
    <t>Борисов Александр</t>
  </si>
  <si>
    <t>Борисов Алексей</t>
  </si>
  <si>
    <t>Борисов Андрей</t>
  </si>
  <si>
    <t>Борисов Артем</t>
  </si>
  <si>
    <t>Борисов Виктор</t>
  </si>
  <si>
    <t>Борисов Дмитрий</t>
  </si>
  <si>
    <t>Борисов Егор</t>
  </si>
  <si>
    <t>Борисов Никита</t>
  </si>
  <si>
    <t>Боркова Евгения</t>
  </si>
  <si>
    <t>Бормачев Антон</t>
  </si>
  <si>
    <t>Боровиков Петр</t>
  </si>
  <si>
    <t>Боровков Александр</t>
  </si>
  <si>
    <t>Боровкова Анастасия</t>
  </si>
  <si>
    <t>Боровская Рита</t>
  </si>
  <si>
    <t>Бородавкин Александр</t>
  </si>
  <si>
    <t>Бородин Алексей</t>
  </si>
  <si>
    <t>Бородин Владимир</t>
  </si>
  <si>
    <t>Бородин Даниил</t>
  </si>
  <si>
    <t>Бородин Сергей</t>
  </si>
  <si>
    <t>Боченков Алексей</t>
  </si>
  <si>
    <t>Бочкова Елена</t>
  </si>
  <si>
    <t>Боярский Кирилл</t>
  </si>
  <si>
    <t>Бравая Юлия</t>
  </si>
  <si>
    <t>Брайченко Павел</t>
  </si>
  <si>
    <t>Бралгин Андрей</t>
  </si>
  <si>
    <t>Бралгина Ксения</t>
  </si>
  <si>
    <t>Бриллиантова Анна</t>
  </si>
  <si>
    <t>Бровкова Анастасия</t>
  </si>
  <si>
    <t>Бровченко Сергей</t>
  </si>
  <si>
    <t>Бродниковский Алексей</t>
  </si>
  <si>
    <t>Брыкова Александра</t>
  </si>
  <si>
    <t>Брындина Елена</t>
  </si>
  <si>
    <t>Бубеев Евгений</t>
  </si>
  <si>
    <t>Бубнов Иван</t>
  </si>
  <si>
    <t>Бугреев Тимофей</t>
  </si>
  <si>
    <t>Буданов Даниил</t>
  </si>
  <si>
    <t>Буданов Данил</t>
  </si>
  <si>
    <t>Бузынин Александр</t>
  </si>
  <si>
    <t>Бузынин Алексей</t>
  </si>
  <si>
    <t>Буйкин Алексей</t>
  </si>
  <si>
    <t>Буйко Наталья</t>
  </si>
  <si>
    <t>Букин Алексей</t>
  </si>
  <si>
    <t>Букшенко Марина</t>
  </si>
  <si>
    <t>Буланов Владимир</t>
  </si>
  <si>
    <t>Буланцева Юлия</t>
  </si>
  <si>
    <t>Булатов Сергей</t>
  </si>
  <si>
    <t>Булатова Мария</t>
  </si>
  <si>
    <t>Булушев Александр</t>
  </si>
  <si>
    <t>Булычева Алиса</t>
  </si>
  <si>
    <t>Бунков Кирилл</t>
  </si>
  <si>
    <t>Бурдужа Юрий</t>
  </si>
  <si>
    <t>Буркадзе Елена</t>
  </si>
  <si>
    <t>Буркат Марина</t>
  </si>
  <si>
    <t>Бусыгина Алина</t>
  </si>
  <si>
    <t>Бутовецкий Александр</t>
  </si>
  <si>
    <t>Бучкина Анна</t>
  </si>
  <si>
    <t>Бушков Александр</t>
  </si>
  <si>
    <t>Буянов Григорий</t>
  </si>
  <si>
    <t>Бхашидха Дульшан</t>
  </si>
  <si>
    <t>Быков Алексей</t>
  </si>
  <si>
    <t>Быков Владимир</t>
  </si>
  <si>
    <t>Быков Денис</t>
  </si>
  <si>
    <t>Быковских Максим</t>
  </si>
  <si>
    <t>Быстрова Анастасия</t>
  </si>
  <si>
    <t>Бычек Виктор</t>
  </si>
  <si>
    <t>Бычкова Элеонора</t>
  </si>
  <si>
    <t>Ваганов Андрей</t>
  </si>
  <si>
    <t>Вайло Юрий</t>
  </si>
  <si>
    <t>Вакарчук Алексей</t>
  </si>
  <si>
    <t>Вакуленко Андрей</t>
  </si>
  <si>
    <t>Вам Хан</t>
  </si>
  <si>
    <t>Ван Юнхуа</t>
  </si>
  <si>
    <t>Ванякин Артём</t>
  </si>
  <si>
    <t>Варакса Павел</t>
  </si>
  <si>
    <t>Варданян Валерий</t>
  </si>
  <si>
    <t>Варламова Екатерина</t>
  </si>
  <si>
    <t>Варфоломеев Сергей</t>
  </si>
  <si>
    <t>Варшавский</t>
  </si>
  <si>
    <t>Васильев Вадим</t>
  </si>
  <si>
    <t>Васильев Валерий</t>
  </si>
  <si>
    <t>Васильев Георгий</t>
  </si>
  <si>
    <t>Васильев Евгений</t>
  </si>
  <si>
    <t>Васильев Максим</t>
  </si>
  <si>
    <t>Васильев Никита</t>
  </si>
  <si>
    <t>Васильев Петр</t>
  </si>
  <si>
    <t>Васильев Ярослав</t>
  </si>
  <si>
    <t>Васильева Наталья</t>
  </si>
  <si>
    <t>Васильева Соня</t>
  </si>
  <si>
    <t>Вассерман</t>
  </si>
  <si>
    <t>Васюков Сергей</t>
  </si>
  <si>
    <t>Вахотин Сергей</t>
  </si>
  <si>
    <t>Вашланова Анастасия</t>
  </si>
  <si>
    <t>Вдовина Мария</t>
  </si>
  <si>
    <t>Веденов Руслан</t>
  </si>
  <si>
    <t>Великанов Виктор</t>
  </si>
  <si>
    <t>Величко Екатерина</t>
  </si>
  <si>
    <t>Вельмакин Владимир</t>
  </si>
  <si>
    <t>Вен Ксуен</t>
  </si>
  <si>
    <t>Венедиктов Илья</t>
  </si>
  <si>
    <t>Венжега Марина</t>
  </si>
  <si>
    <t>Веремейчик Светлана</t>
  </si>
  <si>
    <t>Верещагин Владимир</t>
  </si>
  <si>
    <t>Веселов Антон</t>
  </si>
  <si>
    <t>Веселовский Владимир</t>
  </si>
  <si>
    <t>Ветров Иван</t>
  </si>
  <si>
    <t>Видеев Антон</t>
  </si>
  <si>
    <t>Виера Анастасия</t>
  </si>
  <si>
    <t>Виеру Анастасия</t>
  </si>
  <si>
    <t>Виеру Даниил-Андриан</t>
  </si>
  <si>
    <t>Вилсон Линг</t>
  </si>
  <si>
    <t>Виноградов Вадим</t>
  </si>
  <si>
    <t>Виноградов Виктор</t>
  </si>
  <si>
    <t>Виноградов Иван</t>
  </si>
  <si>
    <t>Виноградов Олег</t>
  </si>
  <si>
    <t>Виноходова Людмила</t>
  </si>
  <si>
    <t>Винь Ван Нгуен</t>
  </si>
  <si>
    <t>Винь Нгуен</t>
  </si>
  <si>
    <t>Вирченко Т</t>
  </si>
  <si>
    <t>Вишнивецкий Василий</t>
  </si>
  <si>
    <t>Владимирова Анастасия</t>
  </si>
  <si>
    <t>Владовская Александра</t>
  </si>
  <si>
    <t>Владовская Ирина</t>
  </si>
  <si>
    <t>Владовский Константин</t>
  </si>
  <si>
    <t>Власкина Елизавета</t>
  </si>
  <si>
    <t>Власова Анастасия</t>
  </si>
  <si>
    <t>Власова Виктория</t>
  </si>
  <si>
    <t>Власова Елена</t>
  </si>
  <si>
    <t>Власюк Тарас</t>
  </si>
  <si>
    <t>Внуков Александр</t>
  </si>
  <si>
    <t>Во Дат Хоанг</t>
  </si>
  <si>
    <t>Водянская Марина</t>
  </si>
  <si>
    <t>Волгин Михаил</t>
  </si>
  <si>
    <t>Волков Андрей</t>
  </si>
  <si>
    <t>Волков Илья</t>
  </si>
  <si>
    <t>Волкова Анастасия</t>
  </si>
  <si>
    <t>Волкова Ольга</t>
  </si>
  <si>
    <t>Волкова Полина</t>
  </si>
  <si>
    <t>Волкова Светлана</t>
  </si>
  <si>
    <t>Волкова Татьяна</t>
  </si>
  <si>
    <t>Волковицкая Александра</t>
  </si>
  <si>
    <t>Волковицкая Евгения</t>
  </si>
  <si>
    <t>Волобуев Кирилл</t>
  </si>
  <si>
    <t>Воловик Артем</t>
  </si>
  <si>
    <t>Володькина Светлана</t>
  </si>
  <si>
    <t>Волошенко Роман</t>
  </si>
  <si>
    <t>Волощенко Роман</t>
  </si>
  <si>
    <t>Вольская Наталья</t>
  </si>
  <si>
    <t>Воробьев Алексей А</t>
  </si>
  <si>
    <t>Воробьев Алексей Алексеевич</t>
  </si>
  <si>
    <t>Воробьев Андрей</t>
  </si>
  <si>
    <t>Воробьев Дмитрий</t>
  </si>
  <si>
    <t>Воробьев Иван</t>
  </si>
  <si>
    <t>Воробьёв Сергей</t>
  </si>
  <si>
    <t>Воронин Владимир</t>
  </si>
  <si>
    <t>Вороницын Николай</t>
  </si>
  <si>
    <t>Воронова Ксения</t>
  </si>
  <si>
    <t>Воронова Полина</t>
  </si>
  <si>
    <t>Воронова Светлана</t>
  </si>
  <si>
    <t>Воронцов Владимир</t>
  </si>
  <si>
    <t>Воронцов Иван</t>
  </si>
  <si>
    <t>Вотинов Илья</t>
  </si>
  <si>
    <t>Ву Дык Вьет</t>
  </si>
  <si>
    <t>Ву Мань Линь</t>
  </si>
  <si>
    <t>Ву Тхи Май Хыонг</t>
  </si>
  <si>
    <t>Выговский Игорь</t>
  </si>
  <si>
    <t>Вырвич Кристина</t>
  </si>
  <si>
    <t>Высоцкая Ирина</t>
  </si>
  <si>
    <t>Вьет Ву</t>
  </si>
  <si>
    <t>Вяжевич Алексей</t>
  </si>
  <si>
    <t>Вяткин Евгений</t>
  </si>
  <si>
    <t>Габушев Максим</t>
  </si>
  <si>
    <t>Гавриков Михаил</t>
  </si>
  <si>
    <t>Гаврикова Ульяна</t>
  </si>
  <si>
    <t>Гаврилов Виктор</t>
  </si>
  <si>
    <t>Галискарова Диляра</t>
  </si>
  <si>
    <t>Галкин Алексей</t>
  </si>
  <si>
    <t>Галустова Ирина</t>
  </si>
  <si>
    <t>Ганзевич Дмитрий</t>
  </si>
  <si>
    <t>Ганиев Артем</t>
  </si>
  <si>
    <t>Гапеев Радик</t>
  </si>
  <si>
    <t>Гапеева Галина</t>
  </si>
  <si>
    <t>Гараев Артем</t>
  </si>
  <si>
    <t>Гарин Артем</t>
  </si>
  <si>
    <t>Гарина Татьяна</t>
  </si>
  <si>
    <t>Гарцеев Илья</t>
  </si>
  <si>
    <t>Гаршин Петр</t>
  </si>
  <si>
    <t>Гаспарян Ирина</t>
  </si>
  <si>
    <t>Гашев Дмитрий</t>
  </si>
  <si>
    <t>Гашева Дарья</t>
  </si>
  <si>
    <t>Гвоздева Наталья</t>
  </si>
  <si>
    <t>Гельтищева Юлия</t>
  </si>
  <si>
    <t>Ген Юлия</t>
  </si>
  <si>
    <t>Герасева Екатерина</t>
  </si>
  <si>
    <t>Герасименок Александр</t>
  </si>
  <si>
    <t>Герасимова Ксения</t>
  </si>
  <si>
    <t>Гермогенов Дмитрий</t>
  </si>
  <si>
    <t>Гимов Николай</t>
  </si>
  <si>
    <t>Гинзбург Александр</t>
  </si>
  <si>
    <t>Гирин Дмитрий</t>
  </si>
  <si>
    <t>Гладилина Мария</t>
  </si>
  <si>
    <t>Гладков Николай</t>
  </si>
  <si>
    <t>Гладун Татьяна</t>
  </si>
  <si>
    <t>Глаз Анна</t>
  </si>
  <si>
    <t>Глазкова Наталья</t>
  </si>
  <si>
    <t>Глебов Илья</t>
  </si>
  <si>
    <t>Глухова Юлия</t>
  </si>
  <si>
    <t>Гныпа Владимир</t>
  </si>
  <si>
    <t>Гобелкова Олеся</t>
  </si>
  <si>
    <t>Говорков Александр</t>
  </si>
  <si>
    <t>Гоголь Валерия</t>
  </si>
  <si>
    <t>Гоголь Василиса</t>
  </si>
  <si>
    <t>Гоголь Екатерина</t>
  </si>
  <si>
    <t>Гоголь Константин</t>
  </si>
  <si>
    <t>Годовников Кирилл</t>
  </si>
  <si>
    <t>Гоконаева Александра</t>
  </si>
  <si>
    <t>Голдобеев Евгений</t>
  </si>
  <si>
    <t>Голева Елена</t>
  </si>
  <si>
    <t>Голиков Александр</t>
  </si>
  <si>
    <t>Голобородько Андрей</t>
  </si>
  <si>
    <t>Голованов Артем</t>
  </si>
  <si>
    <t>Голованов Федор</t>
  </si>
  <si>
    <t>Головачев Дмитрий</t>
  </si>
  <si>
    <t>Головченко Артем</t>
  </si>
  <si>
    <t>Головченко Виталий</t>
  </si>
  <si>
    <t>Головченко Сергей</t>
  </si>
  <si>
    <t>Голубева Дарья</t>
  </si>
  <si>
    <t>Голунова Ольга</t>
  </si>
  <si>
    <t>Голышев Михаил</t>
  </si>
  <si>
    <t>Гольдберг Аркадий</t>
  </si>
  <si>
    <t>Гольдберг Сергей</t>
  </si>
  <si>
    <t>Голяндичева Анна</t>
  </si>
  <si>
    <t>Гонг Пенг</t>
  </si>
  <si>
    <t>Гончар Наталья</t>
  </si>
  <si>
    <t>Гончаренко Зинаида</t>
  </si>
  <si>
    <t>Гончаров Алексей</t>
  </si>
  <si>
    <t>Гончаров Сергей</t>
  </si>
  <si>
    <t>Гончарова Ольга</t>
  </si>
  <si>
    <t>Гончарова Светлана</t>
  </si>
  <si>
    <t>Горбатенко Дмитрий</t>
  </si>
  <si>
    <t>Горбацевич Александр</t>
  </si>
  <si>
    <t>Горбачев Василий</t>
  </si>
  <si>
    <t>Горбачев Дмитрий</t>
  </si>
  <si>
    <t>Горбачев Максим</t>
  </si>
  <si>
    <t>Гордеева Елена</t>
  </si>
  <si>
    <t>Гордиенко Кирилл</t>
  </si>
  <si>
    <t>Гордова Ксения</t>
  </si>
  <si>
    <t>Горелова Виктория</t>
  </si>
  <si>
    <t>Горенбург Леонид</t>
  </si>
  <si>
    <t>Горина Маргарита</t>
  </si>
  <si>
    <t>Гориненко Виталий</t>
  </si>
  <si>
    <t>Гориненко Елена</t>
  </si>
  <si>
    <t>Горнякова Наталья</t>
  </si>
  <si>
    <t>Городничев Константин</t>
  </si>
  <si>
    <t>Горохов Михаил</t>
  </si>
  <si>
    <t>Горощенко Сергей</t>
  </si>
  <si>
    <t>Горулев Андрей</t>
  </si>
  <si>
    <t>Горулёва Ирина</t>
  </si>
  <si>
    <t>Горшихин Виктор</t>
  </si>
  <si>
    <t>Горшков Денис</t>
  </si>
  <si>
    <t>Горячев Вячеслав</t>
  </si>
  <si>
    <t>Готман Юрий</t>
  </si>
  <si>
    <t>Гофман Екатерина</t>
  </si>
  <si>
    <t>Грецкий Юрий</t>
  </si>
  <si>
    <t>Григоренко Александр</t>
  </si>
  <si>
    <t>Григорьев Юрий</t>
  </si>
  <si>
    <t>Григорьян Наталия</t>
  </si>
  <si>
    <t>Григорьян Павел</t>
  </si>
  <si>
    <t>Гринёв Владислав</t>
  </si>
  <si>
    <t>Гринев Никита</t>
  </si>
  <si>
    <t>Гриненко Андрей</t>
  </si>
  <si>
    <t>Гришаков Станислав</t>
  </si>
  <si>
    <t>Гришечкин Даниил</t>
  </si>
  <si>
    <t>Гришина Валентина</t>
  </si>
  <si>
    <t>Гришкин Олег</t>
  </si>
  <si>
    <t>Грошева Светлана</t>
  </si>
  <si>
    <t>Грязнов Николай</t>
  </si>
  <si>
    <t>Губанов Александр</t>
  </si>
  <si>
    <t>Губанов Арсений</t>
  </si>
  <si>
    <t>Губеев Евгений</t>
  </si>
  <si>
    <t>Губеева Алина</t>
  </si>
  <si>
    <t>Гуделев Виталий</t>
  </si>
  <si>
    <t>Гукина Марина</t>
  </si>
  <si>
    <t>Гуломзода Шахзод</t>
  </si>
  <si>
    <t>Гулякова Софья</t>
  </si>
  <si>
    <t>Гулянский Андрей</t>
  </si>
  <si>
    <t>Гуманов Василий</t>
  </si>
  <si>
    <t>Гургенидзе Ева</t>
  </si>
  <si>
    <t>Гуреев Вадим</t>
  </si>
  <si>
    <t>Гуров Павел</t>
  </si>
  <si>
    <t>Гурский Семен</t>
  </si>
  <si>
    <t>Гурьев Константин</t>
  </si>
  <si>
    <t>Гурьева Людмила</t>
  </si>
  <si>
    <t>Гусев Антон</t>
  </si>
  <si>
    <t>Гусева Евгения</t>
  </si>
  <si>
    <t>Гусева Ирина</t>
  </si>
  <si>
    <t>Гусева Софья</t>
  </si>
  <si>
    <t>Густова Ольга</t>
  </si>
  <si>
    <t>Густомясов Игорь</t>
  </si>
  <si>
    <t>Гутенёва Ольга</t>
  </si>
  <si>
    <t>Гуцко Дмитрий</t>
  </si>
  <si>
    <t>Гысева Елизавета</t>
  </si>
  <si>
    <t>Давыденко Алексей</t>
  </si>
  <si>
    <t>Давыдов Владислав</t>
  </si>
  <si>
    <t>Давыдов Николай</t>
  </si>
  <si>
    <t>Дагилис Миндаугас</t>
  </si>
  <si>
    <t>Дадаев Антон</t>
  </si>
  <si>
    <t>Данг Ван Куанг</t>
  </si>
  <si>
    <t>Данг Ванг Куанг</t>
  </si>
  <si>
    <t>Данилина Анастасия</t>
  </si>
  <si>
    <t>Данилкин Алексей</t>
  </si>
  <si>
    <t>Данилов Андрей</t>
  </si>
  <si>
    <t>Данилов Борис</t>
  </si>
  <si>
    <t>Данилов Иван</t>
  </si>
  <si>
    <t>Данилов Константин</t>
  </si>
  <si>
    <t>Данилова Дарья</t>
  </si>
  <si>
    <t>Данилова Жанна</t>
  </si>
  <si>
    <t>Данилова Марианна</t>
  </si>
  <si>
    <t>Данилова Ольга</t>
  </si>
  <si>
    <t>Данилчев Антон</t>
  </si>
  <si>
    <t>Данильчев Антон</t>
  </si>
  <si>
    <t>Данилюк Виктор</t>
  </si>
  <si>
    <t>Дану</t>
  </si>
  <si>
    <t>Данченко Анастасия</t>
  </si>
  <si>
    <t>Данченко Максим</t>
  </si>
  <si>
    <t>Дарья Савкина</t>
  </si>
  <si>
    <t>Даянова Флера</t>
  </si>
  <si>
    <t>Двоскина Полина</t>
  </si>
  <si>
    <t>Дегилевич Никита</t>
  </si>
  <si>
    <t>Дегтярев Александр</t>
  </si>
  <si>
    <t>Дегтярева Галина</t>
  </si>
  <si>
    <t>Дедыш Виктор</t>
  </si>
  <si>
    <t>Деев Сергей</t>
  </si>
  <si>
    <t>Демкина Александра</t>
  </si>
  <si>
    <t>Демченко Дмитрий</t>
  </si>
  <si>
    <t>Денг Ксяо Хай</t>
  </si>
  <si>
    <t>Денисенко Алексей</t>
  </si>
  <si>
    <t>Денисов Александр</t>
  </si>
  <si>
    <t>Денисов Евгений</t>
  </si>
  <si>
    <t>Денисов Юрий</t>
  </si>
  <si>
    <t>Денисова Анна</t>
  </si>
  <si>
    <t>Денисова Екатерина</t>
  </si>
  <si>
    <t>Денисова Наталья</t>
  </si>
  <si>
    <t>Денисова Ольга</t>
  </si>
  <si>
    <t>Дербенева Наталья</t>
  </si>
  <si>
    <t>Дергач Сергей</t>
  </si>
  <si>
    <t>Дергунова</t>
  </si>
  <si>
    <t>Дергунова Виктория</t>
  </si>
  <si>
    <t>Дерина Елена</t>
  </si>
  <si>
    <t>Дерябин Иван</t>
  </si>
  <si>
    <t>Дерявко Виктор</t>
  </si>
  <si>
    <t>Деулина Евгения</t>
  </si>
  <si>
    <t>Джандосова Алина</t>
  </si>
  <si>
    <t>Джаясурия Памодя Сарит</t>
  </si>
  <si>
    <t>Джеджула Дарья</t>
  </si>
  <si>
    <t>Джек</t>
  </si>
  <si>
    <t>Дзасеева Анна</t>
  </si>
  <si>
    <t>Дзюра Артем Михайлович</t>
  </si>
  <si>
    <t>Дзюра Христофор</t>
  </si>
  <si>
    <t>Диаров Валерий</t>
  </si>
  <si>
    <t>Диденко Сергей</t>
  </si>
  <si>
    <t>Дидковская Анна</t>
  </si>
  <si>
    <t>Димитров Андрей</t>
  </si>
  <si>
    <t>Димов Егор</t>
  </si>
  <si>
    <t>Динжос Роман</t>
  </si>
  <si>
    <t>Диннер Инесса</t>
  </si>
  <si>
    <t>Диншоу Шавир Мину</t>
  </si>
  <si>
    <t>Дискевициус Реналдас</t>
  </si>
  <si>
    <t>Дит Савон Хамсе</t>
  </si>
  <si>
    <t>Диянов Михаил Александрович</t>
  </si>
  <si>
    <t>Диянова Вероника</t>
  </si>
  <si>
    <t>Дмитриев Валерий</t>
  </si>
  <si>
    <t>Дмитриев Егор</t>
  </si>
  <si>
    <t>Дмитриева Елена</t>
  </si>
  <si>
    <t>Дмитриева Мария</t>
  </si>
  <si>
    <t>Добротин Александр</t>
  </si>
  <si>
    <t>Добротин Владимир</t>
  </si>
  <si>
    <t>Дойников Андрей</t>
  </si>
  <si>
    <t>Докудаев Руслан Шамилевич</t>
  </si>
  <si>
    <t>Докудаева Елизавета</t>
  </si>
  <si>
    <t>Долгих Елена</t>
  </si>
  <si>
    <t>Долгов Сергей</t>
  </si>
  <si>
    <t>Долгушин Александр</t>
  </si>
  <si>
    <t>Долотов Андрей</t>
  </si>
  <si>
    <t>Домарев Андрей</t>
  </si>
  <si>
    <t>Домашнев Дмитрий</t>
  </si>
  <si>
    <t>Дормидонтова Ольга</t>
  </si>
  <si>
    <t>Дородников Денис</t>
  </si>
  <si>
    <t>Доронина Инна</t>
  </si>
  <si>
    <t>Дорофеев Алексей</t>
  </si>
  <si>
    <t>Дорошенко Артем</t>
  </si>
  <si>
    <t>Дорфан Михаил</t>
  </si>
  <si>
    <t>Дорфман Михаил</t>
  </si>
  <si>
    <t>Драбкина Мария</t>
  </si>
  <si>
    <t>Драганов Игорь</t>
  </si>
  <si>
    <t>Драгомиров Денис</t>
  </si>
  <si>
    <t>Дроботов Александр</t>
  </si>
  <si>
    <t>Дроздов Семен</t>
  </si>
  <si>
    <t>Дружинина Юлия</t>
  </si>
  <si>
    <t>Дубков Дмитрий</t>
  </si>
  <si>
    <t>Дубневич Александр</t>
  </si>
  <si>
    <t>Дубова Алиса</t>
  </si>
  <si>
    <t>Дубовенко Александр</t>
  </si>
  <si>
    <t>Дубовенко Даниил</t>
  </si>
  <si>
    <t>Дубовенко Елена</t>
  </si>
  <si>
    <t>Дубовенко Ольга</t>
  </si>
  <si>
    <t>Дубовенко Сергей</t>
  </si>
  <si>
    <t>Дубовицкая Мария</t>
  </si>
  <si>
    <t>Дубровская Наталья</t>
  </si>
  <si>
    <t>Дудин Алексей</t>
  </si>
  <si>
    <t>Дудин Дмитрий</t>
  </si>
  <si>
    <t>Дудко Антон</t>
  </si>
  <si>
    <t>Дудко Наталья</t>
  </si>
  <si>
    <t>Дуйсебаев Толагай</t>
  </si>
  <si>
    <t>Дунаевский Евгений</t>
  </si>
  <si>
    <t>Дурицын Виктор</t>
  </si>
  <si>
    <t>Дьяконов Алексей</t>
  </si>
  <si>
    <t>Дьяконов Олег</t>
  </si>
  <si>
    <t>Евгенова Ксения</t>
  </si>
  <si>
    <t>Евграфов Денис</t>
  </si>
  <si>
    <t>Евдокимов Роман</t>
  </si>
  <si>
    <t>Евстропов Денис</t>
  </si>
  <si>
    <t>Евстропов Сергей</t>
  </si>
  <si>
    <t>Евтеева Элина</t>
  </si>
  <si>
    <t>Егикян Ангелина</t>
  </si>
  <si>
    <t>Егодаге Субаш Чаминда</t>
  </si>
  <si>
    <t>Егоров Александр</t>
  </si>
  <si>
    <t>Егоров Виктор</t>
  </si>
  <si>
    <t>Егоров Денис</t>
  </si>
  <si>
    <t>Егоров Игорь</t>
  </si>
  <si>
    <t>Егорова А</t>
  </si>
  <si>
    <t>Егорова Антонина</t>
  </si>
  <si>
    <t>Егорова Елена</t>
  </si>
  <si>
    <t>Егорова Наталья</t>
  </si>
  <si>
    <t>Егорова Т</t>
  </si>
  <si>
    <t>Егорова Юлия</t>
  </si>
  <si>
    <t>Егорова Яна</t>
  </si>
  <si>
    <t>Егорушкина Дарья</t>
  </si>
  <si>
    <t>Езерский Алексей</t>
  </si>
  <si>
    <t>Елагина Галина</t>
  </si>
  <si>
    <t>Елчев Петр</t>
  </si>
  <si>
    <t>Елькин Леонид</t>
  </si>
  <si>
    <t>Емельянов Никита</t>
  </si>
  <si>
    <t>Епифанова Алена</t>
  </si>
  <si>
    <t>Епишкин Юрий Владимирович</t>
  </si>
  <si>
    <t>Епремян Эмма</t>
  </si>
  <si>
    <t>Епринцева Татьяна</t>
  </si>
  <si>
    <t>Ерасов Сергей</t>
  </si>
  <si>
    <t>Ерасова Екатерина</t>
  </si>
  <si>
    <t>Еремеев Евгений</t>
  </si>
  <si>
    <t>Еремеева Екатерина</t>
  </si>
  <si>
    <t>Еременко Людмила</t>
  </si>
  <si>
    <t>Еришиди Евгений</t>
  </si>
  <si>
    <t>Ермаков Илья</t>
  </si>
  <si>
    <t>Ермолаев Дмитрий</t>
  </si>
  <si>
    <t>Ермолаев Илья</t>
  </si>
  <si>
    <t>Ермолаева Валерия</t>
  </si>
  <si>
    <t>Ермолаева Екатерина</t>
  </si>
  <si>
    <t>Ермолаенко Лилия</t>
  </si>
  <si>
    <t>Ерофеева Анна</t>
  </si>
  <si>
    <t>Ерохин Евгений</t>
  </si>
  <si>
    <t>Ершкова О</t>
  </si>
  <si>
    <t>Ершкова Олеся</t>
  </si>
  <si>
    <t>Ершов Андрей</t>
  </si>
  <si>
    <t>Ершов Денис</t>
  </si>
  <si>
    <t>Ершов Егор</t>
  </si>
  <si>
    <t>Ершов Сергей</t>
  </si>
  <si>
    <t>Ершова Алеся</t>
  </si>
  <si>
    <t>Ершова Анастасия</t>
  </si>
  <si>
    <t>Ершова Екатерина</t>
  </si>
  <si>
    <t>Ершова Наталья</t>
  </si>
  <si>
    <t>Есин Дмитрий</t>
  </si>
  <si>
    <t>Етеревский Игорь</t>
  </si>
  <si>
    <t>Ефанов Владимир</t>
  </si>
  <si>
    <t>Ефанова Полина</t>
  </si>
  <si>
    <t>Ефимиади Леонид</t>
  </si>
  <si>
    <t>Ефимиади Софья</t>
  </si>
  <si>
    <t>Ефременкова Светлана</t>
  </si>
  <si>
    <t>Ефремов Михаил</t>
  </si>
  <si>
    <t>Ефремов Олег</t>
  </si>
  <si>
    <t>Ефремова Марьяна</t>
  </si>
  <si>
    <t>Жалина Юлия</t>
  </si>
  <si>
    <t>Жарков Георгий</t>
  </si>
  <si>
    <t>Жаров Алексей</t>
  </si>
  <si>
    <t>Жданов Артем</t>
  </si>
  <si>
    <t>Жданов Василий</t>
  </si>
  <si>
    <t>Жданов Илья</t>
  </si>
  <si>
    <t>Жданов Сергей</t>
  </si>
  <si>
    <t>Жданова Полина</t>
  </si>
  <si>
    <t>Жигальцова Дарья</t>
  </si>
  <si>
    <t>Жин Яан Донг</t>
  </si>
  <si>
    <t>Жирков Александр</t>
  </si>
  <si>
    <t>Жогова Алла</t>
  </si>
  <si>
    <t>Жохов Климентий</t>
  </si>
  <si>
    <t>Жуков Родион</t>
  </si>
  <si>
    <t>Жукова Дарья</t>
  </si>
  <si>
    <t>Журавлев Дмитрий</t>
  </si>
  <si>
    <t>Журухин Владимир</t>
  </si>
  <si>
    <t>Журухина Татьяна</t>
  </si>
  <si>
    <t>Забородько Дина</t>
  </si>
  <si>
    <t>Завалко Роман</t>
  </si>
  <si>
    <t>Заварина Анна</t>
  </si>
  <si>
    <t>Заведецкий Сергей</t>
  </si>
  <si>
    <t>Загоруйко Андрей</t>
  </si>
  <si>
    <t>Заев Алексей</t>
  </si>
  <si>
    <t>Заев Михаил</t>
  </si>
  <si>
    <t>Зайков Юрий</t>
  </si>
  <si>
    <t>Зайниев Марат</t>
  </si>
  <si>
    <t>Зайцев Даниил</t>
  </si>
  <si>
    <t>Зайцев Константин</t>
  </si>
  <si>
    <t>Зайцева Алеся</t>
  </si>
  <si>
    <t>Заказникова Елена</t>
  </si>
  <si>
    <t>Закамский Андрей</t>
  </si>
  <si>
    <t>Зализняк Андрей</t>
  </si>
  <si>
    <t>Замятин Александр</t>
  </si>
  <si>
    <t>Замятин Алексей</t>
  </si>
  <si>
    <t>Заник Евгений</t>
  </si>
  <si>
    <t>Занкович Андрей</t>
  </si>
  <si>
    <t>Зарипов Михаил</t>
  </si>
  <si>
    <t>Зарипова Оксана Борисовна</t>
  </si>
  <si>
    <t>Застебин Никита</t>
  </si>
  <si>
    <t>Захаров Александр</t>
  </si>
  <si>
    <t>Захарченко Иван</t>
  </si>
  <si>
    <t>Заяц Виктория</t>
  </si>
  <si>
    <t>Звенячкина Екатерина</t>
  </si>
  <si>
    <t>Зверев Александр</t>
  </si>
  <si>
    <t>Зеленев Александр</t>
  </si>
  <si>
    <t>Зеленов Сергей</t>
  </si>
  <si>
    <t>Зеленский Андрей</t>
  </si>
  <si>
    <t>Зеленцов Александр</t>
  </si>
  <si>
    <t>Зелинский Георгий</t>
  </si>
  <si>
    <t>Зернов Сергей</t>
  </si>
  <si>
    <t>Зименко Сергей</t>
  </si>
  <si>
    <t>Зимина Екатерина</t>
  </si>
  <si>
    <t>Зиненко Сергей</t>
  </si>
  <si>
    <t>Зиновьев Илья</t>
  </si>
  <si>
    <t>Зиновьев Максим</t>
  </si>
  <si>
    <t>Злобина Татьяна</t>
  </si>
  <si>
    <t>Злотников Сергей</t>
  </si>
  <si>
    <t>Злотникова Анастасия</t>
  </si>
  <si>
    <t>Знаменский Владислав</t>
  </si>
  <si>
    <t>Знаменский Дмитрий</t>
  </si>
  <si>
    <t>Зоан Вьет Ань</t>
  </si>
  <si>
    <t>Золотова Валентина</t>
  </si>
  <si>
    <t>Зорин Игорь</t>
  </si>
  <si>
    <t>Зорина Вера</t>
  </si>
  <si>
    <t>Зорихин Александр</t>
  </si>
  <si>
    <t>Зорихин Андрей</t>
  </si>
  <si>
    <t>Зубаков Олег</t>
  </si>
  <si>
    <t>Зубанов Алексей</t>
  </si>
  <si>
    <t>Зулькефли Анас Азрай</t>
  </si>
  <si>
    <t>Зыбарев Евгений</t>
  </si>
  <si>
    <t>Зыонг Дык Хиеу</t>
  </si>
  <si>
    <t>Зыонг Дын</t>
  </si>
  <si>
    <t>Зычкова Елизавета</t>
  </si>
  <si>
    <t>Зюкин Максим</t>
  </si>
  <si>
    <t>Зязин Дмитрий</t>
  </si>
  <si>
    <t>Ибатулин Фарид</t>
  </si>
  <si>
    <t>Ибрагимов Илья</t>
  </si>
  <si>
    <t>Иванковская А</t>
  </si>
  <si>
    <t>Иванковская Анастасия</t>
  </si>
  <si>
    <t>Иванов Александр</t>
  </si>
  <si>
    <t>Иванов Антон А</t>
  </si>
  <si>
    <t>Иванов Даниил</t>
  </si>
  <si>
    <t>Иванов Дмитрий</t>
  </si>
  <si>
    <t>Иванова Вера</t>
  </si>
  <si>
    <t>Иванова Дарья</t>
  </si>
  <si>
    <t>Иванова Ксения</t>
  </si>
  <si>
    <t>Иванова Лариса</t>
  </si>
  <si>
    <t>Иванова Марина</t>
  </si>
  <si>
    <t>Иванова Надежда</t>
  </si>
  <si>
    <t>Иванова Наталья</t>
  </si>
  <si>
    <t>Иванова Ольга</t>
  </si>
  <si>
    <t>Иващенко Ольга</t>
  </si>
  <si>
    <t>Ивиницкий Дмитрий</t>
  </si>
  <si>
    <t>Ивлев Илья</t>
  </si>
  <si>
    <t>Ивлев Сергей</t>
  </si>
  <si>
    <t>Ивлева Дарья</t>
  </si>
  <si>
    <t>Ивленков Сергей</t>
  </si>
  <si>
    <t>Игнатенко Алла</t>
  </si>
  <si>
    <t>Игнатенко Василий</t>
  </si>
  <si>
    <t>Игнатов Кирилл</t>
  </si>
  <si>
    <t>Игнатова Виктория</t>
  </si>
  <si>
    <t>Игнатова Ольга</t>
  </si>
  <si>
    <t>Игнатова Ольга 2</t>
  </si>
  <si>
    <t>Игнатович Александра</t>
  </si>
  <si>
    <t>Игнатович Татьяна</t>
  </si>
  <si>
    <t>Игнатьев Андрей</t>
  </si>
  <si>
    <t>Игнатьева Яна</t>
  </si>
  <si>
    <t>Игорь Беленький</t>
  </si>
  <si>
    <t>Игошин Владимир</t>
  </si>
  <si>
    <t>Игошина Елена</t>
  </si>
  <si>
    <t>Игошина Ирина</t>
  </si>
  <si>
    <t>Игошина Ирина Владимировна</t>
  </si>
  <si>
    <t>Игошина Любовь</t>
  </si>
  <si>
    <t>Игумнова Мария</t>
  </si>
  <si>
    <t>Ижик Ольга</t>
  </si>
  <si>
    <t>Ильенко Вера</t>
  </si>
  <si>
    <t>Ильенко Владимир</t>
  </si>
  <si>
    <t>Ильин Алексей</t>
  </si>
  <si>
    <t>Ильин Дмитрий</t>
  </si>
  <si>
    <t>Ильина Анна</t>
  </si>
  <si>
    <t>Ильяшенко Дмитрий</t>
  </si>
  <si>
    <t>Илюшин Сергей</t>
  </si>
  <si>
    <t>Иойлева Елена</t>
  </si>
  <si>
    <t>Иофик Мария</t>
  </si>
  <si>
    <t>Ипатова Елизавета</t>
  </si>
  <si>
    <t>Исаев Роман</t>
  </si>
  <si>
    <t>Исаев Юрий</t>
  </si>
  <si>
    <t>Исаева Валерия</t>
  </si>
  <si>
    <t>Исаева Наталья</t>
  </si>
  <si>
    <t>Исаева Полина</t>
  </si>
  <si>
    <t>Исаева Юлия</t>
  </si>
  <si>
    <t>Исаенко Иван</t>
  </si>
  <si>
    <t>Исаков Игорь</t>
  </si>
  <si>
    <t>Исакова Валерия</t>
  </si>
  <si>
    <t>Ишмуратов Ринат</t>
  </si>
  <si>
    <t>Ишниязов Дмитрий</t>
  </si>
  <si>
    <t>Кабанов Андрей</t>
  </si>
  <si>
    <t>Кабирова Алина</t>
  </si>
  <si>
    <t>Кавалиаускас Рамунас</t>
  </si>
  <si>
    <t>Кадочникова Екатерина</t>
  </si>
  <si>
    <t>Кадыренков Роман</t>
  </si>
  <si>
    <t>Казаков Виктор</t>
  </si>
  <si>
    <t>Казаков Владимир</t>
  </si>
  <si>
    <t>Казаков Дмитрий</t>
  </si>
  <si>
    <t>Казарова Кристина</t>
  </si>
  <si>
    <t>Казаченко Максим</t>
  </si>
  <si>
    <t>Казбеков Алан</t>
  </si>
  <si>
    <t>Казеев Ярослав</t>
  </si>
  <si>
    <t>Казначевский Владимир</t>
  </si>
  <si>
    <t>Казулицин Георгий</t>
  </si>
  <si>
    <t>Калашников Дмитрий</t>
  </si>
  <si>
    <t>Калашникова Мария</t>
  </si>
  <si>
    <t>Каленик Алексей</t>
  </si>
  <si>
    <t>Калинина Наталья</t>
  </si>
  <si>
    <t>Калинина Татьяна</t>
  </si>
  <si>
    <t>Калинкин Андрей</t>
  </si>
  <si>
    <t>Калинкин Юрий</t>
  </si>
  <si>
    <t>Калиновский Станислав</t>
  </si>
  <si>
    <t>Калита Андрей</t>
  </si>
  <si>
    <t>Калитин Александр</t>
  </si>
  <si>
    <t>Калмыков Игорь</t>
  </si>
  <si>
    <t>Кам Сао</t>
  </si>
  <si>
    <t>Камалов Артем</t>
  </si>
  <si>
    <t>Камышенков Илья</t>
  </si>
  <si>
    <t>Кан Алексей</t>
  </si>
  <si>
    <t>Кандаков Павел</t>
  </si>
  <si>
    <t>Кандалинцев Игорь</t>
  </si>
  <si>
    <t>Кандалинцева Анастасия</t>
  </si>
  <si>
    <t>Капкаев Шамиль</t>
  </si>
  <si>
    <t>Капустин Алексей</t>
  </si>
  <si>
    <t>Капустин Андрей</t>
  </si>
  <si>
    <t>Капустянов Олег</t>
  </si>
  <si>
    <t>Капылов Иван</t>
  </si>
  <si>
    <t>Капышев Алексей</t>
  </si>
  <si>
    <t>Карабейли Р</t>
  </si>
  <si>
    <t>Караваева Ярослава</t>
  </si>
  <si>
    <t>Карага Иван</t>
  </si>
  <si>
    <t>Каракозова Анна</t>
  </si>
  <si>
    <t>Карамалькина Эльмира</t>
  </si>
  <si>
    <t>Карамышев Сергей</t>
  </si>
  <si>
    <t>Каратаев Сергей</t>
  </si>
  <si>
    <t>Каратаева Екатерина</t>
  </si>
  <si>
    <t>Каратеев Сергей</t>
  </si>
  <si>
    <t>Карахан Евгений</t>
  </si>
  <si>
    <t>Караченков Никита</t>
  </si>
  <si>
    <t>Карвига Денис</t>
  </si>
  <si>
    <t>Каргаев Родион</t>
  </si>
  <si>
    <t>Карев Игорь</t>
  </si>
  <si>
    <t>Карлсен Андрей</t>
  </si>
  <si>
    <t>Карпачев Дмитрий</t>
  </si>
  <si>
    <t>Карпенко Илья</t>
  </si>
  <si>
    <t>Карпенко Кирилл</t>
  </si>
  <si>
    <t>Карпов Александр</t>
  </si>
  <si>
    <t>Карпов Артем</t>
  </si>
  <si>
    <t>Карпов Георгий</t>
  </si>
  <si>
    <t>Карпович Лешек</t>
  </si>
  <si>
    <t>Карпухин Вадим</t>
  </si>
  <si>
    <t>Карпухин Дмитрий</t>
  </si>
  <si>
    <t>Карпухин Илья</t>
  </si>
  <si>
    <t>Карташов Кирилл</t>
  </si>
  <si>
    <t>Карташов Константин</t>
  </si>
  <si>
    <t>Карташова Анна</t>
  </si>
  <si>
    <t>Кары-ниязов Тимур</t>
  </si>
  <si>
    <t>Карюгин Антон</t>
  </si>
  <si>
    <t>Касицкий Андрей</t>
  </si>
  <si>
    <t>Кассандров Кирилл</t>
  </si>
  <si>
    <t>Катасонов Евгений</t>
  </si>
  <si>
    <t>Катков Алексей</t>
  </si>
  <si>
    <t>Каткова Ирина</t>
  </si>
  <si>
    <t>Качан Наталья</t>
  </si>
  <si>
    <t>Качанова Анна</t>
  </si>
  <si>
    <t>Качевская Наталья</t>
  </si>
  <si>
    <t>Кашенков Роман</t>
  </si>
  <si>
    <t>Каюмова Алиса</t>
  </si>
  <si>
    <t>Каюнова Мария</t>
  </si>
  <si>
    <t>Керницкий Дмитрий</t>
  </si>
  <si>
    <t>Керножицкий Павел</t>
  </si>
  <si>
    <t>Кикоть Евгений</t>
  </si>
  <si>
    <t>Ким Денис</t>
  </si>
  <si>
    <t>Ким Софья</t>
  </si>
  <si>
    <t>Кинжалов Александр</t>
  </si>
  <si>
    <t>Киося Наталья</t>
  </si>
  <si>
    <t>Кириенкова Валерия</t>
  </si>
  <si>
    <t>Кириллов Николай</t>
  </si>
  <si>
    <t>Кириллов Тимофей</t>
  </si>
  <si>
    <t>Кириллова Анна</t>
  </si>
  <si>
    <t>Кириллова Екатерина</t>
  </si>
  <si>
    <t>Кириллова Инна</t>
  </si>
  <si>
    <t>Киронда Алиса</t>
  </si>
  <si>
    <t>Кирпичев Алексей</t>
  </si>
  <si>
    <t>Кирш Сергей</t>
  </si>
  <si>
    <t>Кирякин Илья</t>
  </si>
  <si>
    <t>Киселев Сергей</t>
  </si>
  <si>
    <t>Киселев Тимур</t>
  </si>
  <si>
    <t>Киселева Елена</t>
  </si>
  <si>
    <t>Киселева Ирина</t>
  </si>
  <si>
    <t>Киселевский Александр</t>
  </si>
  <si>
    <t>Кисилев Тимур</t>
  </si>
  <si>
    <t>Кислов Игорь</t>
  </si>
  <si>
    <t>Китин Юрий</t>
  </si>
  <si>
    <t>Китов Кирилл</t>
  </si>
  <si>
    <t>Клеванная Евгения</t>
  </si>
  <si>
    <t>Клешнин Владимир Юрьевич</t>
  </si>
  <si>
    <t>Клименко Оксана</t>
  </si>
  <si>
    <t>Климентьева Ольга</t>
  </si>
  <si>
    <t>Климов Александр</t>
  </si>
  <si>
    <t>Климов Андрей</t>
  </si>
  <si>
    <t>Климов Илья</t>
  </si>
  <si>
    <t>Клипов Олег</t>
  </si>
  <si>
    <t>Клочков Алексей</t>
  </si>
  <si>
    <t>Кляшторный Владислав</t>
  </si>
  <si>
    <t>Книгин Алексей</t>
  </si>
  <si>
    <t>Князев Виктор</t>
  </si>
  <si>
    <t>Князев Михаил</t>
  </si>
  <si>
    <t>Князев Павел</t>
  </si>
  <si>
    <t>Князева Виктория</t>
  </si>
  <si>
    <t>Коан Анг</t>
  </si>
  <si>
    <t>Кобер М</t>
  </si>
  <si>
    <t>Кобер Марина</t>
  </si>
  <si>
    <t>Кобзев Антон</t>
  </si>
  <si>
    <t>Кобзев Игорь</t>
  </si>
  <si>
    <t>Кобзев Роман</t>
  </si>
  <si>
    <t>Кобыляцкий Станисла</t>
  </si>
  <si>
    <t>Ковалёв Илья</t>
  </si>
  <si>
    <t>Ковалева Анастасия</t>
  </si>
  <si>
    <t>Ковалёва Людмила</t>
  </si>
  <si>
    <t>Ковалева Марина</t>
  </si>
  <si>
    <t>Коваленко Андрей</t>
  </si>
  <si>
    <t>Коваленко Антон</t>
  </si>
  <si>
    <t>Коваленко Максим</t>
  </si>
  <si>
    <t>Коваль Юлия</t>
  </si>
  <si>
    <t>Ковальский Иван</t>
  </si>
  <si>
    <t>Ковальчук Кирилл</t>
  </si>
  <si>
    <t>Коженов Александр</t>
  </si>
  <si>
    <t>Козаченко Максим</t>
  </si>
  <si>
    <t>Козленко Сергей</t>
  </si>
  <si>
    <t>Козлов Александр</t>
  </si>
  <si>
    <t>Козлов Глеб</t>
  </si>
  <si>
    <t>Козлов Гусь Александр</t>
  </si>
  <si>
    <t>Козлов Михаил</t>
  </si>
  <si>
    <t>Козлова Алена</t>
  </si>
  <si>
    <t>Козлова Елизавета</t>
  </si>
  <si>
    <t>Козлова Надежда</t>
  </si>
  <si>
    <t>Козлова Татьяна</t>
  </si>
  <si>
    <t>Козлова Эмма</t>
  </si>
  <si>
    <t>Козловская Наталья</t>
  </si>
  <si>
    <t>Козловский Артем</t>
  </si>
  <si>
    <t>Козловский Евгений</t>
  </si>
  <si>
    <t>Козырев Алексей</t>
  </si>
  <si>
    <t>Козырева Виктория</t>
  </si>
  <si>
    <t>Козырева Ольга</t>
  </si>
  <si>
    <t>Кокарев Антон</t>
  </si>
  <si>
    <t>Кокорева Елизавета</t>
  </si>
  <si>
    <t>Колесников Дмитрий</t>
  </si>
  <si>
    <t>Колесников Константин</t>
  </si>
  <si>
    <t>Колоколова Наталия</t>
  </si>
  <si>
    <t>Колоколова Наталья</t>
  </si>
  <si>
    <t>Коломиец Дмитрий</t>
  </si>
  <si>
    <t>Коломнин Данила</t>
  </si>
  <si>
    <t>Колонина Ольга</t>
  </si>
  <si>
    <t>Колосков Владимир</t>
  </si>
  <si>
    <t>Колоскова Мария</t>
  </si>
  <si>
    <t>Колосова Анна</t>
  </si>
  <si>
    <t>Колосова Валентина</t>
  </si>
  <si>
    <t>Кольцов Дмитрий</t>
  </si>
  <si>
    <t>Колягина Людмила</t>
  </si>
  <si>
    <t>Колячко Наталья</t>
  </si>
  <si>
    <t>Комаров Алексей</t>
  </si>
  <si>
    <t>Комарова Елена</t>
  </si>
  <si>
    <t>Комендровская Елена</t>
  </si>
  <si>
    <t>Комков Дмитрий</t>
  </si>
  <si>
    <t>Комнатная Ирина</t>
  </si>
  <si>
    <t>Комолов Михаил</t>
  </si>
  <si>
    <t>Компаниец Алексей</t>
  </si>
  <si>
    <t>Компаниец Виктор</t>
  </si>
  <si>
    <t>Конах Алексей</t>
  </si>
  <si>
    <t>Кондаков Павел</t>
  </si>
  <si>
    <t>Кондрат Надежда</t>
  </si>
  <si>
    <t>Кондратенкова Анастасия</t>
  </si>
  <si>
    <t>Кондратова Алена</t>
  </si>
  <si>
    <t>Кондратьев Александр</t>
  </si>
  <si>
    <t>Кондратьева Маргарита</t>
  </si>
  <si>
    <t>Кондрашин Сергей</t>
  </si>
  <si>
    <t>Коневская Римма</t>
  </si>
  <si>
    <t>Коневский Валерий</t>
  </si>
  <si>
    <t>Конкина Людмила</t>
  </si>
  <si>
    <t>Коновалов Андрей</t>
  </si>
  <si>
    <t>Коновалова</t>
  </si>
  <si>
    <t>Коновалова Елена</t>
  </si>
  <si>
    <t>Коновалова Ольга</t>
  </si>
  <si>
    <t>Кононенко Руслан</t>
  </si>
  <si>
    <t>Кононюк Андрей</t>
  </si>
  <si>
    <t>Конопкина Александра</t>
  </si>
  <si>
    <t>Концевая Светлана</t>
  </si>
  <si>
    <t>Концевич Максим</t>
  </si>
  <si>
    <t>Кончакова Ольга</t>
  </si>
  <si>
    <t>Коньков Сергей</t>
  </si>
  <si>
    <t>Коняхина Анна</t>
  </si>
  <si>
    <t>Копейкин Геннадий</t>
  </si>
  <si>
    <t>Коптяева Ольга</t>
  </si>
  <si>
    <t>Копчугова Ирина</t>
  </si>
  <si>
    <t>Копчугова Любовь</t>
  </si>
  <si>
    <t>Копылова Наталья</t>
  </si>
  <si>
    <t>Копьёв Виталий</t>
  </si>
  <si>
    <t>Корзухин Андрей</t>
  </si>
  <si>
    <t>Корзюк Марианна</t>
  </si>
  <si>
    <t>Корнеев Матвей</t>
  </si>
  <si>
    <t>Корниенко Игорь</t>
  </si>
  <si>
    <t>Корниенко Михаил</t>
  </si>
  <si>
    <t>Корнилина Елена</t>
  </si>
  <si>
    <t>Корнилова Юлия</t>
  </si>
  <si>
    <t>Коробейников Максим</t>
  </si>
  <si>
    <t>Коробов Павел</t>
  </si>
  <si>
    <t>Королёв Александр</t>
  </si>
  <si>
    <t>Королев Вадим</t>
  </si>
  <si>
    <t>Королёв Сергей</t>
  </si>
  <si>
    <t>Королева Алена</t>
  </si>
  <si>
    <t>Коротеев Сергей</t>
  </si>
  <si>
    <t>Коротеева Екатерина</t>
  </si>
  <si>
    <t>Коротков Александр</t>
  </si>
  <si>
    <t>Коротков Антон</t>
  </si>
  <si>
    <t>Корпусов Олег</t>
  </si>
  <si>
    <t>Корпусова Екатерина</t>
  </si>
  <si>
    <t>Корхмазян Баграт</t>
  </si>
  <si>
    <t>Коршикова Александра</t>
  </si>
  <si>
    <t>Корытин Олег</t>
  </si>
  <si>
    <t>Корякина Саргылана</t>
  </si>
  <si>
    <t>Косаревский Владимир</t>
  </si>
  <si>
    <t>Косилова Юлия</t>
  </si>
  <si>
    <t>Косов Александр</t>
  </si>
  <si>
    <t>Косовская Людмила</t>
  </si>
  <si>
    <t>Костецкая Ольга</t>
  </si>
  <si>
    <t>Костикова Ирина</t>
  </si>
  <si>
    <t>Костров Антон</t>
  </si>
  <si>
    <t>Костылев Михаил</t>
  </si>
  <si>
    <t>Костюкевич Евгений</t>
  </si>
  <si>
    <t>Костюкевич Юлия</t>
  </si>
  <si>
    <t>Костюкевич Юрий</t>
  </si>
  <si>
    <t>Костюченко Денис</t>
  </si>
  <si>
    <t>Костягина Елизавета</t>
  </si>
  <si>
    <t>Косцов Георгий</t>
  </si>
  <si>
    <t>Котванова Елизавета</t>
  </si>
  <si>
    <t>Котов Алексей</t>
  </si>
  <si>
    <t>Коханова Дарья</t>
  </si>
  <si>
    <t>Кочергин Дмитрий</t>
  </si>
  <si>
    <t>Кочетков Валерий</t>
  </si>
  <si>
    <t>Кочнев Роман</t>
  </si>
  <si>
    <t>Кочнева Екатерина</t>
  </si>
  <si>
    <t>Кошко Анатолий</t>
  </si>
  <si>
    <t>Кошлань Игорь</t>
  </si>
  <si>
    <t>Краевская Полина</t>
  </si>
  <si>
    <t>Краишвили Анна</t>
  </si>
  <si>
    <t>Красильников Антон</t>
  </si>
  <si>
    <t>Красненкова Юлия</t>
  </si>
  <si>
    <t>Краснихин Аркадий</t>
  </si>
  <si>
    <t>Краснов Евгений</t>
  </si>
  <si>
    <t>Краснов Павел</t>
  </si>
  <si>
    <t>Краснов Роман</t>
  </si>
  <si>
    <t>Краснова Полина</t>
  </si>
  <si>
    <t>Красногорова Лилия</t>
  </si>
  <si>
    <t>Краснопольский Юрий</t>
  </si>
  <si>
    <t>Крат Василий</t>
  </si>
  <si>
    <t>Краузе Анастасия</t>
  </si>
  <si>
    <t>Крашенин Владимир</t>
  </si>
  <si>
    <t>Кревный Евгений</t>
  </si>
  <si>
    <t>Крепков Илья</t>
  </si>
  <si>
    <t>Крец Станислав</t>
  </si>
  <si>
    <t>Кривный Евгений</t>
  </si>
  <si>
    <t>Кривов Денис</t>
  </si>
  <si>
    <t>Кривомазов Денис</t>
  </si>
  <si>
    <t>Кристина Рыжикова</t>
  </si>
  <si>
    <t>Круглов Дмитрий</t>
  </si>
  <si>
    <t>Круглов Евгений</t>
  </si>
  <si>
    <t>Крупенков Михаил</t>
  </si>
  <si>
    <t>Крыжновский Максим</t>
  </si>
  <si>
    <t>Крылов Алексей</t>
  </si>
  <si>
    <t>Крылова Елена</t>
  </si>
  <si>
    <t>Крылова Ксения</t>
  </si>
  <si>
    <t>Крычкова Екатерина</t>
  </si>
  <si>
    <t>Ксианг Янг Ли</t>
  </si>
  <si>
    <t>Кувалдина Татьяна</t>
  </si>
  <si>
    <t>Кудряшев Константин</t>
  </si>
  <si>
    <t>Кузенков Артем</t>
  </si>
  <si>
    <t>Кузенков Василий</t>
  </si>
  <si>
    <t>Кузенков Денис</t>
  </si>
  <si>
    <t>Кузенкова Елизавета</t>
  </si>
  <si>
    <t>Кузенкова Татьяна</t>
  </si>
  <si>
    <t>Кузиков Владимир</t>
  </si>
  <si>
    <t>Кузин Антон</t>
  </si>
  <si>
    <t>Кузин Евгений</t>
  </si>
  <si>
    <t>Кузина Ульяна</t>
  </si>
  <si>
    <t>Кузнецов Александр 3</t>
  </si>
  <si>
    <t>Кузнецов Алексей</t>
  </si>
  <si>
    <t>Кузнецов Андрей</t>
  </si>
  <si>
    <t>Кузнецов Андрей А</t>
  </si>
  <si>
    <t>Кузнецов Василий</t>
  </si>
  <si>
    <t>Кузнецов Игорь</t>
  </si>
  <si>
    <t>Кузнецов Константин</t>
  </si>
  <si>
    <t>Кузнецов Олег</t>
  </si>
  <si>
    <t>Кузнецов Роман</t>
  </si>
  <si>
    <t>Кузнецов Федор</t>
  </si>
  <si>
    <t>Кузнецова Анастасия</t>
  </si>
  <si>
    <t>Кузнецова Арина</t>
  </si>
  <si>
    <t>Кузнецова Василиса</t>
  </si>
  <si>
    <t>Кузнецова Ксения</t>
  </si>
  <si>
    <t>Кузнецова Наталия</t>
  </si>
  <si>
    <t>Кузнецова Ольга</t>
  </si>
  <si>
    <t>Кузнецова Ольга 1</t>
  </si>
  <si>
    <t>Кузнецова Светлана</t>
  </si>
  <si>
    <t>Кузнецова Таня</t>
  </si>
  <si>
    <t>Кузнецова Татьяна Александровна</t>
  </si>
  <si>
    <t>Кузнецова Татьяна Николаевна</t>
  </si>
  <si>
    <t>Кузовкова Ирина</t>
  </si>
  <si>
    <t>Кузьменкова Екатерина</t>
  </si>
  <si>
    <t>Кузьмин Всеволод</t>
  </si>
  <si>
    <t>Куклин Андрей</t>
  </si>
  <si>
    <t>Куклин Владимир</t>
  </si>
  <si>
    <t>Куколев Тимофей</t>
  </si>
  <si>
    <t>Кукушкин Владимир</t>
  </si>
  <si>
    <t>Кукушкин Михаил</t>
  </si>
  <si>
    <t>Кулага Роман</t>
  </si>
  <si>
    <t>Кулак Виктория</t>
  </si>
  <si>
    <t>Кулаков Антон</t>
  </si>
  <si>
    <t>Кулачкин Валерий</t>
  </si>
  <si>
    <t>Куликов Борис</t>
  </si>
  <si>
    <t>Куликов Иван</t>
  </si>
  <si>
    <t>Куликов Олег</t>
  </si>
  <si>
    <t>Куликова Алиса</t>
  </si>
  <si>
    <t>Куликова Наталья</t>
  </si>
  <si>
    <t>Кульков Владимир</t>
  </si>
  <si>
    <t>Купецкая Алина</t>
  </si>
  <si>
    <t>Купина Светлана</t>
  </si>
  <si>
    <t>Купцова Мария</t>
  </si>
  <si>
    <t>Курасов Роман</t>
  </si>
  <si>
    <t>Курдюкова Анастасия</t>
  </si>
  <si>
    <t>Куренкова Мария</t>
  </si>
  <si>
    <t>Курин Алексей</t>
  </si>
  <si>
    <t>Куринов Егор</t>
  </si>
  <si>
    <t>Курлышов Дмитрий</t>
  </si>
  <si>
    <t>Курносов Сергей</t>
  </si>
  <si>
    <t>Куров Вадим</t>
  </si>
  <si>
    <t>Куропаткин Дмитрий</t>
  </si>
  <si>
    <t>Курочкина Мария</t>
  </si>
  <si>
    <t>Кут Екатерина</t>
  </si>
  <si>
    <t>Кутоманова Екатерина</t>
  </si>
  <si>
    <t>Кутсков Евгений</t>
  </si>
  <si>
    <t>Кухарчук Екатерина</t>
  </si>
  <si>
    <t>Куценок Олег</t>
  </si>
  <si>
    <t>Куценюк Олег</t>
  </si>
  <si>
    <t>Кушнир Юлия</t>
  </si>
  <si>
    <t>Кушунин Алексей</t>
  </si>
  <si>
    <t>Лаба Михаил</t>
  </si>
  <si>
    <t>Лабутина Анна</t>
  </si>
  <si>
    <t>Лаврентьев Вадим</t>
  </si>
  <si>
    <t>Лаврентьев Григорий</t>
  </si>
  <si>
    <t>Лаврентьева Евгения</t>
  </si>
  <si>
    <t>Лавриненко Егор</t>
  </si>
  <si>
    <t>Лаврухин Владислав</t>
  </si>
  <si>
    <t>Лаврухина Наталья</t>
  </si>
  <si>
    <t>Лагутина Анастасия</t>
  </si>
  <si>
    <t>Лазарев Сергей</t>
  </si>
  <si>
    <t>Лазарева Людмила</t>
  </si>
  <si>
    <t>Лазерко Алеся</t>
  </si>
  <si>
    <t>Лазовская Татьяна</t>
  </si>
  <si>
    <t>Лазун Олег</t>
  </si>
  <si>
    <t>Лазуткин Игорь</t>
  </si>
  <si>
    <t>Лангман Наталья</t>
  </si>
  <si>
    <t>Ланин Дмитрий</t>
  </si>
  <si>
    <t>Ланин Никита</t>
  </si>
  <si>
    <t>Ланин Сергей</t>
  </si>
  <si>
    <t>Ланцев Андрей</t>
  </si>
  <si>
    <t>Ланцов Антон</t>
  </si>
  <si>
    <t>Лапин Алексей</t>
  </si>
  <si>
    <t>Лапин Владимир</t>
  </si>
  <si>
    <t>Лапина Елена</t>
  </si>
  <si>
    <t>Лапковский Валерий</t>
  </si>
  <si>
    <t>Лапшин Дмитрий</t>
  </si>
  <si>
    <t>Ларин Евгений</t>
  </si>
  <si>
    <t>Ларионова Полина</t>
  </si>
  <si>
    <t>Ларичкина Т</t>
  </si>
  <si>
    <t>Ларьяновский Илья</t>
  </si>
  <si>
    <t>Лаура Апполинария</t>
  </si>
  <si>
    <t>Лаура Глеб</t>
  </si>
  <si>
    <t>Лачугин Владимир</t>
  </si>
  <si>
    <t>Лащев Андрей</t>
  </si>
  <si>
    <t>Ле Чан</t>
  </si>
  <si>
    <t>Лебедева Марина</t>
  </si>
  <si>
    <t>Лебедева Мария</t>
  </si>
  <si>
    <t>Лебёдкин Игорь</t>
  </si>
  <si>
    <t>Леванков Владимир</t>
  </si>
  <si>
    <t>Леванова Алена</t>
  </si>
  <si>
    <t>Левина Елена</t>
  </si>
  <si>
    <t>Левитин Максим</t>
  </si>
  <si>
    <t>Легостаев Александр</t>
  </si>
  <si>
    <t>Лезжова Мария</t>
  </si>
  <si>
    <t>Лен Джун Кай</t>
  </si>
  <si>
    <t>Леонтьева Елизавета</t>
  </si>
  <si>
    <t>Лепешкина Мария</t>
  </si>
  <si>
    <t>Лепип Александр</t>
  </si>
  <si>
    <t>Лесных Виктор</t>
  </si>
  <si>
    <t>Лещенко Екатерина</t>
  </si>
  <si>
    <t>Лещинский Дмитрий</t>
  </si>
  <si>
    <t>Ли Бо</t>
  </si>
  <si>
    <t>Ли Гэюн</t>
  </si>
  <si>
    <t>Ли Елизавета</t>
  </si>
  <si>
    <t>Ли Жанна</t>
  </si>
  <si>
    <t>Ли Сянян</t>
  </si>
  <si>
    <t>Лившиц Лев</t>
  </si>
  <si>
    <t>Лиин Ван</t>
  </si>
  <si>
    <t>Лим Владислав</t>
  </si>
  <si>
    <t>Лин Аким</t>
  </si>
  <si>
    <t>Линева Дарья</t>
  </si>
  <si>
    <t>Липилина Елена</t>
  </si>
  <si>
    <t>Липчук Артем</t>
  </si>
  <si>
    <t>Лисицин Тарас</t>
  </si>
  <si>
    <t>Лисицына Анна</t>
  </si>
  <si>
    <t>Литанов Олег</t>
  </si>
  <si>
    <t>Литвак Павел</t>
  </si>
  <si>
    <t>Литвинская Ксения</t>
  </si>
  <si>
    <t>Литвинская Юлия</t>
  </si>
  <si>
    <t>Литвяк Дмитрий</t>
  </si>
  <si>
    <t>Лифшиц Софья</t>
  </si>
  <si>
    <t>Лихачев Егор</t>
  </si>
  <si>
    <t>Лобандиевский Константин</t>
  </si>
  <si>
    <t>Лобанов Дмитрий</t>
  </si>
  <si>
    <t>Лобанов Игорь</t>
  </si>
  <si>
    <t>Лобанов Сергей</t>
  </si>
  <si>
    <t>Лобанова Татьяна</t>
  </si>
  <si>
    <t>Лобач Виталий</t>
  </si>
  <si>
    <t>Лоботрясов Семен</t>
  </si>
  <si>
    <t>Логвинова Юлия</t>
  </si>
  <si>
    <t>Логинова Дарья</t>
  </si>
  <si>
    <t>Логунов Евгений</t>
  </si>
  <si>
    <t>Лодянова Ирина</t>
  </si>
  <si>
    <t>Лозовская Татьяна</t>
  </si>
  <si>
    <t>Лой Ки Джек</t>
  </si>
  <si>
    <t>Локонова Марина</t>
  </si>
  <si>
    <t>Локтева Анна</t>
  </si>
  <si>
    <t>Лопанов Илья</t>
  </si>
  <si>
    <t>Лотарев Павел</t>
  </si>
  <si>
    <t>Лоу Кевин</t>
  </si>
  <si>
    <t>Лубинец Игорь</t>
  </si>
  <si>
    <t>Луканин Иван</t>
  </si>
  <si>
    <t>Лукин Василий</t>
  </si>
  <si>
    <t>Лукина Анжелика</t>
  </si>
  <si>
    <t>Луковкин Даниил</t>
  </si>
  <si>
    <t>Лукьянов Юрий</t>
  </si>
  <si>
    <t>Лукьянова Юлия</t>
  </si>
  <si>
    <t>Лундин Дмитрий</t>
  </si>
  <si>
    <t>Лунина Виктория</t>
  </si>
  <si>
    <t>Луцай Андрей</t>
  </si>
  <si>
    <t>Лучинский Данила</t>
  </si>
  <si>
    <t>Лысенко Валерий</t>
  </si>
  <si>
    <t>Лысов Дмитрий</t>
  </si>
  <si>
    <t>Лысцев Дмитрий</t>
  </si>
  <si>
    <t>Льноградский Юрий</t>
  </si>
  <si>
    <t>Лю Донг Ю</t>
  </si>
  <si>
    <t>Лякоушин Алексей</t>
  </si>
  <si>
    <t>Лямин Артем</t>
  </si>
  <si>
    <t>Лямцев Владимир</t>
  </si>
  <si>
    <t>Ляпидевская Анастасия</t>
  </si>
  <si>
    <t>Лясковский Андрей</t>
  </si>
  <si>
    <t>Ляхов Андрей</t>
  </si>
  <si>
    <t>Мавриди Никос</t>
  </si>
  <si>
    <t>Магжанова Альфия</t>
  </si>
  <si>
    <t>Маделян Артем</t>
  </si>
  <si>
    <t>Маев Сергей</t>
  </si>
  <si>
    <t>Мазуровская Екатерина</t>
  </si>
  <si>
    <t>Майорова Надежда</t>
  </si>
  <si>
    <t>Макаров Алексей</t>
  </si>
  <si>
    <t>Макаров Андрей</t>
  </si>
  <si>
    <t>Макаров Вадим</t>
  </si>
  <si>
    <t>Макаров Дмитрий</t>
  </si>
  <si>
    <t>Макаров Дмитрий 2</t>
  </si>
  <si>
    <t>Макаров Иван</t>
  </si>
  <si>
    <t>Макаров Сергей</t>
  </si>
  <si>
    <t>Макеев Александр</t>
  </si>
  <si>
    <t>Макеев Илья</t>
  </si>
  <si>
    <t>Макеев Руслан</t>
  </si>
  <si>
    <t>Маклаков Юрий</t>
  </si>
  <si>
    <t>Маклюсов Павел</t>
  </si>
  <si>
    <t>Максимов Дмитрий</t>
  </si>
  <si>
    <t>Максимов Николай</t>
  </si>
  <si>
    <t>Максимова Анастасия</t>
  </si>
  <si>
    <t>Максин Андрей</t>
  </si>
  <si>
    <t>Малахова Елена</t>
  </si>
  <si>
    <t>Малащенко Светлана</t>
  </si>
  <si>
    <t>Малеев Григорий</t>
  </si>
  <si>
    <t>Малинкович Владимир</t>
  </si>
  <si>
    <t>Малолеткин Сергей</t>
  </si>
  <si>
    <t>Малый Михаил</t>
  </si>
  <si>
    <t>Малых Евгения</t>
  </si>
  <si>
    <t>Малышев</t>
  </si>
  <si>
    <t>Малышев Антон</t>
  </si>
  <si>
    <t>Мальков Максим</t>
  </si>
  <si>
    <t>Малькова Анастасия</t>
  </si>
  <si>
    <t>Малькова Елизавета</t>
  </si>
  <si>
    <t>Мальцева Вероника</t>
  </si>
  <si>
    <t>Мамедова Марина</t>
  </si>
  <si>
    <t>Мамонов Сергей</t>
  </si>
  <si>
    <t>Мамрай Александр</t>
  </si>
  <si>
    <t>Мамрай Ирина</t>
  </si>
  <si>
    <t>Манаширов Аркадий</t>
  </si>
  <si>
    <t>Мандзюк Людмила</t>
  </si>
  <si>
    <t>Мануйлова Наталья</t>
  </si>
  <si>
    <t>Мануйлова Софья</t>
  </si>
  <si>
    <t>Манукян Анаит</t>
  </si>
  <si>
    <t>Манухов Игорь</t>
  </si>
  <si>
    <t>Манютин Артем</t>
  </si>
  <si>
    <t>Мараканова Екатерина</t>
  </si>
  <si>
    <t>Маргулев Андрей</t>
  </si>
  <si>
    <t>Марич Анна</t>
  </si>
  <si>
    <t>Маркевициус Вайдас</t>
  </si>
  <si>
    <t>Маркин Александр</t>
  </si>
  <si>
    <t>Маркина Ирина</t>
  </si>
  <si>
    <t>Маркина Наталья</t>
  </si>
  <si>
    <t>Марков Аркадий</t>
  </si>
  <si>
    <t>Маркова Марина</t>
  </si>
  <si>
    <t>Маркова Мария Мл</t>
  </si>
  <si>
    <t>Маркович П</t>
  </si>
  <si>
    <t>Маркович Полина</t>
  </si>
  <si>
    <t>Маркозов Дэвид</t>
  </si>
  <si>
    <t>Марова Любовь</t>
  </si>
  <si>
    <t>Мартынов Александр</t>
  </si>
  <si>
    <t>Мартынов Иван</t>
  </si>
  <si>
    <t>Мартынов Роман</t>
  </si>
  <si>
    <t>Мартынов Ярослав</t>
  </si>
  <si>
    <t>Мартынова Татьяна</t>
  </si>
  <si>
    <t>Марченко Анна</t>
  </si>
  <si>
    <t>Маршак Дана</t>
  </si>
  <si>
    <t>Маряхин Михаил</t>
  </si>
  <si>
    <t>Масеева Мария</t>
  </si>
  <si>
    <t>Маслеников Дмитрий</t>
  </si>
  <si>
    <t>Мастяев Павел</t>
  </si>
  <si>
    <t>Мастяева Полина</t>
  </si>
  <si>
    <t>Масунова Анисья</t>
  </si>
  <si>
    <t>Матазов Николай</t>
  </si>
  <si>
    <t>Матвеев Андрей</t>
  </si>
  <si>
    <t>Матвеев Дмитрий</t>
  </si>
  <si>
    <t>Матвеев Юрий</t>
  </si>
  <si>
    <t>Матеранский Андрей</t>
  </si>
  <si>
    <t>Маханьков Владимир</t>
  </si>
  <si>
    <t>Мачикина Наталья</t>
  </si>
  <si>
    <t>Маяков Александр</t>
  </si>
  <si>
    <t>Мд.джакиул Алам</t>
  </si>
  <si>
    <t>Медведев Владислав</t>
  </si>
  <si>
    <t>Медведев Денис</t>
  </si>
  <si>
    <t>Медведев Илья</t>
  </si>
  <si>
    <t>Медведев Павел</t>
  </si>
  <si>
    <t>Медведев Сергей</t>
  </si>
  <si>
    <t>Медведева Алина</t>
  </si>
  <si>
    <t>Медведева Анастасия</t>
  </si>
  <si>
    <t>Медведева Анастасия В</t>
  </si>
  <si>
    <t>Медведева Марина</t>
  </si>
  <si>
    <t>Медведева Настя</t>
  </si>
  <si>
    <t>Мелкоева Екатерина</t>
  </si>
  <si>
    <t>Мельник Алексей</t>
  </si>
  <si>
    <t>Мельник Леонид</t>
  </si>
  <si>
    <t>Мельников Александр</t>
  </si>
  <si>
    <t>Мельников Валерий</t>
  </si>
  <si>
    <t>Мельников Дмитрий</t>
  </si>
  <si>
    <t>Мельников Павел</t>
  </si>
  <si>
    <t>Мельников Сергей</t>
  </si>
  <si>
    <t>Мемелов Сергей</t>
  </si>
  <si>
    <t>Менделеев Яков</t>
  </si>
  <si>
    <t>Меньков Андрей</t>
  </si>
  <si>
    <t>Менькова Валерия</t>
  </si>
  <si>
    <t>Менькова Клавдия</t>
  </si>
  <si>
    <t>Меньшиков Александр Геннадьевич</t>
  </si>
  <si>
    <t>Метелкина Татьяна</t>
  </si>
  <si>
    <t>Метельский Кирилл</t>
  </si>
  <si>
    <t>Метельский Павел</t>
  </si>
  <si>
    <t>Метряхин Д</t>
  </si>
  <si>
    <t>Милёхин Сергей</t>
  </si>
  <si>
    <t>Милешин Юрий</t>
  </si>
  <si>
    <t>Милешина Татьяна</t>
  </si>
  <si>
    <t>Милосердов Игорь</t>
  </si>
  <si>
    <t>Милюцов Александр</t>
  </si>
  <si>
    <t>Минаев Андрей</t>
  </si>
  <si>
    <t>Минаев Василий</t>
  </si>
  <si>
    <t>Минаев Сергей</t>
  </si>
  <si>
    <t>Миненков Сергей</t>
  </si>
  <si>
    <t>Минь</t>
  </si>
  <si>
    <t>Миргородский Андрей</t>
  </si>
  <si>
    <t>Мирзак Сергей</t>
  </si>
  <si>
    <t>Миролюбова Елена Сергеевна</t>
  </si>
  <si>
    <t>Миронова Юлия</t>
  </si>
  <si>
    <t>Мирсалихов Игорь</t>
  </si>
  <si>
    <t>Митин Григорий</t>
  </si>
  <si>
    <t>Митницкий Василий</t>
  </si>
  <si>
    <t>Митронов Антон</t>
  </si>
  <si>
    <t>Митрофанова В</t>
  </si>
  <si>
    <t>Митряхин Дмитрий</t>
  </si>
  <si>
    <t>Митюхин Сергей</t>
  </si>
  <si>
    <t>Михаил Натали</t>
  </si>
  <si>
    <t>Михайлов Валентин</t>
  </si>
  <si>
    <t>Михайлов Владимир</t>
  </si>
  <si>
    <t>Михайлова Анастасия</t>
  </si>
  <si>
    <t>Михайлова Анна</t>
  </si>
  <si>
    <t>Михайлова Марина</t>
  </si>
  <si>
    <t>Михайлова Мария Владимировна</t>
  </si>
  <si>
    <t>Михалко Данила</t>
  </si>
  <si>
    <t>Михалутин Евгений</t>
  </si>
  <si>
    <t>Михеев Константин</t>
  </si>
  <si>
    <t>Михеева Татьяна</t>
  </si>
  <si>
    <t>Миховская Наталья</t>
  </si>
  <si>
    <t>Миховский Иван</t>
  </si>
  <si>
    <t>Михрин Иван</t>
  </si>
  <si>
    <t>Мичовский Иван</t>
  </si>
  <si>
    <t>Мишин Дмитрий</t>
  </si>
  <si>
    <t>Мишурина Оксана</t>
  </si>
  <si>
    <t>Мищенко Сергей</t>
  </si>
  <si>
    <t>Млечко Дмитрий</t>
  </si>
  <si>
    <t>Можаев Александр</t>
  </si>
  <si>
    <t>Можаев Алексей</t>
  </si>
  <si>
    <t>Можайская Анастасия</t>
  </si>
  <si>
    <t>Мозалёв Сергей</t>
  </si>
  <si>
    <t>Молева Анна</t>
  </si>
  <si>
    <t>Молокова Екатерина</t>
  </si>
  <si>
    <t>Молочаев Константин</t>
  </si>
  <si>
    <t>Монахова Ирина</t>
  </si>
  <si>
    <t>Моргунов Андрей</t>
  </si>
  <si>
    <t>Морозов Иван</t>
  </si>
  <si>
    <t>Морозов Илья</t>
  </si>
  <si>
    <t>Морозов Сергей Иванович</t>
  </si>
  <si>
    <t>Морозова Александра</t>
  </si>
  <si>
    <t>Морозова Анастасия</t>
  </si>
  <si>
    <t>Морозова Вера</t>
  </si>
  <si>
    <t>Морозова Мария</t>
  </si>
  <si>
    <t>Морозова Наталья</t>
  </si>
  <si>
    <t>Морозова Татьяна</t>
  </si>
  <si>
    <t>Моряков Евгений</t>
  </si>
  <si>
    <t>Моряхин Михаил</t>
  </si>
  <si>
    <t>Мостинский Алексей</t>
  </si>
  <si>
    <t>Моторова Вита</t>
  </si>
  <si>
    <t>Моторыкин Леонид</t>
  </si>
  <si>
    <t>Мохан</t>
  </si>
  <si>
    <t>Мочалин Владимир</t>
  </si>
  <si>
    <t>Мошкова Екатерина</t>
  </si>
  <si>
    <t>Мратов Александр</t>
  </si>
  <si>
    <t>Мужевлев Максим</t>
  </si>
  <si>
    <t>Муззамир Ахмад</t>
  </si>
  <si>
    <t>Муковозов Павел</t>
  </si>
  <si>
    <t>Муллагалиев Ренат</t>
  </si>
  <si>
    <t>Мун Ольга</t>
  </si>
  <si>
    <t>Муравьева О</t>
  </si>
  <si>
    <t>Муравьева Ольга</t>
  </si>
  <si>
    <t>Мурадова Ирада</t>
  </si>
  <si>
    <t>Муранова Мила</t>
  </si>
  <si>
    <t>Мурмужев Евгений</t>
  </si>
  <si>
    <t>Мусина Юлия</t>
  </si>
  <si>
    <t>Муслимова Анастасия</t>
  </si>
  <si>
    <t>Мутик Андрей</t>
  </si>
  <si>
    <t>Мутовин Илья</t>
  </si>
  <si>
    <t>Мухамеджанов Михаил</t>
  </si>
  <si>
    <t>Мухамедов Тимур</t>
  </si>
  <si>
    <t>Мухаров Антон</t>
  </si>
  <si>
    <t>Мухин Дмитрий</t>
  </si>
  <si>
    <t>Муштаков Евгений</t>
  </si>
  <si>
    <t>Муштаков Юрий</t>
  </si>
  <si>
    <t>Мшвениерадзе Дмитрий</t>
  </si>
  <si>
    <t>Мылышев Сергей</t>
  </si>
  <si>
    <t>Мычко-Мегрин Владислав</t>
  </si>
  <si>
    <t>Мышкин Михаил</t>
  </si>
  <si>
    <t>Мышкин Юрий</t>
  </si>
  <si>
    <t>Мякишева Дарья</t>
  </si>
  <si>
    <t>Мясников Владимир</t>
  </si>
  <si>
    <t>Нагерняк Андрей</t>
  </si>
  <si>
    <t>Нагорнов Николай</t>
  </si>
  <si>
    <t>Надалинский Евгений</t>
  </si>
  <si>
    <t>Назаров Кирилл</t>
  </si>
  <si>
    <t>Назаров Николай</t>
  </si>
  <si>
    <t>Назарова Надежда</t>
  </si>
  <si>
    <t>Назарович Павел</t>
  </si>
  <si>
    <t>Назарчук Анастасия</t>
  </si>
  <si>
    <t>Назарян Генрик</t>
  </si>
  <si>
    <t>Назарян Генрих</t>
  </si>
  <si>
    <t>Наземнова Ольга</t>
  </si>
  <si>
    <t>Назми</t>
  </si>
  <si>
    <t>Найденов Александр</t>
  </si>
  <si>
    <t>Наприенко Андрей</t>
  </si>
  <si>
    <t>Нартикоев Марат</t>
  </si>
  <si>
    <t>Нарышкина Оксана</t>
  </si>
  <si>
    <t>Наследников Артем</t>
  </si>
  <si>
    <t>Натали Михаил</t>
  </si>
  <si>
    <t>Натальченко Михаил</t>
  </si>
  <si>
    <t>Нг Свеет Май</t>
  </si>
  <si>
    <t>Нгием Суан Хой</t>
  </si>
  <si>
    <t>Нгуен Ван Винь</t>
  </si>
  <si>
    <t>Нгуен Ван Занг</t>
  </si>
  <si>
    <t>Нгуен Ван Хоанг Шон</t>
  </si>
  <si>
    <t>Нгуен Вьет Динь</t>
  </si>
  <si>
    <t>Нгуен До Иен Ньи</t>
  </si>
  <si>
    <t>Нгуен Ми Вьет</t>
  </si>
  <si>
    <t>Нгуен Нгок</t>
  </si>
  <si>
    <t>Нгуен Тху Нга</t>
  </si>
  <si>
    <t>Нгуен Хонг Нгок</t>
  </si>
  <si>
    <t>Нгуен Хунг Мань</t>
  </si>
  <si>
    <t>Нгуен Хыу</t>
  </si>
  <si>
    <t>Нгуен Хыу Куан</t>
  </si>
  <si>
    <t>Нгуен Чи</t>
  </si>
  <si>
    <t>Невиль Лим Шу Хуан</t>
  </si>
  <si>
    <t>Неволин Александр</t>
  </si>
  <si>
    <t>Неделько Ростислав</t>
  </si>
  <si>
    <t>Немашкалов Виталий</t>
  </si>
  <si>
    <t>Ненюкова Виктория</t>
  </si>
  <si>
    <t>Нестеров Владимир</t>
  </si>
  <si>
    <t>Нестеров Сергей</t>
  </si>
  <si>
    <t>Нетреба Павел</t>
  </si>
  <si>
    <t>Нетребская Дарья</t>
  </si>
  <si>
    <t>Нечаев Сергей</t>
  </si>
  <si>
    <t>Нечаева Наталья</t>
  </si>
  <si>
    <t>Никитин Александр</t>
  </si>
  <si>
    <t>Никитин Вячеслав</t>
  </si>
  <si>
    <t>Никитин Дмитрий</t>
  </si>
  <si>
    <t>Никитин Иван</t>
  </si>
  <si>
    <t>Никитин Станислав</t>
  </si>
  <si>
    <t>Никитина Анна</t>
  </si>
  <si>
    <t>Никитина Дарья</t>
  </si>
  <si>
    <t>Никитина Кристина</t>
  </si>
  <si>
    <t>Никитина Нина</t>
  </si>
  <si>
    <t>Никифорова Татьяна</t>
  </si>
  <si>
    <t>Никишин Владислав</t>
  </si>
  <si>
    <t>Никишин Олег</t>
  </si>
  <si>
    <t>Никишов Алексей</t>
  </si>
  <si>
    <t>Никишов Михаил</t>
  </si>
  <si>
    <t>Николаев Василий</t>
  </si>
  <si>
    <t>Николаев Дмитрий</t>
  </si>
  <si>
    <t>Николаев Евгений</t>
  </si>
  <si>
    <t>Николаев Сергей</t>
  </si>
  <si>
    <t>Николаева Екатерина</t>
  </si>
  <si>
    <t>Николаева Наталия</t>
  </si>
  <si>
    <t>Николаева Ольга</t>
  </si>
  <si>
    <t>Николаенко Александр</t>
  </si>
  <si>
    <t>Никоноров Антон</t>
  </si>
  <si>
    <t>Никоноров Дмитрий</t>
  </si>
  <si>
    <t>Никулин Александр</t>
  </si>
  <si>
    <t>Никулин Денис</t>
  </si>
  <si>
    <t>Никулин Евгений</t>
  </si>
  <si>
    <t>Никулин Леонид</t>
  </si>
  <si>
    <t>Никулина Евгения</t>
  </si>
  <si>
    <t>Никулина Наталья</t>
  </si>
  <si>
    <t>Никулов Владимир</t>
  </si>
  <si>
    <t>Новак Дэвид</t>
  </si>
  <si>
    <t>Новиков Александр</t>
  </si>
  <si>
    <t>Новиков Александр В</t>
  </si>
  <si>
    <t>Новиков Валерий</t>
  </si>
  <si>
    <t>Новиков Иван</t>
  </si>
  <si>
    <t>Новиков Петр</t>
  </si>
  <si>
    <t>Новиков Сергей</t>
  </si>
  <si>
    <t>Новикова Екатерина</t>
  </si>
  <si>
    <t>Новикова Елена</t>
  </si>
  <si>
    <t>Новикова Надежда</t>
  </si>
  <si>
    <t>Новикова Оксана</t>
  </si>
  <si>
    <t>Новикова Светлана</t>
  </si>
  <si>
    <t>Новицкий Антон</t>
  </si>
  <si>
    <t>Новицкий Дмитрий</t>
  </si>
  <si>
    <t>Новоселов Денис</t>
  </si>
  <si>
    <t>Новоселов Иван</t>
  </si>
  <si>
    <t>Новоселова Алена</t>
  </si>
  <si>
    <t>Новоселова Юлия</t>
  </si>
  <si>
    <t>Ноздрачёва Анна</t>
  </si>
  <si>
    <t>Носарев Георгий</t>
  </si>
  <si>
    <t>Нуждин Василий</t>
  </si>
  <si>
    <t>Нянькин Сергей</t>
  </si>
  <si>
    <t>Обидин Илья</t>
  </si>
  <si>
    <t>Обоишев Михаил</t>
  </si>
  <si>
    <t>Обухов Сергей</t>
  </si>
  <si>
    <t>Овинцев Алексей</t>
  </si>
  <si>
    <t>Овчинников Кирилл</t>
  </si>
  <si>
    <t>Овчинников Радислав</t>
  </si>
  <si>
    <t>Овчинникова Екатерина</t>
  </si>
  <si>
    <t>Оглоблин Даниил</t>
  </si>
  <si>
    <t>Оглоблин Максим</t>
  </si>
  <si>
    <t>Оглоблина Екатерина</t>
  </si>
  <si>
    <t>Огнева Татьяна</t>
  </si>
  <si>
    <t>Огнивов Василий</t>
  </si>
  <si>
    <t>Огольцова Елена</t>
  </si>
  <si>
    <t>Огородников Иван</t>
  </si>
  <si>
    <t>Огурцова Анастасия</t>
  </si>
  <si>
    <t>Одинцов Григорий</t>
  </si>
  <si>
    <t>Одуденко Екатерина</t>
  </si>
  <si>
    <t>Озеркин Максим</t>
  </si>
  <si>
    <t>Озерцовская Злата</t>
  </si>
  <si>
    <t>Околов Егор</t>
  </si>
  <si>
    <t>Округин Роман</t>
  </si>
  <si>
    <t>Олексюк Ростислав</t>
  </si>
  <si>
    <t>Оленина Дарья</t>
  </si>
  <si>
    <t>Олесиюк Татьяна</t>
  </si>
  <si>
    <t>Ольшевская Наталья</t>
  </si>
  <si>
    <t>Ольшевская Ольга</t>
  </si>
  <si>
    <t>Онегина Ирина</t>
  </si>
  <si>
    <t>Онкин Анатолий</t>
  </si>
  <si>
    <t>Онучин Илья</t>
  </si>
  <si>
    <t>Онучин Радомир</t>
  </si>
  <si>
    <t>Определеннов Дмитрий</t>
  </si>
  <si>
    <t>Опыхтина Елена</t>
  </si>
  <si>
    <t>Орешкина Екатерина</t>
  </si>
  <si>
    <t>Орлов Алексей Владимирович</t>
  </si>
  <si>
    <t>Орлов Егор</t>
  </si>
  <si>
    <t>Орлов Сергей</t>
  </si>
  <si>
    <t>Орлов Станислав</t>
  </si>
  <si>
    <t>Орлова Анастасия</t>
  </si>
  <si>
    <t>Орлова Галина</t>
  </si>
  <si>
    <t>Орфониди Валентина</t>
  </si>
  <si>
    <t>Осипов Андрей</t>
  </si>
  <si>
    <t>Осипова Варвара</t>
  </si>
  <si>
    <t>Осипова Виктория</t>
  </si>
  <si>
    <t>Осокина Мария</t>
  </si>
  <si>
    <t>Остапкевич Александр</t>
  </si>
  <si>
    <t>Остраница Андрей</t>
  </si>
  <si>
    <t>Остромогольская Маргарита</t>
  </si>
  <si>
    <t>Осьминкин Андрей</t>
  </si>
  <si>
    <t>Очирова Алина</t>
  </si>
  <si>
    <t>Павельева Инна</t>
  </si>
  <si>
    <t>Павлов Александр</t>
  </si>
  <si>
    <t>Павлов Алексей</t>
  </si>
  <si>
    <t>Павлов Артем</t>
  </si>
  <si>
    <t>Павлов Максим</t>
  </si>
  <si>
    <t>Павлов Юрий</t>
  </si>
  <si>
    <t>Павлова Вероника</t>
  </si>
  <si>
    <t>Павловский Константин</t>
  </si>
  <si>
    <t>Павшукова Наталья</t>
  </si>
  <si>
    <t>Паздникова Александра</t>
  </si>
  <si>
    <t>Пазухин Александр</t>
  </si>
  <si>
    <t>Пазынич Илья</t>
  </si>
  <si>
    <t>Пак Алексей</t>
  </si>
  <si>
    <t>Пак Антон</t>
  </si>
  <si>
    <t>Пак Юрий</t>
  </si>
  <si>
    <t>Паламонов Сергей</t>
  </si>
  <si>
    <t>Паламонов Юрий</t>
  </si>
  <si>
    <t>Паленов Илья</t>
  </si>
  <si>
    <t>Пальчиков Александр</t>
  </si>
  <si>
    <t>Памодя Сарит Джайсурия</t>
  </si>
  <si>
    <t>Пан Цзин</t>
  </si>
  <si>
    <t>Панаиоти Валентина</t>
  </si>
  <si>
    <t>Пангеман Хендра</t>
  </si>
  <si>
    <t>Пангеманан Хендра Реймон</t>
  </si>
  <si>
    <t>Пангесту Аджи</t>
  </si>
  <si>
    <t>Панин Артем</t>
  </si>
  <si>
    <t>Панин Евгений</t>
  </si>
  <si>
    <t>Панков Евгений</t>
  </si>
  <si>
    <t>Панов Сергей</t>
  </si>
  <si>
    <t>Пантелеев Павел</t>
  </si>
  <si>
    <t>Панфилов Алексей</t>
  </si>
  <si>
    <t>Панфилов Борис</t>
  </si>
  <si>
    <t>Панфилов Денис</t>
  </si>
  <si>
    <t>Панфилов Степан</t>
  </si>
  <si>
    <t>Папин Евгений</t>
  </si>
  <si>
    <t>Парамонов Артем</t>
  </si>
  <si>
    <t>Парамонов Дмитрий</t>
  </si>
  <si>
    <t>Парамонова Дарья</t>
  </si>
  <si>
    <t>Параскевопуло София</t>
  </si>
  <si>
    <t>Параходин Андрей</t>
  </si>
  <si>
    <t>Парашутин Антон</t>
  </si>
  <si>
    <t>Парийский Олег</t>
  </si>
  <si>
    <t>Паринов Илья</t>
  </si>
  <si>
    <t>Паринова Евгения</t>
  </si>
  <si>
    <t>Пароходин Андрей</t>
  </si>
  <si>
    <t>Паршин Виктор</t>
  </si>
  <si>
    <t>Паршин Максим</t>
  </si>
  <si>
    <t>Патрикеева Наталья</t>
  </si>
  <si>
    <t>Патхманатхан Моан</t>
  </si>
  <si>
    <t>Пахомов Дмитрий</t>
  </si>
  <si>
    <t>Пахомов Олег</t>
  </si>
  <si>
    <t>Пачеко Даниэль</t>
  </si>
  <si>
    <t>Пачеко Эвита</t>
  </si>
  <si>
    <t>Пашкова Екатерина</t>
  </si>
  <si>
    <t>Пашненко Георгий</t>
  </si>
  <si>
    <t>Педро Матье</t>
  </si>
  <si>
    <t>Пелесецкий Виталий</t>
  </si>
  <si>
    <t>Пенкрат Павел</t>
  </si>
  <si>
    <t>Пердро Матье</t>
  </si>
  <si>
    <t>Перевезенцев Даниил</t>
  </si>
  <si>
    <t>Переверзев Александр</t>
  </si>
  <si>
    <t>Перевязко Сергей</t>
  </si>
  <si>
    <t>Пережогин Лев</t>
  </si>
  <si>
    <t>Пережогина Мария</t>
  </si>
  <si>
    <t>Переладова Александра</t>
  </si>
  <si>
    <t>Перепечаева Софья</t>
  </si>
  <si>
    <t>Пересецкий Егор</t>
  </si>
  <si>
    <t>Пермяков Андрей</t>
  </si>
  <si>
    <t>Перов Виктор</t>
  </si>
  <si>
    <t>Пестрецов Павел</t>
  </si>
  <si>
    <t>Петелин Анатолий</t>
  </si>
  <si>
    <t>Петров Антон</t>
  </si>
  <si>
    <t>Петров Леонид</t>
  </si>
  <si>
    <t>Петрова Анна</t>
  </si>
  <si>
    <t>Петрова Дарья</t>
  </si>
  <si>
    <t>Петрова Ольга</t>
  </si>
  <si>
    <t>Петрова Яна</t>
  </si>
  <si>
    <t>Петровичев Олег</t>
  </si>
  <si>
    <t>Петрухина Ольга</t>
  </si>
  <si>
    <t>Петрушко Вячеслав</t>
  </si>
  <si>
    <t>Петрушко Николай</t>
  </si>
  <si>
    <t>Петухов Андрей</t>
  </si>
  <si>
    <t>Петухова Ольга</t>
  </si>
  <si>
    <t>Пиденко-Рудий Наталья</t>
  </si>
  <si>
    <t>Пикунов Дмитрий</t>
  </si>
  <si>
    <t>Пикунова Татьяна</t>
  </si>
  <si>
    <t>Пилия Валерия</t>
  </si>
  <si>
    <t>Пименов Сергей</t>
  </si>
  <si>
    <t>Пименова Дарья</t>
  </si>
  <si>
    <t>Пинюшина Наталья</t>
  </si>
  <si>
    <t>Пирогов Владимир</t>
  </si>
  <si>
    <t>Писанова Анастасия</t>
  </si>
  <si>
    <t>Пискун Дмитрий</t>
  </si>
  <si>
    <t>Пискунова Екатерина</t>
  </si>
  <si>
    <t>Плавуцкий Даниил</t>
  </si>
  <si>
    <t>Платонов Игорь</t>
  </si>
  <si>
    <t>Платонова Анна</t>
  </si>
  <si>
    <t>Плахутина Светлана</t>
  </si>
  <si>
    <t>Плащинский Антон</t>
  </si>
  <si>
    <t>Плетнёв Николай</t>
  </si>
  <si>
    <t>Плешков Петр</t>
  </si>
  <si>
    <t>Плямин Николай</t>
  </si>
  <si>
    <t>Поборчий Всеволод</t>
  </si>
  <si>
    <t>Поварницын Игорь</t>
  </si>
  <si>
    <t>Повышев Владимир</t>
  </si>
  <si>
    <t>Погосян Арсен</t>
  </si>
  <si>
    <t>Пограмовский Андрей</t>
  </si>
  <si>
    <t>Подгурская Виктория</t>
  </si>
  <si>
    <t>Подосинников Илья</t>
  </si>
  <si>
    <t>Позин Сергей</t>
  </si>
  <si>
    <t>Пойда Алексей</t>
  </si>
  <si>
    <t>Покалов Валентин Андреевич</t>
  </si>
  <si>
    <t>Покалова Александра</t>
  </si>
  <si>
    <t>Покровский Юрий</t>
  </si>
  <si>
    <t>Полевой Дмитрий</t>
  </si>
  <si>
    <t>Полеев Михаил</t>
  </si>
  <si>
    <t>Поликарпов О</t>
  </si>
  <si>
    <t>Поликарпова Татьяна</t>
  </si>
  <si>
    <t>Полицин Максим</t>
  </si>
  <si>
    <t>Полищук Галина</t>
  </si>
  <si>
    <t>Полищук Дмитрий</t>
  </si>
  <si>
    <t>Полканов Андрей</t>
  </si>
  <si>
    <t>Полончик Ольга</t>
  </si>
  <si>
    <t>Полтавец Александр</t>
  </si>
  <si>
    <t>Полубояринова Мария</t>
  </si>
  <si>
    <t>Полудкин Евгений</t>
  </si>
  <si>
    <t>Поляков Александр А</t>
  </si>
  <si>
    <t>Поляков Алексей</t>
  </si>
  <si>
    <t>Поляков Арсений</t>
  </si>
  <si>
    <t>Поляков Денис</t>
  </si>
  <si>
    <t>Поляков Евгений</t>
  </si>
  <si>
    <t>Полянская Галина</t>
  </si>
  <si>
    <t>Помазан Сергей</t>
  </si>
  <si>
    <t>Помыткин Виктор</t>
  </si>
  <si>
    <t>Пономарева Арина</t>
  </si>
  <si>
    <t>Попенко Игорь</t>
  </si>
  <si>
    <t>Попилина Анна</t>
  </si>
  <si>
    <t>Попков А</t>
  </si>
  <si>
    <t>Попков Андрей</t>
  </si>
  <si>
    <t>Попов Александр</t>
  </si>
  <si>
    <t>Попов Алексей</t>
  </si>
  <si>
    <t>Попов Сергей</t>
  </si>
  <si>
    <t>Попова Анна</t>
  </si>
  <si>
    <t>Попова Ксения</t>
  </si>
  <si>
    <t>Попова Наталья</t>
  </si>
  <si>
    <t>Поповян Андрей</t>
  </si>
  <si>
    <t>Порфирьев Максим</t>
  </si>
  <si>
    <t>Постников Алексей</t>
  </si>
  <si>
    <t>Постнов Андрей</t>
  </si>
  <si>
    <t>Потапов Алексей Андреевич</t>
  </si>
  <si>
    <t>Потапович Софья</t>
  </si>
  <si>
    <t>Потложа Кристина</t>
  </si>
  <si>
    <t>Почивалин Владислав</t>
  </si>
  <si>
    <t>Пояркова Марина</t>
  </si>
  <si>
    <t>Прадун Дмитрий</t>
  </si>
  <si>
    <t>Прайого Леонар Анди</t>
  </si>
  <si>
    <t>Преображенская Дарья</t>
  </si>
  <si>
    <t>Прибыткова Ольга</t>
  </si>
  <si>
    <t>Припусков Игорь</t>
  </si>
  <si>
    <t>Прокопенко Анастасия</t>
  </si>
  <si>
    <t>Пронина Наталья</t>
  </si>
  <si>
    <t>Пронина Юлия</t>
  </si>
  <si>
    <t>Проничев Александр</t>
  </si>
  <si>
    <t>Пронских Артём</t>
  </si>
  <si>
    <t>Прохоров Антон</t>
  </si>
  <si>
    <t>Прохоров Арсений</t>
  </si>
  <si>
    <t>Прохоров Артем</t>
  </si>
  <si>
    <t>Прохорова Ирина</t>
  </si>
  <si>
    <t>Проценко Игорь</t>
  </si>
  <si>
    <t>Пугач Николай</t>
  </si>
  <si>
    <t>Пугачева Оксана</t>
  </si>
  <si>
    <t>Пуговкина Марина</t>
  </si>
  <si>
    <t>Пузаков Артем</t>
  </si>
  <si>
    <t>Пузакова Анна</t>
  </si>
  <si>
    <t>Пузырев Евгений</t>
  </si>
  <si>
    <t>Пузырева Наталья</t>
  </si>
  <si>
    <t>Пуляев Юрий</t>
  </si>
  <si>
    <t>Пуртов Даниил</t>
  </si>
  <si>
    <t>Пустяков Виктор</t>
  </si>
  <si>
    <t>Пустяков Юрий</t>
  </si>
  <si>
    <t>Путилин Виктор</t>
  </si>
  <si>
    <t>Путилов Артём</t>
  </si>
  <si>
    <t>Пучкова Анна</t>
  </si>
  <si>
    <t>Пушкарев Александр</t>
  </si>
  <si>
    <t>Пушкарев Максим</t>
  </si>
  <si>
    <t>Пушкин Алексей</t>
  </si>
  <si>
    <t>Пушкин Егор</t>
  </si>
  <si>
    <t>Пушкина Елена</t>
  </si>
  <si>
    <t>Пхетыхайван Ванкхам Ней</t>
  </si>
  <si>
    <t>Пшенин Даниил</t>
  </si>
  <si>
    <t>Пыхтин Николай</t>
  </si>
  <si>
    <t>Пьянзина Анна</t>
  </si>
  <si>
    <t>Пятаков Сергей</t>
  </si>
  <si>
    <t>Рагураджан Рамачандран</t>
  </si>
  <si>
    <t>Радченко Артем</t>
  </si>
  <si>
    <t>Разин Алексей</t>
  </si>
  <si>
    <t>Разувайкин Сергей</t>
  </si>
  <si>
    <t>Разумейко Яков</t>
  </si>
  <si>
    <t>Разумовская Надежда</t>
  </si>
  <si>
    <t>Ракипов Александр</t>
  </si>
  <si>
    <t>Рамиль Массумов</t>
  </si>
  <si>
    <t>Расиулите Бируте</t>
  </si>
  <si>
    <t>Рассказов Всеволод</t>
  </si>
  <si>
    <t>Рассказова Александра</t>
  </si>
  <si>
    <t>Рахмани Хаула</t>
  </si>
  <si>
    <t>Рахманкулова Ольга</t>
  </si>
  <si>
    <t>Рачков Сергей</t>
  </si>
  <si>
    <t>Ребриков Артем</t>
  </si>
  <si>
    <t>Ревин Александр</t>
  </si>
  <si>
    <t>Редкозубова Анастасия</t>
  </si>
  <si>
    <t>Резуненко Константин</t>
  </si>
  <si>
    <t>Ременяк Сергей</t>
  </si>
  <si>
    <t>Ренг Йонг Ченг</t>
  </si>
  <si>
    <t>Ренди Субагя</t>
  </si>
  <si>
    <t>Решетов Георгий</t>
  </si>
  <si>
    <t>Решетова Мария</t>
  </si>
  <si>
    <t>Рзянин Владимир</t>
  </si>
  <si>
    <t>Рзянин Дмитрий</t>
  </si>
  <si>
    <t>Рзянин Тимофей</t>
  </si>
  <si>
    <t>Рибина Мария</t>
  </si>
  <si>
    <t>Ригин Дмитрий</t>
  </si>
  <si>
    <t>Робштейн Михаил</t>
  </si>
  <si>
    <t>Рогачев Константин</t>
  </si>
  <si>
    <t>Рогинский Кирилл</t>
  </si>
  <si>
    <t>Рогинский Николай</t>
  </si>
  <si>
    <t>Рогова О</t>
  </si>
  <si>
    <t>Рогозин Антон</t>
  </si>
  <si>
    <t>Рогозин Константин</t>
  </si>
  <si>
    <t>Рогозина Анастасия</t>
  </si>
  <si>
    <t>Родина Мария</t>
  </si>
  <si>
    <t>Родионов Константин</t>
  </si>
  <si>
    <t>Роес</t>
  </si>
  <si>
    <t>Рождественский Александр</t>
  </si>
  <si>
    <t>Рождественский Станислав</t>
  </si>
  <si>
    <t>Рожков Валерий</t>
  </si>
  <si>
    <t>Рожкова Анна</t>
  </si>
  <si>
    <t>Рожнов Максим</t>
  </si>
  <si>
    <t>Роземблюм Максим</t>
  </si>
  <si>
    <t>Ройзнер Михаил</t>
  </si>
  <si>
    <t>Ромакин Александр</t>
  </si>
  <si>
    <t>Романов Алексей</t>
  </si>
  <si>
    <t>Романов Антон</t>
  </si>
  <si>
    <t>Романов Арсений</t>
  </si>
  <si>
    <t>Романов Артем</t>
  </si>
  <si>
    <t>Романова Наталья</t>
  </si>
  <si>
    <t>Ромашева Елена</t>
  </si>
  <si>
    <t>Ромашко Анна</t>
  </si>
  <si>
    <t>Ромина Елена</t>
  </si>
  <si>
    <t>Роньжина Анастасия</t>
  </si>
  <si>
    <t>Российский Алексей</t>
  </si>
  <si>
    <t>Россихин Арсений</t>
  </si>
  <si>
    <t>Рудакова Анастасия</t>
  </si>
  <si>
    <t>Рудик Чеприян</t>
  </si>
  <si>
    <t>Рудницкий Александр</t>
  </si>
  <si>
    <t>Ружникова Ольга</t>
  </si>
  <si>
    <t>Рузиев Рамзес</t>
  </si>
  <si>
    <t>Рукавицина Екатерина</t>
  </si>
  <si>
    <t>Руковишникова Анна</t>
  </si>
  <si>
    <t>Румянцева Юлия</t>
  </si>
  <si>
    <t>Русанов Антон</t>
  </si>
  <si>
    <t>Русева Анастасия</t>
  </si>
  <si>
    <t>Русева Мария</t>
  </si>
  <si>
    <t>Русин Владимир</t>
  </si>
  <si>
    <t>Рученькина Вилена</t>
  </si>
  <si>
    <t>Рыбина Мария</t>
  </si>
  <si>
    <t>Рыбкин Андрей</t>
  </si>
  <si>
    <t>Рыжикова Анна</t>
  </si>
  <si>
    <t>Рыжков Александр</t>
  </si>
  <si>
    <t>Рымарь Полина</t>
  </si>
  <si>
    <t>Рындов Владимир</t>
  </si>
  <si>
    <t>Рындова Наталья</t>
  </si>
  <si>
    <t>Рысевец Алексей</t>
  </si>
  <si>
    <t>Рычков Андрей</t>
  </si>
  <si>
    <t>Рябенко Иван</t>
  </si>
  <si>
    <t>Рябиков Алексей</t>
  </si>
  <si>
    <t>Рябов Александр</t>
  </si>
  <si>
    <t>Рябов Илья</t>
  </si>
  <si>
    <t>Рябов Кирилл</t>
  </si>
  <si>
    <t>Рябов Олег</t>
  </si>
  <si>
    <t>Рябов Сергей</t>
  </si>
  <si>
    <t>Сабанеева Д</t>
  </si>
  <si>
    <t>Савельев Владимир</t>
  </si>
  <si>
    <t>Савельев Никита</t>
  </si>
  <si>
    <t>Савенков Иван</t>
  </si>
  <si>
    <t>Савинкина Арина</t>
  </si>
  <si>
    <t>Савицкий Александр</t>
  </si>
  <si>
    <t>Савула Елена</t>
  </si>
  <si>
    <t>Савченко Денис</t>
  </si>
  <si>
    <t>Савченков Игорь</t>
  </si>
  <si>
    <t>Савченкова Ольга</t>
  </si>
  <si>
    <t>Савчук Александр</t>
  </si>
  <si>
    <t>Садиков Александр</t>
  </si>
  <si>
    <t>Садикова Татьяна</t>
  </si>
  <si>
    <t>Саенко Анастасия Игоревна</t>
  </si>
  <si>
    <t>Саенко Татьяна</t>
  </si>
  <si>
    <t>Сазонов Юрий</t>
  </si>
  <si>
    <t>Сазонова Анастасия</t>
  </si>
  <si>
    <t>Салахетдинова Алина</t>
  </si>
  <si>
    <t>Саленко Дмитрий</t>
  </si>
  <si>
    <t>Салихов Тимур</t>
  </si>
  <si>
    <t>Салихов Эльдар</t>
  </si>
  <si>
    <t>Салмин Алексей</t>
  </si>
  <si>
    <t>Салтанова Марина</t>
  </si>
  <si>
    <t>Сальников Михаил</t>
  </si>
  <si>
    <t>Сальникова Ольга</t>
  </si>
  <si>
    <t>Самарин Александр</t>
  </si>
  <si>
    <t>Самбурская Татьяна</t>
  </si>
  <si>
    <t>Самодурова Екатерина</t>
  </si>
  <si>
    <t>Самойленко Кристина</t>
  </si>
  <si>
    <t>Самойлова Олена</t>
  </si>
  <si>
    <t>Самокатов Владислав</t>
  </si>
  <si>
    <t>Самокатов Павел</t>
  </si>
  <si>
    <t>Самончев Глеб</t>
  </si>
  <si>
    <t>Самохвалов Антон</t>
  </si>
  <si>
    <t>Самуленков Иван</t>
  </si>
  <si>
    <t>Самуленков Станислав</t>
  </si>
  <si>
    <t>Сандулов Юрий</t>
  </si>
  <si>
    <t>Санин Владислав</t>
  </si>
  <si>
    <t>Сантханам Бхуванеш</t>
  </si>
  <si>
    <t>Сарвар Ифтехар</t>
  </si>
  <si>
    <t>Сарвар Ифтихар</t>
  </si>
  <si>
    <t>Сарокина Надежда</t>
  </si>
  <si>
    <t>Сарыгина Ксения</t>
  </si>
  <si>
    <t>Сарьян Каро</t>
  </si>
  <si>
    <t>Сафонов Николай Александрович</t>
  </si>
  <si>
    <t>Сафронов Дмитрий</t>
  </si>
  <si>
    <t>Сахрул</t>
  </si>
  <si>
    <t>Сбоев Михаил</t>
  </si>
  <si>
    <t>Сварник Константин</t>
  </si>
  <si>
    <t>Сверчков Сергей</t>
  </si>
  <si>
    <t>Свешников Сергей</t>
  </si>
  <si>
    <t>Свиридов Алексей</t>
  </si>
  <si>
    <t>Свирщевский Андрей</t>
  </si>
  <si>
    <t>Северов Борис</t>
  </si>
  <si>
    <t>Северюхина Марина</t>
  </si>
  <si>
    <t>Сегалингам Тевенран</t>
  </si>
  <si>
    <t>Седова Татьяна</t>
  </si>
  <si>
    <t>Седойкин Алексей</t>
  </si>
  <si>
    <t>Секретарёв Сергей</t>
  </si>
  <si>
    <t>Селецкий Дмитрий</t>
  </si>
  <si>
    <t>Селиванова Софья</t>
  </si>
  <si>
    <t>Селянина Татьяна</t>
  </si>
  <si>
    <t>Селянкина Дарья</t>
  </si>
  <si>
    <t>Семенников Матвей</t>
  </si>
  <si>
    <t>Семенов Вадим</t>
  </si>
  <si>
    <t>Семенов Владимир</t>
  </si>
  <si>
    <t>Семёнов Максим</t>
  </si>
  <si>
    <t>Семенова Александра</t>
  </si>
  <si>
    <t>Семенова Алена</t>
  </si>
  <si>
    <t>Семенова Евгения</t>
  </si>
  <si>
    <t>Семенова Елена</t>
  </si>
  <si>
    <t>Семенова Кристина</t>
  </si>
  <si>
    <t>Семета Каролис</t>
  </si>
  <si>
    <t>Семчук Иван</t>
  </si>
  <si>
    <t>Семчуков Павел</t>
  </si>
  <si>
    <t>Сенченко Михаил</t>
  </si>
  <si>
    <t>Сенько Игорь</t>
  </si>
  <si>
    <t>Сергеев Дмитрий</t>
  </si>
  <si>
    <t>Сергеев Илья</t>
  </si>
  <si>
    <t>Сергеев Михаил</t>
  </si>
  <si>
    <t>Сергеев Олег</t>
  </si>
  <si>
    <t>Сергеев Родион</t>
  </si>
  <si>
    <t>Сергеева Анна</t>
  </si>
  <si>
    <t>Сергеева Евгения</t>
  </si>
  <si>
    <t>Сергеева Лидия</t>
  </si>
  <si>
    <t>Сергеева Наталья</t>
  </si>
  <si>
    <t>Сергеенков Сергей</t>
  </si>
  <si>
    <t>Серебров Кирилл</t>
  </si>
  <si>
    <t>Серебряков Дмитрий</t>
  </si>
  <si>
    <t>Серебрякова Дарья</t>
  </si>
  <si>
    <t>Серебрякова Ирина</t>
  </si>
  <si>
    <t>Серегина Анна</t>
  </si>
  <si>
    <t>Сериков Владислав</t>
  </si>
  <si>
    <t>Серикова</t>
  </si>
  <si>
    <t>Серикова Юлия</t>
  </si>
  <si>
    <t>Серова Юлия</t>
  </si>
  <si>
    <t>Серочкин Алексей</t>
  </si>
  <si>
    <t>Серочкин Евгений</t>
  </si>
  <si>
    <t>Серпионов Артем</t>
  </si>
  <si>
    <t>Сибиряков Михаил</t>
  </si>
  <si>
    <t>Сиволапов Александр</t>
  </si>
  <si>
    <t>Сиволапов Дмитрий</t>
  </si>
  <si>
    <t>Сигалкина Алла</t>
  </si>
  <si>
    <t>Сигарева Анастасия</t>
  </si>
  <si>
    <t>Сигов Александр</t>
  </si>
  <si>
    <t>Сид Татьяна</t>
  </si>
  <si>
    <t>Сидоров Владимир</t>
  </si>
  <si>
    <t>Сидорова Ксения</t>
  </si>
  <si>
    <t>Сидорова Эльвира</t>
  </si>
  <si>
    <t>Сизоненко Вадим</t>
  </si>
  <si>
    <t>Сикачёва Юлия</t>
  </si>
  <si>
    <t>Силаев Михаил</t>
  </si>
  <si>
    <t>Силантьева Екатерина</t>
  </si>
  <si>
    <t>Силин Евгений</t>
  </si>
  <si>
    <t>Силяева Ирина</t>
  </si>
  <si>
    <t>Симашко Александр</t>
  </si>
  <si>
    <t>Симкин Георгий</t>
  </si>
  <si>
    <t>Симонов Алексей</t>
  </si>
  <si>
    <t>Симонюк Дмитрий</t>
  </si>
  <si>
    <t>Синельникова Ольга</t>
  </si>
  <si>
    <t>Синицын Геннадий</t>
  </si>
  <si>
    <t>Синявин Андрей</t>
  </si>
  <si>
    <t>Сипягина Наталия</t>
  </si>
  <si>
    <t>Сиротин Александр</t>
  </si>
  <si>
    <t>Скворцов Андрей</t>
  </si>
  <si>
    <t>Скоркин Михаил</t>
  </si>
  <si>
    <t>Скоробогатченко Георгий</t>
  </si>
  <si>
    <t>Скребков Евгений</t>
  </si>
  <si>
    <t>Скулкин Иван</t>
  </si>
  <si>
    <t>Скурихин Алексей</t>
  </si>
  <si>
    <t>Слободянюк Виктория</t>
  </si>
  <si>
    <t>Слободянюк Максим</t>
  </si>
  <si>
    <t>Слободянюк Наталья</t>
  </si>
  <si>
    <t>Смагин Артём</t>
  </si>
  <si>
    <t>Сманцер Марина</t>
  </si>
  <si>
    <t>Смирнов Александр</t>
  </si>
  <si>
    <t>Смирнов Альберт</t>
  </si>
  <si>
    <t>Смирнов Артем</t>
  </si>
  <si>
    <t>Смирнов Дмитрий</t>
  </si>
  <si>
    <t>Смирнов Кирилл</t>
  </si>
  <si>
    <t>Смирнов Михаил</t>
  </si>
  <si>
    <t>Смирнов Олег</t>
  </si>
  <si>
    <t>Смирнов Павел</t>
  </si>
  <si>
    <t>Смирнов Руслан</t>
  </si>
  <si>
    <t>Смирнов Сергей</t>
  </si>
  <si>
    <t>Смирнов Сп</t>
  </si>
  <si>
    <t>Смирнов Юрий</t>
  </si>
  <si>
    <t>Смирнова Анастасия</t>
  </si>
  <si>
    <t>Смирнова Галина</t>
  </si>
  <si>
    <t>Смирнова Екатерина</t>
  </si>
  <si>
    <t>Смирнова Ирина</t>
  </si>
  <si>
    <t>Смолкина Александра</t>
  </si>
  <si>
    <t>Смолякова Елизаветта</t>
  </si>
  <si>
    <t>Снимщикова Анастасия</t>
  </si>
  <si>
    <t>Собинов Александр</t>
  </si>
  <si>
    <t>Соболев Сергей</t>
  </si>
  <si>
    <t>Соболева Алена</t>
  </si>
  <si>
    <t>Соболева Мария</t>
  </si>
  <si>
    <t>Соболь Нина</t>
  </si>
  <si>
    <t>Собранин Тимофей</t>
  </si>
  <si>
    <t>Собянина Элина</t>
  </si>
  <si>
    <t>Созонов Иван</t>
  </si>
  <si>
    <t>Соколов Валерий</t>
  </si>
  <si>
    <t>Соколов Павел</t>
  </si>
  <si>
    <t>Соколова Анастасия</t>
  </si>
  <si>
    <t>Соколова Надежда</t>
  </si>
  <si>
    <t>Сокольская Елизавета</t>
  </si>
  <si>
    <t>Сокольский Александр</t>
  </si>
  <si>
    <t>Солдатов Геннадий</t>
  </si>
  <si>
    <t>Солдатова Даная</t>
  </si>
  <si>
    <t>Солдатова Татьяна</t>
  </si>
  <si>
    <t>Солнцев Иван</t>
  </si>
  <si>
    <t>Соловьев Александр</t>
  </si>
  <si>
    <t>Соловьёв Алексей</t>
  </si>
  <si>
    <t>Соловьев Юрий</t>
  </si>
  <si>
    <t>Соловьева Екатерина</t>
  </si>
  <si>
    <t>Соловьёва Любовь</t>
  </si>
  <si>
    <t>Соловьёва Надежда</t>
  </si>
  <si>
    <t>Солодова Алена</t>
  </si>
  <si>
    <t>Солодова Марина</t>
  </si>
  <si>
    <t>Солодухина Анна</t>
  </si>
  <si>
    <t>Соломатникова Вероника</t>
  </si>
  <si>
    <t>Соломахина Людмила</t>
  </si>
  <si>
    <t>Сомина Галина</t>
  </si>
  <si>
    <t>Сомов Андрей</t>
  </si>
  <si>
    <t>Сороговец Александр</t>
  </si>
  <si>
    <t>Сорокин Евгений</t>
  </si>
  <si>
    <t>Сорокин Никита</t>
  </si>
  <si>
    <t>Сорокина Ольга</t>
  </si>
  <si>
    <t>Сорокина Юлия</t>
  </si>
  <si>
    <t>Сосиков Василий</t>
  </si>
  <si>
    <t>Сосимович Николай</t>
  </si>
  <si>
    <t>Сосновский Матвей</t>
  </si>
  <si>
    <t>Сотсков Валентин</t>
  </si>
  <si>
    <t>Сотсков Юрий</t>
  </si>
  <si>
    <t>Спивак Даниил</t>
  </si>
  <si>
    <t>Спиров Роман</t>
  </si>
  <si>
    <t>Средняков Алексей</t>
  </si>
  <si>
    <t>Ставров Дмитрий</t>
  </si>
  <si>
    <t>Ставропольцева Светлана</t>
  </si>
  <si>
    <t>Станков Сергей</t>
  </si>
  <si>
    <t>Стариков Александр</t>
  </si>
  <si>
    <t>Старков Денис</t>
  </si>
  <si>
    <t>Староверова Анастасия</t>
  </si>
  <si>
    <t>Старовойтов Владимир</t>
  </si>
  <si>
    <t>Стародубова Елизавета</t>
  </si>
  <si>
    <t>Старостин Евгений</t>
  </si>
  <si>
    <t>Старостин Сергей</t>
  </si>
  <si>
    <t>Стахив Евгения</t>
  </si>
  <si>
    <t>Сташевский Борис</t>
  </si>
  <si>
    <t>Сташков Максим</t>
  </si>
  <si>
    <t>Сташкова Арина</t>
  </si>
  <si>
    <t>Сташкова Олеся</t>
  </si>
  <si>
    <t>Стащук Тимофей</t>
  </si>
  <si>
    <t>Стебенева Евгения</t>
  </si>
  <si>
    <t>Стебнева Евгения</t>
  </si>
  <si>
    <t>Стеганцев Дмитрий</t>
  </si>
  <si>
    <t>Стеганцев Максим</t>
  </si>
  <si>
    <t>Степанов Александр</t>
  </si>
  <si>
    <t>Степанов Геннадий</t>
  </si>
  <si>
    <t>Степанов Егор</t>
  </si>
  <si>
    <t>Степанов Игорь</t>
  </si>
  <si>
    <t>Степанова А</t>
  </si>
  <si>
    <t>Степанова Анастасия</t>
  </si>
  <si>
    <t>Степанова Екатерина</t>
  </si>
  <si>
    <t>Степанова Елена</t>
  </si>
  <si>
    <t>Степанова Ольга</t>
  </si>
  <si>
    <t>Степанова Яна</t>
  </si>
  <si>
    <t>Степашкин Денис</t>
  </si>
  <si>
    <t>Степонкус Виктор</t>
  </si>
  <si>
    <t>Степонкус Викторас</t>
  </si>
  <si>
    <t>Стеценко Юлия</t>
  </si>
  <si>
    <t>Стоббард Сара</t>
  </si>
  <si>
    <t>Стоборов Ярослав</t>
  </si>
  <si>
    <t>Стоборова Марина</t>
  </si>
  <si>
    <t>Стоев Юрий</t>
  </si>
  <si>
    <t>Столп Вячеслав</t>
  </si>
  <si>
    <t>Столяр Михаил</t>
  </si>
  <si>
    <t>Сторожева Ирина Борисовна</t>
  </si>
  <si>
    <t>Сторчевой Максим</t>
  </si>
  <si>
    <t>Стражникова Александра</t>
  </si>
  <si>
    <t>Стрелкова Наталия</t>
  </si>
  <si>
    <t>Стрельникова Екатерина Борисовна</t>
  </si>
  <si>
    <t>Стрельченко Евгений</t>
  </si>
  <si>
    <t>Стрельченко Илья</t>
  </si>
  <si>
    <t>Строева Анна</t>
  </si>
  <si>
    <t>Строкова Александра</t>
  </si>
  <si>
    <t>Стром Мария</t>
  </si>
  <si>
    <t>Струнин Дмитрий</t>
  </si>
  <si>
    <t>Стукалина Ирина</t>
  </si>
  <si>
    <t>Ступин Максим</t>
  </si>
  <si>
    <t>Суанди</t>
  </si>
  <si>
    <t>Суворов Михаил</t>
  </si>
  <si>
    <t>Судирам</t>
  </si>
  <si>
    <t>Судирхам</t>
  </si>
  <si>
    <t>Судник Екатерина</t>
  </si>
  <si>
    <t>Сукманов Дмитрий</t>
  </si>
  <si>
    <t>Сукманов Дмитрий Мл</t>
  </si>
  <si>
    <t>Сукоркин Сергей</t>
  </si>
  <si>
    <t>Суняйкин Антон</t>
  </si>
  <si>
    <t>Сурагин Александр</t>
  </si>
  <si>
    <t>Сурду Максим</t>
  </si>
  <si>
    <t>Суржин Виталий</t>
  </si>
  <si>
    <t>Суслов Максим</t>
  </si>
  <si>
    <t>Суставов Сергей</t>
  </si>
  <si>
    <t>Сутягина Светлана</t>
  </si>
  <si>
    <t>Суханова Ольга</t>
  </si>
  <si>
    <t>Сухарев Антон</t>
  </si>
  <si>
    <t>Сухарь Елена</t>
  </si>
  <si>
    <t>Сухобаевский Константин</t>
  </si>
  <si>
    <t>Сухов Даниил</t>
  </si>
  <si>
    <t>Сухов Иван</t>
  </si>
  <si>
    <t>Сухов Максим</t>
  </si>
  <si>
    <t>Сухов Сергей</t>
  </si>
  <si>
    <t>Сухова Мария</t>
  </si>
  <si>
    <t>Суховаров Сергей</t>
  </si>
  <si>
    <t>Сушин Павел</t>
  </si>
  <si>
    <t>Сушкин Рафаил</t>
  </si>
  <si>
    <t>Схуагье Вадим</t>
  </si>
  <si>
    <t>Сысоев Иван</t>
  </si>
  <si>
    <t>Сычев Алексей</t>
  </si>
  <si>
    <t>Сычева Татьяна Юрьевна</t>
  </si>
  <si>
    <t>Сюсюкалов Борис</t>
  </si>
  <si>
    <t>Таволжанов Дмитрий</t>
  </si>
  <si>
    <t>Тайдаков Андрей</t>
  </si>
  <si>
    <t>Тарабрин Виталий</t>
  </si>
  <si>
    <t>Тарасенко Анна</t>
  </si>
  <si>
    <t>Тарасов Александр</t>
  </si>
  <si>
    <t>Тарасов Андрей</t>
  </si>
  <si>
    <t>Тарасов Арсений</t>
  </si>
  <si>
    <t>Тарасов Олег</t>
  </si>
  <si>
    <t>Тарасова Елизавета</t>
  </si>
  <si>
    <t>Тарасова Ксения</t>
  </si>
  <si>
    <t>Татаренкова Алена</t>
  </si>
  <si>
    <t>Тачилин Никита</t>
  </si>
  <si>
    <t>Творевинов Петр</t>
  </si>
  <si>
    <t>Телепов Игорь</t>
  </si>
  <si>
    <t>Телятников Сергей</t>
  </si>
  <si>
    <t>Телятов Вадим</t>
  </si>
  <si>
    <t>Тененбойм Андрей</t>
  </si>
  <si>
    <t>Теплицкий Сергей</t>
  </si>
  <si>
    <t>Теплов Антон</t>
  </si>
  <si>
    <t>Теплякова Ариана</t>
  </si>
  <si>
    <t>Терентьев Александр</t>
  </si>
  <si>
    <t>Терехова Виктория</t>
  </si>
  <si>
    <t>Терешкина Дарья</t>
  </si>
  <si>
    <t>Терещенко Евгений</t>
  </si>
  <si>
    <t>Тесля Владислав</t>
  </si>
  <si>
    <t>Тетерева Оксана</t>
  </si>
  <si>
    <t>Тетерева Юлия</t>
  </si>
  <si>
    <t>Тетерина Елена</t>
  </si>
  <si>
    <t>Тименцев Сергей</t>
  </si>
  <si>
    <t>Тимоти Джеф</t>
  </si>
  <si>
    <t>Тимофеев А</t>
  </si>
  <si>
    <t>Тимофеев Антон Владимирович</t>
  </si>
  <si>
    <t>Тимофеев Георгий</t>
  </si>
  <si>
    <t>Тимофеев Михаил</t>
  </si>
  <si>
    <t>Тимофеева Мария</t>
  </si>
  <si>
    <t>Тимохин Роман</t>
  </si>
  <si>
    <t>Тимохина Екатерина</t>
  </si>
  <si>
    <t>Тимошин Евгений</t>
  </si>
  <si>
    <t>Тимощенко Владимир</t>
  </si>
  <si>
    <t>Тимченко Полина</t>
  </si>
  <si>
    <t>Титова Александра</t>
  </si>
  <si>
    <t>Титова Наталья</t>
  </si>
  <si>
    <t>Титова Татьяна</t>
  </si>
  <si>
    <t>Титовец Ульяна</t>
  </si>
  <si>
    <t>Титовский Дмитрий</t>
  </si>
  <si>
    <t>Тихомиров Александр</t>
  </si>
  <si>
    <t>Тихомиров Алексей</t>
  </si>
  <si>
    <t>Тихомиров Артемий</t>
  </si>
  <si>
    <t>Тихомирова Аля</t>
  </si>
  <si>
    <t>Тихомирова Анастасия</t>
  </si>
  <si>
    <t>Тихомирова Елена</t>
  </si>
  <si>
    <t>Тихонов Константин</t>
  </si>
  <si>
    <t>Тихонова Татьяна</t>
  </si>
  <si>
    <t>Ткаченко Виктор</t>
  </si>
  <si>
    <t>Тодуа Георгий</t>
  </si>
  <si>
    <t>Токарев Сергей</t>
  </si>
  <si>
    <t>Толкачева Елена</t>
  </si>
  <si>
    <t>Толкачева Наталия</t>
  </si>
  <si>
    <t>Толочкина Дарья</t>
  </si>
  <si>
    <t>Толстяков Дмитрий</t>
  </si>
  <si>
    <t>Тонин Матвей</t>
  </si>
  <si>
    <t>Топилин Артем</t>
  </si>
  <si>
    <t>Топорков Николай</t>
  </si>
  <si>
    <t>Топунов Юрий</t>
  </si>
  <si>
    <t>Торопин Сергей</t>
  </si>
  <si>
    <t>Торопов Кирилл</t>
  </si>
  <si>
    <t>Торопченков Илья</t>
  </si>
  <si>
    <t>Точилин Никита</t>
  </si>
  <si>
    <t>Трейвас Павел</t>
  </si>
  <si>
    <t>Третьяков Александр</t>
  </si>
  <si>
    <t>Третьяков Никита</t>
  </si>
  <si>
    <t>Третьякова Екатерина</t>
  </si>
  <si>
    <t>Третьякова Светлана</t>
  </si>
  <si>
    <t>Трифиленкова Валентина</t>
  </si>
  <si>
    <t>Трифонов Андрей</t>
  </si>
  <si>
    <t>Тришневская Людмила</t>
  </si>
  <si>
    <t>Тришневский Сергей</t>
  </si>
  <si>
    <t>Трофимов Александр</t>
  </si>
  <si>
    <t>Трофимова Ольга</t>
  </si>
  <si>
    <t>Трохимчук Диана</t>
  </si>
  <si>
    <t>Трохимчук Яна</t>
  </si>
  <si>
    <t>Трудова Светлана</t>
  </si>
  <si>
    <t>Трускалов Антон</t>
  </si>
  <si>
    <t>Тугушева Ольга</t>
  </si>
  <si>
    <t>Туз Анастасия</t>
  </si>
  <si>
    <t>Тукманов Андрей</t>
  </si>
  <si>
    <t>Тульская Софья</t>
  </si>
  <si>
    <t>Туманская Карина</t>
  </si>
  <si>
    <t>Тумаркин Олег</t>
  </si>
  <si>
    <t>Тумбарцев Александр</t>
  </si>
  <si>
    <t>Тумеля Дмитрий</t>
  </si>
  <si>
    <t>Турбина</t>
  </si>
  <si>
    <t>Туренин Михаил</t>
  </si>
  <si>
    <t>Турмышев Владислав</t>
  </si>
  <si>
    <t>Турмышев Юрий</t>
  </si>
  <si>
    <t>Туровский Сергей</t>
  </si>
  <si>
    <t>Туфанов Юрий</t>
  </si>
  <si>
    <t>Тухватулина Людмила</t>
  </si>
  <si>
    <t>Тхао Нгуен</t>
  </si>
  <si>
    <t>Тэо</t>
  </si>
  <si>
    <t>Тюрин Дмитрий</t>
  </si>
  <si>
    <t>Тюрина Анастасия</t>
  </si>
  <si>
    <t>Тюрина Дарья</t>
  </si>
  <si>
    <t>Тюрина Екатерина</t>
  </si>
  <si>
    <t>Тюрина Елена</t>
  </si>
  <si>
    <t>Тюрина Светлана</t>
  </si>
  <si>
    <t>Тяжкун Дмитрий</t>
  </si>
  <si>
    <t>У Чао</t>
  </si>
  <si>
    <t>Узел Джером</t>
  </si>
  <si>
    <t>Украинцев Николай</t>
  </si>
  <si>
    <t>Улыбин Михаил</t>
  </si>
  <si>
    <t>Ульман Георгий</t>
  </si>
  <si>
    <t>Ульман Родион</t>
  </si>
  <si>
    <t>Ульман Софья</t>
  </si>
  <si>
    <t>Ульянова Александра</t>
  </si>
  <si>
    <t>Ульянова Ольга</t>
  </si>
  <si>
    <t>Уманская Елена</t>
  </si>
  <si>
    <t>Уразовская Наталья</t>
  </si>
  <si>
    <t>Усина Елена</t>
  </si>
  <si>
    <t>Усов Максим</t>
  </si>
  <si>
    <t>Усовик Сергей</t>
  </si>
  <si>
    <t>Утемова Любовь</t>
  </si>
  <si>
    <t>Утина Анна</t>
  </si>
  <si>
    <t>Уханова Арина</t>
  </si>
  <si>
    <t>Ушаков Алексей</t>
  </si>
  <si>
    <t>Ушаков Дмитрий</t>
  </si>
  <si>
    <t>Ушаков Константин</t>
  </si>
  <si>
    <t>Ушакова Екатерина</t>
  </si>
  <si>
    <t>Ушков Андрей</t>
  </si>
  <si>
    <t>Ушков Николай</t>
  </si>
  <si>
    <t>Ушкова Наталья</t>
  </si>
  <si>
    <t>Фадейкина Елена</t>
  </si>
  <si>
    <t>Фаенов Роман</t>
  </si>
  <si>
    <t>Фаизрахманова Софи</t>
  </si>
  <si>
    <t>Фаисол</t>
  </si>
  <si>
    <t>Фалеев Андрей</t>
  </si>
  <si>
    <t>Фам Ван Кханг</t>
  </si>
  <si>
    <t>Фам Вьет Ань</t>
  </si>
  <si>
    <t>Фам Ле Куок Хань</t>
  </si>
  <si>
    <t>Фандо Артем</t>
  </si>
  <si>
    <t>Фармаковская Полина</t>
  </si>
  <si>
    <t>Фархатдинов Наиль</t>
  </si>
  <si>
    <t>Фатехова Динара</t>
  </si>
  <si>
    <t>Фатхутдинов Илья</t>
  </si>
  <si>
    <t>Фатькин Даниил</t>
  </si>
  <si>
    <t>Федон Мария</t>
  </si>
  <si>
    <t>Федоренко Ольга</t>
  </si>
  <si>
    <t>Федоров Игорь</t>
  </si>
  <si>
    <t>Фёдорова Мария</t>
  </si>
  <si>
    <t>Федорович Вячеслав</t>
  </si>
  <si>
    <t>Федосеев Денис</t>
  </si>
  <si>
    <t>Федотов Григорий</t>
  </si>
  <si>
    <t>Федченко Александр</t>
  </si>
  <si>
    <t>Федянин Дмитрий</t>
  </si>
  <si>
    <t>Фернандо Чанака Мадуранга</t>
  </si>
  <si>
    <t>Филатов Алексей</t>
  </si>
  <si>
    <t>Филатов Василий</t>
  </si>
  <si>
    <t>Филатов Даниил</t>
  </si>
  <si>
    <t>Филатов Дмитрий</t>
  </si>
  <si>
    <t>Филатов Николай</t>
  </si>
  <si>
    <t>Филимонова Евгения</t>
  </si>
  <si>
    <t>Филин Геннадий</t>
  </si>
  <si>
    <t>Филина Регина</t>
  </si>
  <si>
    <t>Филина Юлия</t>
  </si>
  <si>
    <t>Филина Юля</t>
  </si>
  <si>
    <t>Филиппов Игорь</t>
  </si>
  <si>
    <t>Филиппов Максим</t>
  </si>
  <si>
    <t>Филиппова Галина</t>
  </si>
  <si>
    <t>Филиппова Елена</t>
  </si>
  <si>
    <t>Филичев Петр</t>
  </si>
  <si>
    <t>Филонов Юрий</t>
  </si>
  <si>
    <t>Фирсов Артем</t>
  </si>
  <si>
    <t>Фисюк Алексей</t>
  </si>
  <si>
    <t>Фитисов Андрей</t>
  </si>
  <si>
    <t>Флейта Андрей</t>
  </si>
  <si>
    <t>Флейта Елена</t>
  </si>
  <si>
    <t>Фокин Евгений</t>
  </si>
  <si>
    <t>Фоменко Виталий</t>
  </si>
  <si>
    <t>Фоменко Владимир</t>
  </si>
  <si>
    <t>Фоменко Евгения</t>
  </si>
  <si>
    <t>Фомин Илья</t>
  </si>
  <si>
    <t>Фомина О</t>
  </si>
  <si>
    <t>Фомина Татьяна</t>
  </si>
  <si>
    <t>Фомичев Артем</t>
  </si>
  <si>
    <t>Фомичев Михаил</t>
  </si>
  <si>
    <t>Фролов Андрей</t>
  </si>
  <si>
    <t>Фролов Павел</t>
  </si>
  <si>
    <t>Фурсова Александра</t>
  </si>
  <si>
    <t>Фуряев Денис</t>
  </si>
  <si>
    <t>Фуряев Тимофей</t>
  </si>
  <si>
    <t>Хаборская Валерия</t>
  </si>
  <si>
    <t>Хайретдинова Амина</t>
  </si>
  <si>
    <t>Хайрулин Мурат</t>
  </si>
  <si>
    <t>Хакетт Оскар</t>
  </si>
  <si>
    <t>Хакимов Никита</t>
  </si>
  <si>
    <t>Хальзов Павел</t>
  </si>
  <si>
    <t>Хантулева Ольга</t>
  </si>
  <si>
    <t>Ханян Гаик</t>
  </si>
  <si>
    <t>Ханян Гай</t>
  </si>
  <si>
    <t>Харитиди Андрей</t>
  </si>
  <si>
    <t>Харитонов Алексей</t>
  </si>
  <si>
    <t>Харламенкова Кристина</t>
  </si>
  <si>
    <t>Харченко Ирина</t>
  </si>
  <si>
    <t>Хасанова Айгуль</t>
  </si>
  <si>
    <t>Хасин Александр</t>
  </si>
  <si>
    <t>Хатимцов Никита</t>
  </si>
  <si>
    <t>Хаустов Роман</t>
  </si>
  <si>
    <t>Хахалев Игорь</t>
  </si>
  <si>
    <t>Хачикян Ваган</t>
  </si>
  <si>
    <t>Хе Женг</t>
  </si>
  <si>
    <t>Хедрот Елена</t>
  </si>
  <si>
    <t>Хендра Реймон</t>
  </si>
  <si>
    <t>Химаншу Дас</t>
  </si>
  <si>
    <t>Хлебутина Валентина</t>
  </si>
  <si>
    <t>Хлопов Андрей</t>
  </si>
  <si>
    <t>Хоанг Вьет Ань</t>
  </si>
  <si>
    <t>Хоботов Александр</t>
  </si>
  <si>
    <t>Ходарович Юрий</t>
  </si>
  <si>
    <t>Ходжаева Анна</t>
  </si>
  <si>
    <t>Ходырева Анна</t>
  </si>
  <si>
    <t>Хомерики Екатерина</t>
  </si>
  <si>
    <t>Хомяков Максим</t>
  </si>
  <si>
    <t>Хомякова Анастасия</t>
  </si>
  <si>
    <t>Хонин Александр</t>
  </si>
  <si>
    <t>Хонин Евгений</t>
  </si>
  <si>
    <t>Хордыкова Ирина</t>
  </si>
  <si>
    <t>Хорев Альберт</t>
  </si>
  <si>
    <t>Хорхмазян Баграт</t>
  </si>
  <si>
    <t>Хотеев Ю</t>
  </si>
  <si>
    <t>Хотеев Юрий</t>
  </si>
  <si>
    <t>Хотибул Умам</t>
  </si>
  <si>
    <t>Хохлов Всеволод</t>
  </si>
  <si>
    <t>Хуршудян Анаит</t>
  </si>
  <si>
    <t>Хуснуматин Эйнар</t>
  </si>
  <si>
    <t>Царицин Дмитрий</t>
  </si>
  <si>
    <t>Цветков Евгений</t>
  </si>
  <si>
    <t>Цветкова Алиса</t>
  </si>
  <si>
    <t>Цветухин Кирилл</t>
  </si>
  <si>
    <t>Цегельский Сергей</t>
  </si>
  <si>
    <t>Цеканаускине Вилиа</t>
  </si>
  <si>
    <t>Цзинь Яндун</t>
  </si>
  <si>
    <t>Цибизова Мария</t>
  </si>
  <si>
    <t>Цибульский</t>
  </si>
  <si>
    <t>Цивилев Дмитрий</t>
  </si>
  <si>
    <t>Цимбалист Сергей</t>
  </si>
  <si>
    <t>Цисельский Михаил</t>
  </si>
  <si>
    <t>Цицаковский Алексей</t>
  </si>
  <si>
    <t>Цой Раиса</t>
  </si>
  <si>
    <t>Цуканова Екатерина</t>
  </si>
  <si>
    <t>Цуприяк Янина</t>
  </si>
  <si>
    <t>Цурупина Наталия</t>
  </si>
  <si>
    <t>Цыбенко Игорь</t>
  </si>
  <si>
    <t>Цыбульский Александр</t>
  </si>
  <si>
    <t>Цыплаков Антон</t>
  </si>
  <si>
    <t>Чайковская Ольга</t>
  </si>
  <si>
    <t>Чайковский Александр</t>
  </si>
  <si>
    <t>Чайковский Вячеслав</t>
  </si>
  <si>
    <t>Чаленко Александр</t>
  </si>
  <si>
    <t>Чан Ван Донг</t>
  </si>
  <si>
    <t>Чан Вьет Хай</t>
  </si>
  <si>
    <t>Чан К Н</t>
  </si>
  <si>
    <t>Чан Куанг Туан</t>
  </si>
  <si>
    <t>Чан Куок Нам</t>
  </si>
  <si>
    <t>Чан Тхи Лан</t>
  </si>
  <si>
    <t>Чан Тхи Хуен Чанг</t>
  </si>
  <si>
    <t>Чан Тхи Хун Чанг</t>
  </si>
  <si>
    <t>Чан Чонг Хой</t>
  </si>
  <si>
    <t>Чан Чонг Хунг</t>
  </si>
  <si>
    <t>Чандел Абхишек</t>
  </si>
  <si>
    <t>Чао Ву</t>
  </si>
  <si>
    <t>Чаплин Андрей</t>
  </si>
  <si>
    <t>Чарышкин Сергей</t>
  </si>
  <si>
    <t>Часовской Дмитрий</t>
  </si>
  <si>
    <t>Чаудхри Урджиб</t>
  </si>
  <si>
    <t>Чебан Александр</t>
  </si>
  <si>
    <t>Чеботарева Татьяна</t>
  </si>
  <si>
    <t>Чевиков Максим</t>
  </si>
  <si>
    <t>Чекалина Мария</t>
  </si>
  <si>
    <t>Чеканаускас Деймантас</t>
  </si>
  <si>
    <t>Чекмасова Анна</t>
  </si>
  <si>
    <t>Чекулаев Александр</t>
  </si>
  <si>
    <t>Чекурова Ирина</t>
  </si>
  <si>
    <t>Челышева Светлана</t>
  </si>
  <si>
    <t>Чеманков Никита</t>
  </si>
  <si>
    <t>Чен Жи Тиан</t>
  </si>
  <si>
    <t>Чеов Тонг Шенг</t>
  </si>
  <si>
    <t>Червяков Владимир</t>
  </si>
  <si>
    <t>Червякова Анастасия</t>
  </si>
  <si>
    <t>Черемных Илья</t>
  </si>
  <si>
    <t>Черепнева Анастасия</t>
  </si>
  <si>
    <t>Черепнева Галина</t>
  </si>
  <si>
    <t>Черкасских Егор</t>
  </si>
  <si>
    <t>Черник Олег</t>
  </si>
  <si>
    <t>Черниченко Андрей</t>
  </si>
  <si>
    <t>Чернова Екатерина</t>
  </si>
  <si>
    <t>Чернова Юлия</t>
  </si>
  <si>
    <t>Черныховский Дмитрий</t>
  </si>
  <si>
    <t>Чернышкова Анастасия</t>
  </si>
  <si>
    <t>Чернявская Анна</t>
  </si>
  <si>
    <t>Чернявская Елена</t>
  </si>
  <si>
    <t>Чернявская Татьяна</t>
  </si>
  <si>
    <t>Чернявский Александр</t>
  </si>
  <si>
    <t>Чернявский Леонид</t>
  </si>
  <si>
    <t>Черняк Александр</t>
  </si>
  <si>
    <t>Черняков Михаил</t>
  </si>
  <si>
    <t>Чернякова Юлия</t>
  </si>
  <si>
    <t>Черняхоский Дмитрий</t>
  </si>
  <si>
    <t>Чертилин Евгений</t>
  </si>
  <si>
    <t>Чертков Вадим</t>
  </si>
  <si>
    <t>Чесноков Юрий</t>
  </si>
  <si>
    <t>Четраселван Тилаган</t>
  </si>
  <si>
    <t>Чеусов Алексей</t>
  </si>
  <si>
    <t>Чечикова Елизавета</t>
  </si>
  <si>
    <t>Чешко Анатолий</t>
  </si>
  <si>
    <t>Чжоу Юн</t>
  </si>
  <si>
    <t>Чигир Виталий</t>
  </si>
  <si>
    <t>Чижов Алексей</t>
  </si>
  <si>
    <t>Чинакаева Вероника</t>
  </si>
  <si>
    <t>Числов Сергей</t>
  </si>
  <si>
    <t>Чистяков Алексей</t>
  </si>
  <si>
    <t>Чистяков Олег</t>
  </si>
  <si>
    <t>Чистяков Олег Борисович</t>
  </si>
  <si>
    <t>Чистякова Варвара</t>
  </si>
  <si>
    <t>Чистякова Дарья</t>
  </si>
  <si>
    <t>Чиханова Александра</t>
  </si>
  <si>
    <t>Чихерев Андрей</t>
  </si>
  <si>
    <t>Чихладзе Константин</t>
  </si>
  <si>
    <t>Чуланов Сергей</t>
  </si>
  <si>
    <t>Чулкин Александр</t>
  </si>
  <si>
    <t>Чулкин Сергей</t>
  </si>
  <si>
    <t>Чумак Анастасия</t>
  </si>
  <si>
    <t>Чуманихин Леонид</t>
  </si>
  <si>
    <t>Чупин Сергей</t>
  </si>
  <si>
    <t>Чурсаков Никита</t>
  </si>
  <si>
    <t>Чухачева Наталья</t>
  </si>
  <si>
    <t>Чушкина Александра</t>
  </si>
  <si>
    <t>Шабельянов Дмитрий</t>
  </si>
  <si>
    <t>Шавера Анастасия</t>
  </si>
  <si>
    <t>Шавлак Николай</t>
  </si>
  <si>
    <t>Шагин Кирилл</t>
  </si>
  <si>
    <t>Шадренков Андрей</t>
  </si>
  <si>
    <t>Шадрина Екатерина</t>
  </si>
  <si>
    <t>Шаймарданова Мария</t>
  </si>
  <si>
    <t>Шакиров Никита</t>
  </si>
  <si>
    <t>Шако Людмила</t>
  </si>
  <si>
    <t>Шалфит Марина</t>
  </si>
  <si>
    <t>Шамаева Елена</t>
  </si>
  <si>
    <t>Шань Цзян</t>
  </si>
  <si>
    <t>Шаповалова Анастасия</t>
  </si>
  <si>
    <t>Шарапова Жанна</t>
  </si>
  <si>
    <t>Шарин Алексей</t>
  </si>
  <si>
    <t>Шарипов Фарид</t>
  </si>
  <si>
    <t>Шаркова Ксения</t>
  </si>
  <si>
    <t>Шарома Анастасия</t>
  </si>
  <si>
    <t>Шаронов Виталий</t>
  </si>
  <si>
    <t>Шаршова Жанна</t>
  </si>
  <si>
    <t>Шарыгин Михаил</t>
  </si>
  <si>
    <t>Шатаев Сергей</t>
  </si>
  <si>
    <t>Шатилов Александр</t>
  </si>
  <si>
    <t>Шатров Владислав</t>
  </si>
  <si>
    <t>Шатский Юрий</t>
  </si>
  <si>
    <t>Шахин Игорь Алексеевич</t>
  </si>
  <si>
    <t>Шахина Ирина</t>
  </si>
  <si>
    <t>Шахина Кристина</t>
  </si>
  <si>
    <t>Шахлевич Петр</t>
  </si>
  <si>
    <t>Шварц Илья</t>
  </si>
  <si>
    <t>Шведов Андрей</t>
  </si>
  <si>
    <t>Шведова Марина</t>
  </si>
  <si>
    <t>Шведцов Алексей</t>
  </si>
  <si>
    <t>Швейкин Иван</t>
  </si>
  <si>
    <t>Швецов Алексей</t>
  </si>
  <si>
    <t>Швецов Данил</t>
  </si>
  <si>
    <t>Швецова Анастасия</t>
  </si>
  <si>
    <t>Шевченко Анна</t>
  </si>
  <si>
    <t>Шевченко Дмитрий</t>
  </si>
  <si>
    <t>Шелепов Дмитрий</t>
  </si>
  <si>
    <t>Шемагина Валерия</t>
  </si>
  <si>
    <t>Шен Сим</t>
  </si>
  <si>
    <t>Шендер Виктория</t>
  </si>
  <si>
    <t>Шербанева Элина</t>
  </si>
  <si>
    <t>Шерешова Арина</t>
  </si>
  <si>
    <t>Шериков Дмитрий</t>
  </si>
  <si>
    <t>Шерстюгин Герман</t>
  </si>
  <si>
    <t>Шершнев Михаил</t>
  </si>
  <si>
    <t>Шестаков Дмитрий</t>
  </si>
  <si>
    <t>Шефер Александр</t>
  </si>
  <si>
    <t>Шеховцова Ирина</t>
  </si>
  <si>
    <t>Шикунец Павел Иванович</t>
  </si>
  <si>
    <t>Шилина Анна</t>
  </si>
  <si>
    <t>Шиляев Александр</t>
  </si>
  <si>
    <t>Шимановская Татьяна</t>
  </si>
  <si>
    <t>Шин Ольга</t>
  </si>
  <si>
    <t>Шингарев Вячеслав</t>
  </si>
  <si>
    <t>Шингарев Дмитрий</t>
  </si>
  <si>
    <t>Шипицин Егор</t>
  </si>
  <si>
    <t>Шипицын Антон</t>
  </si>
  <si>
    <t>Ширинкина Варвара</t>
  </si>
  <si>
    <t>Ширшов Максим</t>
  </si>
  <si>
    <t>Ширяев Александр</t>
  </si>
  <si>
    <t>Шитиков Владимир</t>
  </si>
  <si>
    <t>Шиховцев Максим</t>
  </si>
  <si>
    <t>Шишкин Дмитрий</t>
  </si>
  <si>
    <t>Шишкин Игорь</t>
  </si>
  <si>
    <t>Шишкина Анастасия</t>
  </si>
  <si>
    <t>Шишкина Наталья</t>
  </si>
  <si>
    <t>Шляга Дмитрий</t>
  </si>
  <si>
    <t>Шлягин Дмитрий</t>
  </si>
  <si>
    <t>Шлячин Дмитрий</t>
  </si>
  <si>
    <t>Шмакова Дарья</t>
  </si>
  <si>
    <t>Шмелева Анастасия</t>
  </si>
  <si>
    <t>Шмырев Павел</t>
  </si>
  <si>
    <t>Шорина Наталья</t>
  </si>
  <si>
    <t>Шоромов Иван</t>
  </si>
  <si>
    <t>Шоромова Евгения</t>
  </si>
  <si>
    <t>Шорохова Александра</t>
  </si>
  <si>
    <t>Шорохова Евгения</t>
  </si>
  <si>
    <t>Шохин Игорь</t>
  </si>
  <si>
    <t>Шошин Андрей</t>
  </si>
  <si>
    <t>Шпартало Антон</t>
  </si>
  <si>
    <t>Штайгер Ольга</t>
  </si>
  <si>
    <t>Шувалова Александра</t>
  </si>
  <si>
    <t>Шувалова Ирина</t>
  </si>
  <si>
    <t>Шугаева Ангелина</t>
  </si>
  <si>
    <t>Шулепов Павел</t>
  </si>
  <si>
    <t>Шульга Олег</t>
  </si>
  <si>
    <t>Шульмейстер Евгений</t>
  </si>
  <si>
    <t>Шумилкин Сергей</t>
  </si>
  <si>
    <t>Шупенев Александр</t>
  </si>
  <si>
    <t>Шупта Элина</t>
  </si>
  <si>
    <t>Шурпо Варвара</t>
  </si>
  <si>
    <t>Шуршалова Екатерина</t>
  </si>
  <si>
    <t>Шурыгин Алексей</t>
  </si>
  <si>
    <t>Шустова Виктория</t>
  </si>
  <si>
    <t>Шустова Ксения</t>
  </si>
  <si>
    <t>Шушкевич Сергей</t>
  </si>
  <si>
    <t>Шушков Александр</t>
  </si>
  <si>
    <t>Шушурин Матвей</t>
  </si>
  <si>
    <t>Щеболев Артём</t>
  </si>
  <si>
    <t>Щегольков Александр</t>
  </si>
  <si>
    <t>Щерба Сергей</t>
  </si>
  <si>
    <t>Щербаков Дмитрий</t>
  </si>
  <si>
    <t>Щербина Виктория</t>
  </si>
  <si>
    <t>Щербина Елена</t>
  </si>
  <si>
    <t>Щербинская Дарья</t>
  </si>
  <si>
    <t>Щукин Павел</t>
  </si>
  <si>
    <t>Щупенев Александр</t>
  </si>
  <si>
    <t>Щупта Ирина</t>
  </si>
  <si>
    <t>Эззи Бассам</t>
  </si>
  <si>
    <t>Эззи Башам</t>
  </si>
  <si>
    <t>Эззи Хишам</t>
  </si>
  <si>
    <t>Эстрина Екатерина</t>
  </si>
  <si>
    <t>Эфимиади Софья</t>
  </si>
  <si>
    <t>Ювакаева Эльвина</t>
  </si>
  <si>
    <t>Юдин Алексей</t>
  </si>
  <si>
    <t>Южакова Екатерина</t>
  </si>
  <si>
    <t>Южанов Артур</t>
  </si>
  <si>
    <t>Юй Женя</t>
  </si>
  <si>
    <t>Юлов Виталий</t>
  </si>
  <si>
    <t>Юн Чжен</t>
  </si>
  <si>
    <t>Юнак Вадим</t>
  </si>
  <si>
    <t>Юнак Марина</t>
  </si>
  <si>
    <t>Юрченко Андрей</t>
  </si>
  <si>
    <t>Юрченко Ольга</t>
  </si>
  <si>
    <t>Юрьев Илья</t>
  </si>
  <si>
    <t>Юрьева Ольга</t>
  </si>
  <si>
    <t>Юсибов Ясин</t>
  </si>
  <si>
    <t>Юсим Дмитрий</t>
  </si>
  <si>
    <t>Юханов Сергей</t>
  </si>
  <si>
    <t>Юшкин Виталий</t>
  </si>
  <si>
    <t>Якимов Денис</t>
  </si>
  <si>
    <t>Яковлев Александр</t>
  </si>
  <si>
    <t>Яковлев Сергей</t>
  </si>
  <si>
    <t>Яковлев Сергей А</t>
  </si>
  <si>
    <t>Яковлев Сергей С</t>
  </si>
  <si>
    <t>Яковлева Вера</t>
  </si>
  <si>
    <t>Якушев Андрей</t>
  </si>
  <si>
    <t>Якушов Артем</t>
  </si>
  <si>
    <t>Ялда Константин</t>
  </si>
  <si>
    <t>Ялда Ксения</t>
  </si>
  <si>
    <t>Ялда Людмила</t>
  </si>
  <si>
    <t>Янборисов Эльдар</t>
  </si>
  <si>
    <t>Янгаева Татьяна</t>
  </si>
  <si>
    <t>Янковец Александр</t>
  </si>
  <si>
    <t>Янов Евгений</t>
  </si>
  <si>
    <t>Янова Оксана</t>
  </si>
  <si>
    <t>Януц Татьяна</t>
  </si>
  <si>
    <t>Янушкевич Милана</t>
  </si>
  <si>
    <t>Яремчук Александр</t>
  </si>
  <si>
    <t>Яремчук Наталия</t>
  </si>
  <si>
    <t>Ярославцев Степан</t>
  </si>
  <si>
    <t>Ярославцева Анастасия</t>
  </si>
  <si>
    <t>Ярошевич Александр</t>
  </si>
  <si>
    <t>Ястребов Сергей</t>
  </si>
  <si>
    <t>Яшин Дмитрий</t>
  </si>
  <si>
    <t>12 Игорь</t>
  </si>
  <si>
    <t>Абишев Аделькан</t>
  </si>
  <si>
    <t>Абрамов Александр</t>
  </si>
  <si>
    <t>Азовцев Александр</t>
  </si>
  <si>
    <t>Аксенов Никита</t>
  </si>
  <si>
    <t>Амелина Дарья</t>
  </si>
  <si>
    <t>Антипов Максим</t>
  </si>
  <si>
    <t>Ануфриев Алексей</t>
  </si>
  <si>
    <t>Афанасов Алексей</t>
  </si>
  <si>
    <t>Бабакина Наталья</t>
  </si>
  <si>
    <t>Бабашкина Вероника</t>
  </si>
  <si>
    <t>Баглай Анна</t>
  </si>
  <si>
    <t>Байкалова Анастасия</t>
  </si>
  <si>
    <t>Барсова Витория</t>
  </si>
  <si>
    <t>Бахманов Викентий</t>
  </si>
  <si>
    <t>Беззубцев Константин Валерьевич</t>
  </si>
  <si>
    <t>Беляшов Александр Николаевич</t>
  </si>
  <si>
    <t>Билялова Амина</t>
  </si>
  <si>
    <t>Богданов Игорь</t>
  </si>
  <si>
    <t>Большакова Владислава</t>
  </si>
  <si>
    <t>Бондаренко Владислав</t>
  </si>
  <si>
    <t>Борисенко Светлана</t>
  </si>
  <si>
    <t>Боярун Анастасия</t>
  </si>
  <si>
    <t>Бугай Иван</t>
  </si>
  <si>
    <t>Варфоломеева Евгения</t>
  </si>
  <si>
    <t>Василевский Владислав</t>
  </si>
  <si>
    <t>Васильева Александра</t>
  </si>
  <si>
    <t>Васильчук Алексей</t>
  </si>
  <si>
    <t>Верёвкин Михаил</t>
  </si>
  <si>
    <t>Веренич Нелли</t>
  </si>
  <si>
    <t>Верхоглядов Артем</t>
  </si>
  <si>
    <t>Внуков Антон</t>
  </si>
  <si>
    <t>Водукова Арина</t>
  </si>
  <si>
    <t>Волкова Юлия</t>
  </si>
  <si>
    <t>Волновская Влада</t>
  </si>
  <si>
    <t>Воробьев Виталий</t>
  </si>
  <si>
    <t>Вышивкин Алексей</t>
  </si>
  <si>
    <t>Гаврилина Евгения</t>
  </si>
  <si>
    <t>Гаврюшенко Константин</t>
  </si>
  <si>
    <t>Галанская Мария</t>
  </si>
  <si>
    <t>Гаранин Алексей</t>
  </si>
  <si>
    <t>Герасимов Олег</t>
  </si>
  <si>
    <t>Гладилин Петр</t>
  </si>
  <si>
    <t>Гладкова Мария</t>
  </si>
  <si>
    <t>Глубокова Валерия</t>
  </si>
  <si>
    <t>Глущенко Александра</t>
  </si>
  <si>
    <t>Годунов Илья</t>
  </si>
  <si>
    <t>Гончаров Вадим Викторович</t>
  </si>
  <si>
    <t>Горохова Екатерина</t>
  </si>
  <si>
    <t>Горшков Илья</t>
  </si>
  <si>
    <t>Гуреева Марина</t>
  </si>
  <si>
    <t>Дмитриев Евгений</t>
  </si>
  <si>
    <t>Дмитриева Екатерина</t>
  </si>
  <si>
    <t>Донец Артур</t>
  </si>
  <si>
    <t>Духов Антон</t>
  </si>
  <si>
    <t>Духов Роман</t>
  </si>
  <si>
    <t>Евдокимов Игорь</t>
  </si>
  <si>
    <t>Евстафьев Николай</t>
  </si>
  <si>
    <t>Ермаков Даниил</t>
  </si>
  <si>
    <t>Ефремова Анна</t>
  </si>
  <si>
    <t>Жиглов Кирилл</t>
  </si>
  <si>
    <t>Журкова Любовь</t>
  </si>
  <si>
    <t>Зарубина Ксения</t>
  </si>
  <si>
    <t>Захаренкова Юлия</t>
  </si>
  <si>
    <t>Зубиков Руслан</t>
  </si>
  <si>
    <t>Иванов Андрей Михайлович</t>
  </si>
  <si>
    <t>Иванова Екатерина</t>
  </si>
  <si>
    <t>Иванушкин Андрей</t>
  </si>
  <si>
    <t>Илошвай Ян</t>
  </si>
  <si>
    <t>Ильин Михаил</t>
  </si>
  <si>
    <t>Ильина Юлия</t>
  </si>
  <si>
    <t>Илькевич Анна</t>
  </si>
  <si>
    <t>Иншаков Алексей</t>
  </si>
  <si>
    <t>Кабанкова Алиса</t>
  </si>
  <si>
    <t>Кабанкова Виктория</t>
  </si>
  <si>
    <t>Кантимиров Александр</t>
  </si>
  <si>
    <t>Кантимиров Владимир</t>
  </si>
  <si>
    <t>Карачанцев Василий</t>
  </si>
  <si>
    <t>Карибидис Дэмис</t>
  </si>
  <si>
    <t>Карпицын Николай</t>
  </si>
  <si>
    <t>Киба Александра</t>
  </si>
  <si>
    <t>Ковалюк Владимир</t>
  </si>
  <si>
    <t>Комаров Максим</t>
  </si>
  <si>
    <t>Комов Денис</t>
  </si>
  <si>
    <t>Конкина Татьяна Николаевна</t>
  </si>
  <si>
    <t>Королёв Алексей</t>
  </si>
  <si>
    <t>Королев Сергей Львович</t>
  </si>
  <si>
    <t>Королева Анастасия</t>
  </si>
  <si>
    <t>Королева Екатерина</t>
  </si>
  <si>
    <t>Корочанцев Василий</t>
  </si>
  <si>
    <t>Кочмар Вита</t>
  </si>
  <si>
    <t>Крупенников Андрей</t>
  </si>
  <si>
    <t>Крючкова Екатерина</t>
  </si>
  <si>
    <t>Кудинова Анна</t>
  </si>
  <si>
    <t>Кузнецов Руслан</t>
  </si>
  <si>
    <t>Кузнецова Дарья</t>
  </si>
  <si>
    <t>Кулагин Алексей</t>
  </si>
  <si>
    <t>Куликов Сергей</t>
  </si>
  <si>
    <t>Кулькова Наталия</t>
  </si>
  <si>
    <t>Курганова Кристина</t>
  </si>
  <si>
    <t>Курников Владимир</t>
  </si>
  <si>
    <t>Куртасова Иванна</t>
  </si>
  <si>
    <t>Курьянов Максим</t>
  </si>
  <si>
    <t>Лагунова Софья</t>
  </si>
  <si>
    <t>Лапин Иван</t>
  </si>
  <si>
    <t>Лебедев Анатолий</t>
  </si>
  <si>
    <t>Лезжов Александр</t>
  </si>
  <si>
    <t>Лео</t>
  </si>
  <si>
    <t>Леонов Владимир</t>
  </si>
  <si>
    <t>Логинов Дмитрий</t>
  </si>
  <si>
    <t>Логинова Ольга</t>
  </si>
  <si>
    <t>Ломоносова Екатерина</t>
  </si>
  <si>
    <t>Лопаткина Ирина</t>
  </si>
  <si>
    <t>Лужбин Дмитрий</t>
  </si>
  <si>
    <t>Лукьянова Яна</t>
  </si>
  <si>
    <t>Макаров Константин Борисович</t>
  </si>
  <si>
    <t>Мамонов Валерий</t>
  </si>
  <si>
    <t>Маргальникова Валентина</t>
  </si>
  <si>
    <t>Матиеску Лилиан</t>
  </si>
  <si>
    <t>Машков Михаил</t>
  </si>
  <si>
    <t>Менков Андрей</t>
  </si>
  <si>
    <t>Минофева Александра</t>
  </si>
  <si>
    <t>Михайлова Мария Михайловна</t>
  </si>
  <si>
    <t>Монич Андрей</t>
  </si>
  <si>
    <t>Моторов Александр</t>
  </si>
  <si>
    <t>Мошарова Дарья</t>
  </si>
  <si>
    <t>Мошкарин Эдуард</t>
  </si>
  <si>
    <t>Налджян Кира</t>
  </si>
  <si>
    <t>Нестеров Никита</t>
  </si>
  <si>
    <t>Никитина Анастасия</t>
  </si>
  <si>
    <t>Николаев Матвей</t>
  </si>
  <si>
    <t>Обухова Полина</t>
  </si>
  <si>
    <t>Оленников Александр</t>
  </si>
  <si>
    <t>Пантюхов Даниил</t>
  </si>
  <si>
    <t>Пасеева Лина</t>
  </si>
  <si>
    <t>Паськов Вячеслав</t>
  </si>
  <si>
    <t>Пименов Максим</t>
  </si>
  <si>
    <t>Платонов Николай</t>
  </si>
  <si>
    <t>Платонов Павел Александрович</t>
  </si>
  <si>
    <t>Платонов Павел Николаевич</t>
  </si>
  <si>
    <t>Плюхин Александр</t>
  </si>
  <si>
    <t>Полончик Евгения</t>
  </si>
  <si>
    <t>Попов Артем Сергеевич</t>
  </si>
  <si>
    <t>Попов Михаил</t>
  </si>
  <si>
    <t>Потапова Дарья</t>
  </si>
  <si>
    <t>Пронин Владимир</t>
  </si>
  <si>
    <t>Пчелкина Евгения</t>
  </si>
  <si>
    <t>Римлянская Дарья</t>
  </si>
  <si>
    <t>Ронжина Анастасия</t>
  </si>
  <si>
    <t>Росин Иван</t>
  </si>
  <si>
    <t>Росин Михаил</t>
  </si>
  <si>
    <t>Русина Дарья</t>
  </si>
  <si>
    <t>Рязанцев Виталий</t>
  </si>
  <si>
    <t>Сабитов Дмитрий</t>
  </si>
  <si>
    <t>Савченков Денис</t>
  </si>
  <si>
    <t>Саенко Антон Игоревич</t>
  </si>
  <si>
    <t>Салихов Аяз</t>
  </si>
  <si>
    <t>Самойлов Алексей</t>
  </si>
  <si>
    <t>Саркиева Дарья</t>
  </si>
  <si>
    <t>Сенько Павел</t>
  </si>
  <si>
    <t>СИНЮК АЛЕКСАНДР ВАСИЛЬЕВИЧ</t>
  </si>
  <si>
    <t>Сладкова Евгения</t>
  </si>
  <si>
    <t>Смагин Алексей</t>
  </si>
  <si>
    <t>Смирнов Константин</t>
  </si>
  <si>
    <t>Соболев Алексей</t>
  </si>
  <si>
    <t>Соболева Анна Николаевна</t>
  </si>
  <si>
    <t>Соколов Александр</t>
  </si>
  <si>
    <t>Соколова Соня</t>
  </si>
  <si>
    <t>Соловьев Владимир</t>
  </si>
  <si>
    <t>Соловьев Дмитрий</t>
  </si>
  <si>
    <t>Стариченко Юлия</t>
  </si>
  <si>
    <t>Старостин Андрей Владимирович</t>
  </si>
  <si>
    <t>Стикин Дмитрий</t>
  </si>
  <si>
    <t>Субботин Максим</t>
  </si>
  <si>
    <t>Тарасова Екатерина</t>
  </si>
  <si>
    <t>Тарасова Татьяна (1996)</t>
  </si>
  <si>
    <t>Тейе Уго</t>
  </si>
  <si>
    <t>Титова Валерия</t>
  </si>
  <si>
    <t>Тихонов Александр</t>
  </si>
  <si>
    <t>Трубина Кристина Владимировна</t>
  </si>
  <si>
    <t>Турчак Екатерина</t>
  </si>
  <si>
    <t>Турченко Владислава</t>
  </si>
  <si>
    <t>Фомичев Василий</t>
  </si>
  <si>
    <t>Хоруженко Юрий Юрьевич</t>
  </si>
  <si>
    <t>Хрупалова Анна</t>
  </si>
  <si>
    <t>Хрущева Надежда</t>
  </si>
  <si>
    <t>Царитов Георгий</t>
  </si>
  <si>
    <t>Цыпленков Кирилл</t>
  </si>
  <si>
    <t>Цыпленков Михаил</t>
  </si>
  <si>
    <t>Чагуа Важа</t>
  </si>
  <si>
    <t>Чекмарев Михаил</t>
  </si>
  <si>
    <t>Черных Ульяна</t>
  </si>
  <si>
    <t>Ческидов Иван</t>
  </si>
  <si>
    <t>Чечеткина Елена</t>
  </si>
  <si>
    <t>Чикин Степан Михайлович</t>
  </si>
  <si>
    <t>Чугунов Дмитрий</t>
  </si>
  <si>
    <t>Шамятульская Ирина</t>
  </si>
  <si>
    <t>Шапошников Сергей</t>
  </si>
  <si>
    <t>Шапошникова Софья</t>
  </si>
  <si>
    <t>Шероганов Виталий</t>
  </si>
  <si>
    <t>Шершнев Кирилл</t>
  </si>
  <si>
    <t>Шершнёва Елена</t>
  </si>
  <si>
    <t>Штукатурова Юлия</t>
  </si>
  <si>
    <t>Щенина Влада</t>
  </si>
  <si>
    <t>Ювакаев Эльвина</t>
  </si>
  <si>
    <t>Юрченко Максим</t>
  </si>
  <si>
    <t>Яковлев Антон</t>
  </si>
  <si>
    <t>Яковлева Алёна</t>
  </si>
  <si>
    <t>Яковлева Диана</t>
  </si>
  <si>
    <t>Ям Михаил</t>
  </si>
  <si>
    <t>Казакова Светлана</t>
  </si>
  <si>
    <t>KAZANTSEVA ANTONINA</t>
  </si>
  <si>
    <t>Абатуров Денис</t>
  </si>
  <si>
    <t>Агжитов Марат</t>
  </si>
  <si>
    <t>Агузарова Людмила</t>
  </si>
  <si>
    <t>Акулова Анастасия</t>
  </si>
  <si>
    <t>Александрова Мария</t>
  </si>
  <si>
    <t>Анисимов Павел Дмитриевич</t>
  </si>
  <si>
    <t>Аносов Алексей</t>
  </si>
  <si>
    <t>Анохин Андрей</t>
  </si>
  <si>
    <t>Антимонов Денис</t>
  </si>
  <si>
    <t>Антонова Анастасия</t>
  </si>
  <si>
    <t>Арзуманова Евгения</t>
  </si>
  <si>
    <t>Арсеньева Анна</t>
  </si>
  <si>
    <t>Архиповская Екатерина</t>
  </si>
  <si>
    <t>Асиари Рианта</t>
  </si>
  <si>
    <t>Астахов Даниил</t>
  </si>
  <si>
    <t>Афанасьева Полина</t>
  </si>
  <si>
    <t>Афонин Валерий Владимирович</t>
  </si>
  <si>
    <t>Ахромов Вадим</t>
  </si>
  <si>
    <t>Аюбова Луиза</t>
  </si>
  <si>
    <t>Бабарыкин Ярослав</t>
  </si>
  <si>
    <t>Бабко Анастасия</t>
  </si>
  <si>
    <t>Бабко Надежда</t>
  </si>
  <si>
    <t>Бабко Сергей</t>
  </si>
  <si>
    <t>Балынский Роман</t>
  </si>
  <si>
    <t>Барабаш Анастасия</t>
  </si>
  <si>
    <t>Баранов Никита</t>
  </si>
  <si>
    <t>Баранова Наталья</t>
  </si>
  <si>
    <t>Барашко Арсений</t>
  </si>
  <si>
    <t>Барышников Андрей</t>
  </si>
  <si>
    <t>Бауров Дмитрий</t>
  </si>
  <si>
    <t>Бахматов Викентий</t>
  </si>
  <si>
    <t>Башлаков Михайло Олегович</t>
  </si>
  <si>
    <t>Беляева Евгения</t>
  </si>
  <si>
    <t>Бобриков Игорь</t>
  </si>
  <si>
    <t>Богданова Ольга</t>
  </si>
  <si>
    <t>Богута Владислав</t>
  </si>
  <si>
    <t>Большаков Алексей</t>
  </si>
  <si>
    <t>Бом Баоци</t>
  </si>
  <si>
    <t>Борзов Александр</t>
  </si>
  <si>
    <t>Борисов Артем Николаевич</t>
  </si>
  <si>
    <t>Борисов Максим</t>
  </si>
  <si>
    <t>Борисова Алена</t>
  </si>
  <si>
    <t>Борисова Елена</t>
  </si>
  <si>
    <t>Борисова Татьяна</t>
  </si>
  <si>
    <t>Борисовский Виктор</t>
  </si>
  <si>
    <t>Боровская Маргарита</t>
  </si>
  <si>
    <t>Бояков Алексей</t>
  </si>
  <si>
    <t>Брюханов Александр</t>
  </si>
  <si>
    <t>Бубенцова Лидия Романовна</t>
  </si>
  <si>
    <t>Буданова Наталья Николаевна</t>
  </si>
  <si>
    <t>Будревич Мария</t>
  </si>
  <si>
    <t>Будревич Юлия</t>
  </si>
  <si>
    <t>Будукин Сергей</t>
  </si>
  <si>
    <t>Бурлаков Алексей</t>
  </si>
  <si>
    <t>Быкова Нина</t>
  </si>
  <si>
    <t>Васюков Иван</t>
  </si>
  <si>
    <t>Векерле Константин</t>
  </si>
  <si>
    <t>Вельп Егор</t>
  </si>
  <si>
    <t>Венудас Динееш П</t>
  </si>
  <si>
    <t>Виговский Александр</t>
  </si>
  <si>
    <t>Виджайендира Шанмуганатан</t>
  </si>
  <si>
    <t>Власов Егор</t>
  </si>
  <si>
    <t>Волкова Жанна</t>
  </si>
  <si>
    <t>Воробьев Вадим</t>
  </si>
  <si>
    <t>Воронцов Артемий</t>
  </si>
  <si>
    <t>Ву Джихао</t>
  </si>
  <si>
    <t>Вуйтиков Владислав</t>
  </si>
  <si>
    <t>Гавриленкова Яна</t>
  </si>
  <si>
    <t>Гаврилина Варвара</t>
  </si>
  <si>
    <t>Ганькин Артём</t>
  </si>
  <si>
    <t>Гидвани</t>
  </si>
  <si>
    <t>Гладенков Владислав</t>
  </si>
  <si>
    <t>Гладышев Алексей</t>
  </si>
  <si>
    <t>Гладышев Петр</t>
  </si>
  <si>
    <t>Глушков Александр Константинович</t>
  </si>
  <si>
    <t>Голиков Леонид</t>
  </si>
  <si>
    <t>Голотин Сергей</t>
  </si>
  <si>
    <t>Голубева Наталья</t>
  </si>
  <si>
    <t>Голубкина Василиса</t>
  </si>
  <si>
    <t>Гопкало Антон</t>
  </si>
  <si>
    <t>Горбатова Лада</t>
  </si>
  <si>
    <t>Гордон Николай</t>
  </si>
  <si>
    <t>Гореликов Дмитрий</t>
  </si>
  <si>
    <t>Горулева Татьяна</t>
  </si>
  <si>
    <t>Гращенкова Нина</t>
  </si>
  <si>
    <t>Григорьев Константин</t>
  </si>
  <si>
    <t>Гурочкина Юлия</t>
  </si>
  <si>
    <t>Гусаков Алексей Борисович</t>
  </si>
  <si>
    <t>Гусев Алексей</t>
  </si>
  <si>
    <t>Даниелян Карине</t>
  </si>
  <si>
    <t>Джафаров Эдвин</t>
  </si>
  <si>
    <t>Добровольский Дмитрий</t>
  </si>
  <si>
    <t>Добрынин Павел</t>
  </si>
  <si>
    <t>Домрачева Анастасия</t>
  </si>
  <si>
    <t>Дохина Дарья</t>
  </si>
  <si>
    <t>Дроздова Наталья</t>
  </si>
  <si>
    <t>Егерев Ярослав</t>
  </si>
  <si>
    <t>Ениватов Андрей</t>
  </si>
  <si>
    <t>Еркин Александр</t>
  </si>
  <si>
    <t>Ерохина Светлана</t>
  </si>
  <si>
    <t>Ефимов Андрей</t>
  </si>
  <si>
    <t>Ефимова Анастасия</t>
  </si>
  <si>
    <t>Жуков Андрей</t>
  </si>
  <si>
    <t>Жура Алексей</t>
  </si>
  <si>
    <t>Зайцев Александр</t>
  </si>
  <si>
    <t>Зайцев Дмитрий</t>
  </si>
  <si>
    <t>Захаренко Марина</t>
  </si>
  <si>
    <t>Захарова Елена</t>
  </si>
  <si>
    <t>Зенькова Светлана</t>
  </si>
  <si>
    <t>Золотокопов Александр</t>
  </si>
  <si>
    <t>Зотов Антон</t>
  </si>
  <si>
    <t>Зубенко Роман</t>
  </si>
  <si>
    <t>Зупник Андрей</t>
  </si>
  <si>
    <t>Иванов Иван</t>
  </si>
  <si>
    <t>Иванов Сергей</t>
  </si>
  <si>
    <t>Икбал Асиф</t>
  </si>
  <si>
    <t>Ильясов Эрнест</t>
  </si>
  <si>
    <t>Илюхина Анастасия</t>
  </si>
  <si>
    <t>Ипатов Вадим</t>
  </si>
  <si>
    <t>Каганов Юрий</t>
  </si>
  <si>
    <t>Казаков Михаил</t>
  </si>
  <si>
    <t>Казаков Яков</t>
  </si>
  <si>
    <t>Калинин Никита</t>
  </si>
  <si>
    <t>Каличев Сергей</t>
  </si>
  <si>
    <t>Камалов Вадим</t>
  </si>
  <si>
    <t>Каменев Олег</t>
  </si>
  <si>
    <t>Камкин Олег</t>
  </si>
  <si>
    <t>Карпов Олег</t>
  </si>
  <si>
    <t>Каширина Кристина</t>
  </si>
  <si>
    <t>Каюмов Руслан</t>
  </si>
  <si>
    <t>Келейников Станислав</t>
  </si>
  <si>
    <t>Ким Ульяна</t>
  </si>
  <si>
    <t>Кириллин Владимир</t>
  </si>
  <si>
    <t>Кириллова Нина</t>
  </si>
  <si>
    <t>Кирсанов Сергей</t>
  </si>
  <si>
    <t>Клименко Дмитрий</t>
  </si>
  <si>
    <t>Климкович Евгений</t>
  </si>
  <si>
    <t>Климова Евгения</t>
  </si>
  <si>
    <t>Клочихин Данила</t>
  </si>
  <si>
    <t>Князева Любовь</t>
  </si>
  <si>
    <t>Ковалев Михаил</t>
  </si>
  <si>
    <t>Козлов Николай</t>
  </si>
  <si>
    <t>Козлов Роберт</t>
  </si>
  <si>
    <t>Козлова Вера</t>
  </si>
  <si>
    <t>Козлова Ольга</t>
  </si>
  <si>
    <t>Комарова Анастасия</t>
  </si>
  <si>
    <t>Кондин Александр</t>
  </si>
  <si>
    <t>Кондин Никита</t>
  </si>
  <si>
    <t>Кондратьев Андрей</t>
  </si>
  <si>
    <t>Кондратьева Анна</t>
  </si>
  <si>
    <t>Кондрашев Вадим</t>
  </si>
  <si>
    <t>Конорева Влада</t>
  </si>
  <si>
    <t>Кончаков Андрей</t>
  </si>
  <si>
    <t>Корецкий Сергей Викторович</t>
  </si>
  <si>
    <t>Корниенко Михаил Евгеньевич</t>
  </si>
  <si>
    <t>Корнилов Кир</t>
  </si>
  <si>
    <t>Королев Семен</t>
  </si>
  <si>
    <t>Косолапов Никита</t>
  </si>
  <si>
    <t>Костромцов Олег</t>
  </si>
  <si>
    <t>Кострыкин Сергей</t>
  </si>
  <si>
    <t>Костына Виалий</t>
  </si>
  <si>
    <t>Кошевой Евгений</t>
  </si>
  <si>
    <t>Кошелев Михаил</t>
  </si>
  <si>
    <t>Крамской Виталий</t>
  </si>
  <si>
    <t>Красильникова Анна</t>
  </si>
  <si>
    <t>Краснова Ольга</t>
  </si>
  <si>
    <t>Кривенков Дмитрий</t>
  </si>
  <si>
    <t>Кривошеина Мария</t>
  </si>
  <si>
    <t>Крицкий Игорь</t>
  </si>
  <si>
    <t>Круглов Алексей</t>
  </si>
  <si>
    <t>Кувыков Иван</t>
  </si>
  <si>
    <t>Кувыкова Кира</t>
  </si>
  <si>
    <t>Кудлаев Владимир</t>
  </si>
  <si>
    <t>Кузнецов Александр Николаевич</t>
  </si>
  <si>
    <t>Кузнецов Александр Сергеевич</t>
  </si>
  <si>
    <t>Кузнецов Александр Спб</t>
  </si>
  <si>
    <t>Кузнецова Виктория</t>
  </si>
  <si>
    <t>Кулаков Евгений</t>
  </si>
  <si>
    <t>Кулаков Сергей</t>
  </si>
  <si>
    <t>Куликов Сергей Олегович</t>
  </si>
  <si>
    <t>Кунцьо Наталья</t>
  </si>
  <si>
    <t>Куплинов Алексей</t>
  </si>
  <si>
    <t>Курилко Дарья</t>
  </si>
  <si>
    <t>Курсина Анастасия</t>
  </si>
  <si>
    <t>Кутайцев Николай</t>
  </si>
  <si>
    <t>Кучис Иван</t>
  </si>
  <si>
    <t>Кушнерёва Ольга</t>
  </si>
  <si>
    <t>Лаврик Александр</t>
  </si>
  <si>
    <t>Лаврнетьев Григорий</t>
  </si>
  <si>
    <t>Ланшаков Игорь</t>
  </si>
  <si>
    <t>Ларинская Татьяна</t>
  </si>
  <si>
    <t>Ласточкин Антон Сергеевич</t>
  </si>
  <si>
    <t>Лебедев Алексей</t>
  </si>
  <si>
    <t>Лебедев Владимир</t>
  </si>
  <si>
    <t>Левина Акулина</t>
  </si>
  <si>
    <t>Левченкова Ирина</t>
  </si>
  <si>
    <t>Левчук Тарас</t>
  </si>
  <si>
    <t>Леконцева Лейла</t>
  </si>
  <si>
    <t>Ленточник Эдуард</t>
  </si>
  <si>
    <t>Ли Моника</t>
  </si>
  <si>
    <t>Ли Юй Сянь</t>
  </si>
  <si>
    <t>Логинова Вероника</t>
  </si>
  <si>
    <t>Лоозе Валерий</t>
  </si>
  <si>
    <t>Лоос Роман</t>
  </si>
  <si>
    <t>Лукьянцева Полина</t>
  </si>
  <si>
    <t>Лупарь Максим Николаевич</t>
  </si>
  <si>
    <t>Лы Банг</t>
  </si>
  <si>
    <t>Лысова Ольга</t>
  </si>
  <si>
    <t>Львов Алексей</t>
  </si>
  <si>
    <t>Львова Вера</t>
  </si>
  <si>
    <t>Лю Cыюань</t>
  </si>
  <si>
    <t>Любимова Юлия</t>
  </si>
  <si>
    <t>Люлько Максим</t>
  </si>
  <si>
    <t>Макеева Елена</t>
  </si>
  <si>
    <t>Малышев Сергей</t>
  </si>
  <si>
    <t>Малышева Дарья</t>
  </si>
  <si>
    <t>Мальцев Павел</t>
  </si>
  <si>
    <t>Мамонтова Татьяна</t>
  </si>
  <si>
    <t>Марияти Алексей</t>
  </si>
  <si>
    <t>Марияти Екатерина</t>
  </si>
  <si>
    <t>Маркина Надежда</t>
  </si>
  <si>
    <t>Марко Алексей</t>
  </si>
  <si>
    <t>Марко Ольга</t>
  </si>
  <si>
    <t>Мартюшова Екатерина Владимировна</t>
  </si>
  <si>
    <t>Маслов Алексей</t>
  </si>
  <si>
    <t>Матюсова Евгения</t>
  </si>
  <si>
    <t>Медведев Сергей Иванович</t>
  </si>
  <si>
    <t>Медков Тимофей</t>
  </si>
  <si>
    <t>Мерзибалаева Фарида</t>
  </si>
  <si>
    <t>Мильчакова Жанна</t>
  </si>
  <si>
    <t>Минюк Никита</t>
  </si>
  <si>
    <t>Миролюбова Ангелина</t>
  </si>
  <si>
    <t>Мирошниченко Сергей</t>
  </si>
  <si>
    <t>Михаил Филинов</t>
  </si>
  <si>
    <t>Михайлов Александр</t>
  </si>
  <si>
    <t>Михайлова Зоя</t>
  </si>
  <si>
    <t>Мишин Иван</t>
  </si>
  <si>
    <t>Мишин Сергей</t>
  </si>
  <si>
    <t>Мишинева Виктория</t>
  </si>
  <si>
    <t>Мозгунов Дмитрий</t>
  </si>
  <si>
    <t>Монастырев Александр Александрович</t>
  </si>
  <si>
    <t>Мосин Сергей</t>
  </si>
  <si>
    <t>Мохова Анна</t>
  </si>
  <si>
    <t>Мунсе Мд Жюэль</t>
  </si>
  <si>
    <t>Муравьев Михаил</t>
  </si>
  <si>
    <t>Мытарев Анатолий</t>
  </si>
  <si>
    <t>Мытарев Сергей</t>
  </si>
  <si>
    <t>Надежкина Елизавета</t>
  </si>
  <si>
    <t>Нанаев Вячеслав</t>
  </si>
  <si>
    <t>Неводов Евгений</t>
  </si>
  <si>
    <t>Недачин Дмитрий</t>
  </si>
  <si>
    <t>Нефедова Юлия</t>
  </si>
  <si>
    <t>Низамутдинов Ильгизар</t>
  </si>
  <si>
    <t>Низяева Жанна</t>
  </si>
  <si>
    <t>Никерова Лилия</t>
  </si>
  <si>
    <t>Никирова Лилия</t>
  </si>
  <si>
    <t>Новиков Марк</t>
  </si>
  <si>
    <t>Обозная Анастасия</t>
  </si>
  <si>
    <t>Оганесян Екатерина</t>
  </si>
  <si>
    <t>Опришко Вадим</t>
  </si>
  <si>
    <t>Орлов Владимир</t>
  </si>
  <si>
    <t>Орлов Кирилл Александрович</t>
  </si>
  <si>
    <t>Орлов Максим</t>
  </si>
  <si>
    <t>Осипов Алексей</t>
  </si>
  <si>
    <t>Осипов Сергей</t>
  </si>
  <si>
    <t>Охрименко Алексей Николаевич</t>
  </si>
  <si>
    <t>П А</t>
  </si>
  <si>
    <t>Паланова Валерия Юрьевна</t>
  </si>
  <si>
    <t>Палова Вероника</t>
  </si>
  <si>
    <t>Пан Це Цзян</t>
  </si>
  <si>
    <t>Паникова Елизавета</t>
  </si>
  <si>
    <t>Панкратенко Владимир</t>
  </si>
  <si>
    <t>Панкратова Катерина Максимовна</t>
  </si>
  <si>
    <t>Пасеев Андрей</t>
  </si>
  <si>
    <t>Пензина Адриана</t>
  </si>
  <si>
    <t>Переладов Алексей</t>
  </si>
  <si>
    <t>Першина Елизавета</t>
  </si>
  <si>
    <t>Песьяков Антон</t>
  </si>
  <si>
    <t>Песьяков Игорь</t>
  </si>
  <si>
    <t>Петров Александр</t>
  </si>
  <si>
    <t>Печерина Карина</t>
  </si>
  <si>
    <t>Пластунов Кирилл</t>
  </si>
  <si>
    <t>Подгорный Фёдор</t>
  </si>
  <si>
    <t>Полевой Евгений</t>
  </si>
  <si>
    <t>Польская Ксения Михайловна</t>
  </si>
  <si>
    <t>Помещикова Александра Алексеевна</t>
  </si>
  <si>
    <t>Попов Владимир</t>
  </si>
  <si>
    <t>Попова Анна Евгеньевна</t>
  </si>
  <si>
    <t>Потапов Алексей Владимирович</t>
  </si>
  <si>
    <t>Поярков Сергей</t>
  </si>
  <si>
    <t>Прокин Михаил</t>
  </si>
  <si>
    <t>Протопопова Елена</t>
  </si>
  <si>
    <t>Протопопова Любовь</t>
  </si>
  <si>
    <t>Пузырёв Александр</t>
  </si>
  <si>
    <t>Рассказова Елена</t>
  </si>
  <si>
    <t>Решетников Дмитрий</t>
  </si>
  <si>
    <t>Романова Елена</t>
  </si>
  <si>
    <t>Рояк Серафима</t>
  </si>
  <si>
    <t>Рубцов Михаил</t>
  </si>
  <si>
    <t>Рулев Владимир</t>
  </si>
  <si>
    <t>Рыбцов Евгений</t>
  </si>
  <si>
    <t>Рыжевалова Елизавета</t>
  </si>
  <si>
    <t>Рысев Алексей</t>
  </si>
  <si>
    <t>Рысин Александр</t>
  </si>
  <si>
    <t>Рязанцева Варвара</t>
  </si>
  <si>
    <t>Савушкина Наталья</t>
  </si>
  <si>
    <t>Сайфул Ислам Кази</t>
  </si>
  <si>
    <t>Санжиев Артем</t>
  </si>
  <si>
    <t>Сапунов Александр</t>
  </si>
  <si>
    <t>Севсивадзе Софико</t>
  </si>
  <si>
    <t>Седов Григорий</t>
  </si>
  <si>
    <t>Секисов Егор</t>
  </si>
  <si>
    <t>Селезнёва Дарья</t>
  </si>
  <si>
    <t>Селихова Анна</t>
  </si>
  <si>
    <t>Селихова Яна</t>
  </si>
  <si>
    <t>Семченков Алексей</t>
  </si>
  <si>
    <t>Сердюк Александр</t>
  </si>
  <si>
    <t>Сивсивадзе Софико</t>
  </si>
  <si>
    <t>Симаков Александр</t>
  </si>
  <si>
    <t>Симоненков Алексей</t>
  </si>
  <si>
    <t>Скалюк Владислав</t>
  </si>
  <si>
    <t>Скрипников Никита Васильевич</t>
  </si>
  <si>
    <t>Скроба Альберт</t>
  </si>
  <si>
    <t>Смирный Виталий</t>
  </si>
  <si>
    <t>Соболева Дарья</t>
  </si>
  <si>
    <t>Соколов Денис</t>
  </si>
  <si>
    <t>Соколов Максим</t>
  </si>
  <si>
    <t>Сорокин Павел Михайлович</t>
  </si>
  <si>
    <t>Сороковенский Дмитрий</t>
  </si>
  <si>
    <t>Спицын Александр</t>
  </si>
  <si>
    <t>Степанов Александр Александрович</t>
  </si>
  <si>
    <t>Степанов Вячеслав Анатольевич</t>
  </si>
  <si>
    <t>Степанов Дмитрий</t>
  </si>
  <si>
    <t>Степанов Дмитрий 2</t>
  </si>
  <si>
    <t>Степанов Илья</t>
  </si>
  <si>
    <t>Степанова Анастасия Александровна</t>
  </si>
  <si>
    <t>Степнева Елена</t>
  </si>
  <si>
    <t>Стрежельбицкий Михаил</t>
  </si>
  <si>
    <t>Сысуев Иван</t>
  </si>
  <si>
    <t>Сьянова Анастасия</t>
  </si>
  <si>
    <t>Сюй Хаоян</t>
  </si>
  <si>
    <t>Тагиров Ринат</t>
  </si>
  <si>
    <t>Талятин Александр Владимирович</t>
  </si>
  <si>
    <t>Таран Мария</t>
  </si>
  <si>
    <t>Тарасов Артем</t>
  </si>
  <si>
    <t>Тарасов Виталий Геннадьевич</t>
  </si>
  <si>
    <t>Тарасов Геннадий</t>
  </si>
  <si>
    <t>Тегаева Залина</t>
  </si>
  <si>
    <t>Теребилина Алина</t>
  </si>
  <si>
    <t>Терентьев Роман</t>
  </si>
  <si>
    <t>Тикунов Владимир</t>
  </si>
  <si>
    <t>Тимофеев Петр</t>
  </si>
  <si>
    <t>Толбухина Полина</t>
  </si>
  <si>
    <t>Тонян Ани</t>
  </si>
  <si>
    <t>Третьяков Федор</t>
  </si>
  <si>
    <t>Туголуков Анатолий</t>
  </si>
  <si>
    <t>Тхо Ву Динь</t>
  </si>
  <si>
    <t>Тюрина Людмила</t>
  </si>
  <si>
    <t>Тянь Юй</t>
  </si>
  <si>
    <t>Ульянов Дмитрий</t>
  </si>
  <si>
    <t>Ушкова Таисия</t>
  </si>
  <si>
    <t>Уэльский Андрей</t>
  </si>
  <si>
    <t>Фади Али Саймир</t>
  </si>
  <si>
    <t>Фалалеев Алексей</t>
  </si>
  <si>
    <t>Фалалеева Евгения</t>
  </si>
  <si>
    <t>Фан Туан Ань</t>
  </si>
  <si>
    <t>Фатихов Артём</t>
  </si>
  <si>
    <t>Федотов Александр</t>
  </si>
  <si>
    <t>Федотов Александр Григорьевич</t>
  </si>
  <si>
    <t>Филинов Михаил</t>
  </si>
  <si>
    <t>Филинова Татьяна</t>
  </si>
  <si>
    <t>Хаба Наталия</t>
  </si>
  <si>
    <t>Хализов Павел</t>
  </si>
  <si>
    <t>Халиуллина Фания</t>
  </si>
  <si>
    <t>Харламов Андрей</t>
  </si>
  <si>
    <t>Харламов Сергей</t>
  </si>
  <si>
    <t>Хасанбаев Амир</t>
  </si>
  <si>
    <t>Хмелева Елизавета</t>
  </si>
  <si>
    <t>Холбоева Алина</t>
  </si>
  <si>
    <t>Целикин Алексей</t>
  </si>
  <si>
    <t>Цымбаревич Иван</t>
  </si>
  <si>
    <t>Цян Цзэн</t>
  </si>
  <si>
    <t>Чагина Анастасия</t>
  </si>
  <si>
    <t>Чебанова Екатерина</t>
  </si>
  <si>
    <t>Черепивский Андрей</t>
  </si>
  <si>
    <t>Черменёв Андрей</t>
  </si>
  <si>
    <t>Черменёв Никита</t>
  </si>
  <si>
    <t>Чечель Софья</t>
  </si>
  <si>
    <t>Чилиняк Артем</t>
  </si>
  <si>
    <t>Чипалова Екатерина</t>
  </si>
  <si>
    <t>Чистов Андрей</t>
  </si>
  <si>
    <t>Чореклиева Ева</t>
  </si>
  <si>
    <t>Чуковский Дмитрий</t>
  </si>
  <si>
    <t>Чурикова Дарья</t>
  </si>
  <si>
    <t>Чурсина Ольга</t>
  </si>
  <si>
    <t>Шабикова Елена</t>
  </si>
  <si>
    <t>Шапакин Кирилл</t>
  </si>
  <si>
    <t>Шапошников Анатолий</t>
  </si>
  <si>
    <t>Шарловский Евгений</t>
  </si>
  <si>
    <t>Швейкин Максим</t>
  </si>
  <si>
    <t>Шептун Анастасия</t>
  </si>
  <si>
    <t>Шильцов Алексей</t>
  </si>
  <si>
    <t>Шитлина Татьяна</t>
  </si>
  <si>
    <t>Шкуратов Федор</t>
  </si>
  <si>
    <t>Шубин Игорь</t>
  </si>
  <si>
    <t>Шустов Александр</t>
  </si>
  <si>
    <t>Шухов Сергей</t>
  </si>
  <si>
    <t>Щепелев Олег Владимирович</t>
  </si>
  <si>
    <t>Щербанева Наталья</t>
  </si>
  <si>
    <t>Щербинин Станислав Анатольевич</t>
  </si>
  <si>
    <t>Юдин Сергей</t>
  </si>
  <si>
    <t>Якимова Мария</t>
  </si>
  <si>
    <t>Янов Евгений Сергеевич</t>
  </si>
  <si>
    <t>Янова Оксна</t>
  </si>
  <si>
    <t>Яшуткин Андрей</t>
  </si>
  <si>
    <t>Гашев Дмитрий Викторович</t>
  </si>
  <si>
    <t>Обновить</t>
  </si>
  <si>
    <t>rakopr rakopr rakopr</t>
  </si>
  <si>
    <t>Алексеев Кирилл Игоревич</t>
  </si>
  <si>
    <t>Амрил</t>
  </si>
  <si>
    <t>Андреев Олег</t>
  </si>
  <si>
    <t>Аникин Александр</t>
  </si>
  <si>
    <t>Аникин Антон</t>
  </si>
  <si>
    <t>Аникина Ольга</t>
  </si>
  <si>
    <t>Антонов Сергей</t>
  </si>
  <si>
    <t>Арабчикова Арина Михайловна</t>
  </si>
  <si>
    <t>Асни Иснауаты</t>
  </si>
  <si>
    <t>Асфандиярова Вилена</t>
  </si>
  <si>
    <t>Бабенко Владислав</t>
  </si>
  <si>
    <t>Базаров Рустам</t>
  </si>
  <si>
    <t>Бай Яньхун</t>
  </si>
  <si>
    <t>Баландин Иван</t>
  </si>
  <si>
    <t>Балашов Павел</t>
  </si>
  <si>
    <t>Березова Евгения</t>
  </si>
  <si>
    <t>Богомолов Кирилл</t>
  </si>
  <si>
    <t>Бойцова Елизавета</t>
  </si>
  <si>
    <t>Бойцова Светлана</t>
  </si>
  <si>
    <t>Бохонов Макар</t>
  </si>
  <si>
    <t>Бояркина Наталья</t>
  </si>
  <si>
    <t>Будко Иван</t>
  </si>
  <si>
    <t>Будко Константин</t>
  </si>
  <si>
    <t>Буланков Андрей</t>
  </si>
  <si>
    <t>Буланкова Елена</t>
  </si>
  <si>
    <t>Бурякова Дарья</t>
  </si>
  <si>
    <t>Быкова Ксения</t>
  </si>
  <si>
    <t>Быструшкина Анна</t>
  </si>
  <si>
    <t>Вакулина Светлана</t>
  </si>
  <si>
    <t>Вардосанидзе Константин</t>
  </si>
  <si>
    <t>Вихров Сергей</t>
  </si>
  <si>
    <t>Волковский Виталий</t>
  </si>
  <si>
    <t>Воскобой Ксения</t>
  </si>
  <si>
    <t>Ву Вьет Тханг</t>
  </si>
  <si>
    <t>Ву Тхи Тху Хыонг</t>
  </si>
  <si>
    <t>Габур Николай</t>
  </si>
  <si>
    <t>Галкин Виталий</t>
  </si>
  <si>
    <t>Герасимова Анфиса</t>
  </si>
  <si>
    <t>Гордзей Родион</t>
  </si>
  <si>
    <t>Грибанов Николай</t>
  </si>
  <si>
    <t>Гусятинский Николай Григорьевич</t>
  </si>
  <si>
    <t>Дерябин Андрей Васильевич</t>
  </si>
  <si>
    <t>Дерябин Андрей Константинович</t>
  </si>
  <si>
    <t>Дорофеева Анастасия</t>
  </si>
  <si>
    <t>Дружинин Антон</t>
  </si>
  <si>
    <t>Дружкина Алина</t>
  </si>
  <si>
    <t>Жильцова Марина</t>
  </si>
  <si>
    <t>Зайцева Светлана</t>
  </si>
  <si>
    <t>Зарубин Павел</t>
  </si>
  <si>
    <t>Зацепин Кирилл</t>
  </si>
  <si>
    <t>Зеленков Григорий</t>
  </si>
  <si>
    <t>Землянкина Мария</t>
  </si>
  <si>
    <t>Измайлович Татьяна</t>
  </si>
  <si>
    <t>Изюмова Елена</t>
  </si>
  <si>
    <t>Каковский Сергей</t>
  </si>
  <si>
    <t>Калашников Арсений</t>
  </si>
  <si>
    <t>Качанова Алена</t>
  </si>
  <si>
    <t>Кашаба Георгий</t>
  </si>
  <si>
    <t>Квартальнов Александр</t>
  </si>
  <si>
    <t>Кетлерова Алиса</t>
  </si>
  <si>
    <t>Кислов Владислав</t>
  </si>
  <si>
    <t>Клопов Клим</t>
  </si>
  <si>
    <t>Ключникова Алена</t>
  </si>
  <si>
    <t>Козлова Евгения</t>
  </si>
  <si>
    <t>Козухин Андрей</t>
  </si>
  <si>
    <t>Колячко Тимофей</t>
  </si>
  <si>
    <t>Копарев Роман</t>
  </si>
  <si>
    <t>Кордаков Дмитрий</t>
  </si>
  <si>
    <t>Корешев Никита</t>
  </si>
  <si>
    <t>Корнилова Марина</t>
  </si>
  <si>
    <t>Королева Анастасия Дмитриевна</t>
  </si>
  <si>
    <t>Краснихина Екатерина</t>
  </si>
  <si>
    <t>Крохин Павел</t>
  </si>
  <si>
    <t>Кузнецов Алексей Евгеньевич</t>
  </si>
  <si>
    <t>Кузнецов Даниил</t>
  </si>
  <si>
    <t>Кузнецов Егор Алексеевич</t>
  </si>
  <si>
    <t>Кузнецова Анастасия (Обнинск)</t>
  </si>
  <si>
    <t>Кузнецова Елена</t>
  </si>
  <si>
    <t>Кузнецова Софья</t>
  </si>
  <si>
    <t>Курбатов Илья</t>
  </si>
  <si>
    <t>Лазебный Дмитрий</t>
  </si>
  <si>
    <t>Лакко Дмитрий</t>
  </si>
  <si>
    <t>Ле Хыонг Линь</t>
  </si>
  <si>
    <t>Лебедев Владимир Алексеевич</t>
  </si>
  <si>
    <t>Леошина Надежда</t>
  </si>
  <si>
    <t>Лыонг Чунг Киен</t>
  </si>
  <si>
    <t>Лэ Хоай Нам</t>
  </si>
  <si>
    <t>Магнат Вита</t>
  </si>
  <si>
    <t>Маи Фыок</t>
  </si>
  <si>
    <t>Макарова Татьяна</t>
  </si>
  <si>
    <t>Мананников Леонид</t>
  </si>
  <si>
    <t>Маркова Мария Анатольевна</t>
  </si>
  <si>
    <t>Марковский Владимир</t>
  </si>
  <si>
    <t>Меренкова Ксения</t>
  </si>
  <si>
    <t>Милешин Егор</t>
  </si>
  <si>
    <t>Милешина Мария</t>
  </si>
  <si>
    <t>Минеев Егор</t>
  </si>
  <si>
    <t>Миронова Светлана</t>
  </si>
  <si>
    <t>Мишина Светлана</t>
  </si>
  <si>
    <t>Могилева Наталья</t>
  </si>
  <si>
    <t>Модин Руслан</t>
  </si>
  <si>
    <t>Моисеев Тимофей</t>
  </si>
  <si>
    <t>Молочаева Лилия</t>
  </si>
  <si>
    <t>Морозов Андрей</t>
  </si>
  <si>
    <t>Мохов Дмитрий</t>
  </si>
  <si>
    <t>Мочалов Юрий Николаевич</t>
  </si>
  <si>
    <t>Мысина Милана</t>
  </si>
  <si>
    <t>Мышкина Надежда</t>
  </si>
  <si>
    <t>Мякишева Алина</t>
  </si>
  <si>
    <t>Навасартова Алина</t>
  </si>
  <si>
    <t>Назаренко Надежда</t>
  </si>
  <si>
    <t>Назаренко Сергей</t>
  </si>
  <si>
    <t>Назаренко-Матвеева Татьяна</t>
  </si>
  <si>
    <t>Нгуен Ван Зоань</t>
  </si>
  <si>
    <t>Нгуен Ван Фиен</t>
  </si>
  <si>
    <t>Нгуен Куанг Тьунг</t>
  </si>
  <si>
    <t>Нгуен Лыонг Лок</t>
  </si>
  <si>
    <t>Нгуен Тхи Фьонг Тхао</t>
  </si>
  <si>
    <t>Нгуен Тхи Ча Ми</t>
  </si>
  <si>
    <t>Нгуен Хоанг Нгуен</t>
  </si>
  <si>
    <t>Никитина Марина</t>
  </si>
  <si>
    <t>Никишина Ирина</t>
  </si>
  <si>
    <t>Олег Олег</t>
  </si>
  <si>
    <t>Орлов Николай</t>
  </si>
  <si>
    <t>Орлова Инга</t>
  </si>
  <si>
    <t>Островский Александр</t>
  </si>
  <si>
    <t>Островский Евгений</t>
  </si>
  <si>
    <t>Пастушков Кирилл</t>
  </si>
  <si>
    <t>Пахомова Мария</t>
  </si>
  <si>
    <t>Пензина Андриана</t>
  </si>
  <si>
    <t>Переладова Елена</t>
  </si>
  <si>
    <t>Петров Даниил</t>
  </si>
  <si>
    <t>Петров Сергей</t>
  </si>
  <si>
    <t>Печенкин Артур</t>
  </si>
  <si>
    <t>Плескунин Илья</t>
  </si>
  <si>
    <t>Привальский Алексей</t>
  </si>
  <si>
    <t>Рахмуни Хаула</t>
  </si>
  <si>
    <t>Родин Евгений</t>
  </si>
  <si>
    <t>Ронгина Анастасия</t>
  </si>
  <si>
    <t>Сагателов Михаил</t>
  </si>
  <si>
    <t>Сайгушева Светлана</t>
  </si>
  <si>
    <t>Саша Гао</t>
  </si>
  <si>
    <t>Секанова Анастасия</t>
  </si>
  <si>
    <t>Сереброва Полина</t>
  </si>
  <si>
    <t>Синеокова Татьяна</t>
  </si>
  <si>
    <t>Соколова Ольга</t>
  </si>
  <si>
    <t>Станилевич Михаил</t>
  </si>
  <si>
    <t>Суприяди Вахид</t>
  </si>
  <si>
    <t>Талалаева Екатерина</t>
  </si>
  <si>
    <t>Тарасова Марина</t>
  </si>
  <si>
    <t>Тарасова Татьяна Вячеславовна</t>
  </si>
  <si>
    <t>Тихонов Вячеслав</t>
  </si>
  <si>
    <t>Трифанова Александра</t>
  </si>
  <si>
    <t>Фадеева Людмила</t>
  </si>
  <si>
    <t>Фам Чунг Нгиа</t>
  </si>
  <si>
    <t>Фан Ван Кхай</t>
  </si>
  <si>
    <t>Фёдорова Анжелика</t>
  </si>
  <si>
    <t>Федотовских Никита</t>
  </si>
  <si>
    <t>Филатов Сергей</t>
  </si>
  <si>
    <t>Хачатурова Варвара Кареновна</t>
  </si>
  <si>
    <t>Хоботов Илья</t>
  </si>
  <si>
    <t>Чан Ван Куанг</t>
  </si>
  <si>
    <t>Чан Фу Кыонг</t>
  </si>
  <si>
    <t>Чекмезова Екатерина</t>
  </si>
  <si>
    <t>Чудин Артем</t>
  </si>
  <si>
    <t>Чулин Максим Игоревич</t>
  </si>
  <si>
    <t>Шацов Кирилл</t>
  </si>
  <si>
    <t>Шестирко Алексей</t>
  </si>
  <si>
    <t>Шишкин Александр</t>
  </si>
  <si>
    <t>Щербин Сергей (Москва)</t>
  </si>
  <si>
    <t>Щербин Сергей (СПб)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</si>
</sst>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_р_._-;\-* #,##0_р_._-;_-* \-_р_._-;_-@_-"/>
    <numFmt numFmtId="165" formatCode="#,##0.00_ ;\-#,##0.00\ "/>
    <numFmt numFmtId="166" formatCode="0.0000"/>
    <numFmt numFmtId="167" formatCode="_-* #,##0&quot;р.&quot;_-;\-* #,##0&quot;р.&quot;_-;_-* &quot;-р.&quot;_-;_-@_-"/>
    <numFmt numFmtId="168" formatCode="[$-419]dd\ mmm\ yy;@"/>
  </numFmts>
  <fonts count="81">
    <font>
      <sz val="9"/>
      <name val="Verdana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0"/>
      <name val="Arial Cyr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Verdana"/>
      <family val="2"/>
      <charset val="204"/>
    </font>
    <font>
      <b/>
      <sz val="9"/>
      <name val="Verdana"/>
      <family val="2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sz val="9"/>
      <name val="Verdana"/>
      <family val="2"/>
      <charset val="204"/>
    </font>
    <font>
      <sz val="10"/>
      <name val="DejaVu Sans"/>
      <family val="2"/>
    </font>
    <font>
      <sz val="10"/>
      <name val="Arial"/>
      <family val="2"/>
      <charset val="204"/>
    </font>
    <font>
      <b/>
      <sz val="9"/>
      <color indexed="44"/>
      <name val="Arial"/>
      <family val="2"/>
    </font>
    <font>
      <sz val="9"/>
      <color indexed="44"/>
      <name val="Arial"/>
      <family val="2"/>
    </font>
    <font>
      <b/>
      <sz val="9"/>
      <color indexed="9"/>
      <name val="Arial"/>
      <family val="2"/>
    </font>
    <font>
      <sz val="9"/>
      <name val="Arial"/>
      <family val="2"/>
    </font>
    <font>
      <sz val="9"/>
      <name val="Arial"/>
      <family val="2"/>
      <charset val="204"/>
    </font>
    <font>
      <sz val="10"/>
      <name val="Arial"/>
      <family val="2"/>
    </font>
    <font>
      <b/>
      <sz val="8"/>
      <color indexed="8"/>
      <name val="DejaVu Sans"/>
      <family val="1"/>
    </font>
    <font>
      <sz val="8"/>
      <color indexed="8"/>
      <name val="DejaVu Sans"/>
      <family val="1"/>
    </font>
    <font>
      <b/>
      <sz val="9"/>
      <name val="Arial"/>
      <family val="2"/>
      <charset val="204"/>
    </font>
    <font>
      <b/>
      <sz val="9"/>
      <color indexed="12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b/>
      <sz val="9"/>
      <color indexed="63"/>
      <name val="Arial"/>
      <family val="2"/>
    </font>
    <font>
      <b/>
      <sz val="10"/>
      <name val="Verdana"/>
      <family val="2"/>
      <charset val="204"/>
    </font>
    <font>
      <b/>
      <i/>
      <sz val="8"/>
      <name val="Verdan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8"/>
      <color indexed="9"/>
      <name val="Arial Narrow"/>
      <family val="2"/>
      <charset val="204"/>
    </font>
    <font>
      <b/>
      <sz val="8"/>
      <name val="Arial Narrow"/>
      <family val="2"/>
      <charset val="204"/>
    </font>
    <font>
      <sz val="8"/>
      <name val="Arial Narrow"/>
      <family val="2"/>
      <charset val="204"/>
    </font>
    <font>
      <sz val="9"/>
      <name val="Arial Narrow"/>
      <family val="2"/>
      <charset val="204"/>
    </font>
    <font>
      <b/>
      <sz val="9"/>
      <name val="Arial Narrow"/>
      <family val="2"/>
      <charset val="204"/>
    </font>
    <font>
      <sz val="7"/>
      <color indexed="8"/>
      <name val="Arial Narrow"/>
      <family val="2"/>
      <charset val="204"/>
    </font>
    <font>
      <b/>
      <i/>
      <sz val="8"/>
      <name val="Arial Narrow"/>
      <family val="2"/>
      <charset val="204"/>
    </font>
    <font>
      <sz val="8"/>
      <color indexed="48"/>
      <name val="Arial Narrow"/>
      <family val="2"/>
      <charset val="204"/>
    </font>
    <font>
      <sz val="9"/>
      <color indexed="48"/>
      <name val="Arial Narrow"/>
      <family val="2"/>
      <charset val="204"/>
    </font>
    <font>
      <b/>
      <sz val="9"/>
      <color indexed="13"/>
      <name val="Arial Narrow"/>
      <family val="2"/>
      <charset val="204"/>
    </font>
    <font>
      <b/>
      <sz val="10"/>
      <name val="Arial Narrow"/>
      <family val="2"/>
      <charset val="204"/>
    </font>
    <font>
      <b/>
      <sz val="7"/>
      <color indexed="63"/>
      <name val="Arial"/>
      <family val="2"/>
    </font>
    <font>
      <b/>
      <sz val="9"/>
      <color indexed="12"/>
      <name val="Verdana"/>
      <family val="2"/>
      <charset val="204"/>
    </font>
    <font>
      <sz val="9"/>
      <color indexed="29"/>
      <name val="Verdana"/>
      <family val="2"/>
      <charset val="204"/>
    </font>
    <font>
      <sz val="9"/>
      <color indexed="9"/>
      <name val="Verdana"/>
      <family val="2"/>
      <charset val="204"/>
    </font>
    <font>
      <b/>
      <sz val="9"/>
      <color indexed="29"/>
      <name val="Verdana"/>
      <family val="2"/>
      <charset val="204"/>
    </font>
    <font>
      <sz val="9"/>
      <name val="Verdana"/>
      <family val="2"/>
    </font>
    <font>
      <b/>
      <sz val="9"/>
      <color indexed="9"/>
      <name val="Verdana"/>
      <family val="2"/>
      <charset val="204"/>
    </font>
    <font>
      <b/>
      <sz val="10"/>
      <name val="Arial"/>
      <family val="2"/>
      <charset val="204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rgb="FF00B050"/>
      <name val="Arial"/>
      <family val="2"/>
      <charset val="204"/>
    </font>
    <font>
      <u/>
      <sz val="9"/>
      <color rgb="FF0070C0"/>
      <name val="Verdana"/>
      <family val="2"/>
      <charset val="204"/>
    </font>
  </fonts>
  <fills count="74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24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63"/>
        <bgColor indexed="59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9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1"/>
        <bgColor indexed="64"/>
      </patternFill>
    </fill>
    <fill>
      <patternFill patternType="lightUp"/>
    </fill>
    <fill>
      <patternFill patternType="solid">
        <fgColor indexed="54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8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7" borderId="1" applyNumberFormat="0" applyAlignment="0" applyProtection="0"/>
    <xf numFmtId="0" fontId="5" fillId="20" borderId="2" applyNumberFormat="0" applyAlignment="0" applyProtection="0"/>
    <xf numFmtId="0" fontId="6" fillId="20" borderId="1" applyNumberFormat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6" applyNumberFormat="0" applyFill="0" applyAlignment="0" applyProtection="0"/>
    <xf numFmtId="0" fontId="11" fillId="21" borderId="7" applyNumberFormat="0" applyAlignment="0" applyProtection="0"/>
    <xf numFmtId="0" fontId="12" fillId="0" borderId="0" applyNumberFormat="0" applyFill="0" applyBorder="0" applyAlignment="0" applyProtection="0"/>
    <xf numFmtId="0" fontId="13" fillId="22" borderId="0" applyNumberFormat="0" applyBorder="0" applyAlignment="0" applyProtection="0"/>
    <xf numFmtId="0" fontId="25" fillId="0" borderId="0"/>
    <xf numFmtId="0" fontId="26" fillId="0" borderId="0"/>
    <xf numFmtId="0" fontId="24" fillId="0" borderId="0"/>
    <xf numFmtId="0" fontId="15" fillId="3" borderId="0" applyNumberFormat="0" applyBorder="0" applyAlignment="0" applyProtection="0"/>
    <xf numFmtId="0" fontId="16" fillId="0" borderId="0" applyNumberFormat="0" applyFill="0" applyBorder="0" applyAlignment="0" applyProtection="0"/>
    <xf numFmtId="0" fontId="14" fillId="23" borderId="8" applyNumberFormat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1" fillId="0" borderId="0"/>
    <xf numFmtId="0" fontId="63" fillId="0" borderId="0" applyNumberFormat="0" applyFill="0" applyBorder="0" applyAlignment="0" applyProtection="0"/>
    <xf numFmtId="0" fontId="64" fillId="0" borderId="45" applyNumberFormat="0" applyFill="0" applyAlignment="0" applyProtection="0"/>
    <xf numFmtId="0" fontId="65" fillId="0" borderId="46" applyNumberFormat="0" applyFill="0" applyAlignment="0" applyProtection="0"/>
    <xf numFmtId="0" fontId="66" fillId="0" borderId="47" applyNumberFormat="0" applyFill="0" applyAlignment="0" applyProtection="0"/>
    <xf numFmtId="0" fontId="66" fillId="0" borderId="0" applyNumberFormat="0" applyFill="0" applyBorder="0" applyAlignment="0" applyProtection="0"/>
    <xf numFmtId="0" fontId="67" fillId="43" borderId="0" applyNumberFormat="0" applyBorder="0" applyAlignment="0" applyProtection="0"/>
    <xf numFmtId="0" fontId="68" fillId="44" borderId="0" applyNumberFormat="0" applyBorder="0" applyAlignment="0" applyProtection="0"/>
    <xf numFmtId="0" fontId="69" fillId="45" borderId="0" applyNumberFormat="0" applyBorder="0" applyAlignment="0" applyProtection="0"/>
    <xf numFmtId="0" fontId="70" fillId="46" borderId="48" applyNumberFormat="0" applyAlignment="0" applyProtection="0"/>
    <xf numFmtId="0" fontId="71" fillId="47" borderId="49" applyNumberFormat="0" applyAlignment="0" applyProtection="0"/>
    <xf numFmtId="0" fontId="72" fillId="47" borderId="48" applyNumberFormat="0" applyAlignment="0" applyProtection="0"/>
    <xf numFmtId="0" fontId="73" fillId="0" borderId="50" applyNumberFormat="0" applyFill="0" applyAlignment="0" applyProtection="0"/>
    <xf numFmtId="0" fontId="74" fillId="48" borderId="51" applyNumberFormat="0" applyAlignment="0" applyProtection="0"/>
    <xf numFmtId="0" fontId="75" fillId="0" borderId="0" applyNumberFormat="0" applyFill="0" applyBorder="0" applyAlignment="0" applyProtection="0"/>
    <xf numFmtId="0" fontId="1" fillId="49" borderId="52" applyNumberFormat="0" applyFont="0" applyAlignment="0" applyProtection="0"/>
    <xf numFmtId="0" fontId="76" fillId="0" borderId="0" applyNumberFormat="0" applyFill="0" applyBorder="0" applyAlignment="0" applyProtection="0"/>
    <xf numFmtId="0" fontId="77" fillId="0" borderId="53" applyNumberFormat="0" applyFill="0" applyAlignment="0" applyProtection="0"/>
    <xf numFmtId="0" fontId="78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78" fillId="53" borderId="0" applyNumberFormat="0" applyBorder="0" applyAlignment="0" applyProtection="0"/>
    <xf numFmtId="0" fontId="78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78" fillId="57" borderId="0" applyNumberFormat="0" applyBorder="0" applyAlignment="0" applyProtection="0"/>
    <xf numFmtId="0" fontId="78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78" fillId="61" borderId="0" applyNumberFormat="0" applyBorder="0" applyAlignment="0" applyProtection="0"/>
    <xf numFmtId="0" fontId="78" fillId="62" borderId="0" applyNumberFormat="0" applyBorder="0" applyAlignment="0" applyProtection="0"/>
    <xf numFmtId="0" fontId="1" fillId="63" borderId="0" applyNumberFormat="0" applyBorder="0" applyAlignment="0" applyProtection="0"/>
    <xf numFmtId="0" fontId="1" fillId="64" borderId="0" applyNumberFormat="0" applyBorder="0" applyAlignment="0" applyProtection="0"/>
    <xf numFmtId="0" fontId="78" fillId="65" borderId="0" applyNumberFormat="0" applyBorder="0" applyAlignment="0" applyProtection="0"/>
    <xf numFmtId="0" fontId="78" fillId="66" borderId="0" applyNumberFormat="0" applyBorder="0" applyAlignment="0" applyProtection="0"/>
    <xf numFmtId="0" fontId="1" fillId="67" borderId="0" applyNumberFormat="0" applyBorder="0" applyAlignment="0" applyProtection="0"/>
    <xf numFmtId="0" fontId="1" fillId="68" borderId="0" applyNumberFormat="0" applyBorder="0" applyAlignment="0" applyProtection="0"/>
    <xf numFmtId="0" fontId="78" fillId="69" borderId="0" applyNumberFormat="0" applyBorder="0" applyAlignment="0" applyProtection="0"/>
    <xf numFmtId="0" fontId="78" fillId="70" borderId="0" applyNumberFormat="0" applyBorder="0" applyAlignment="0" applyProtection="0"/>
    <xf numFmtId="0" fontId="1" fillId="71" borderId="0" applyNumberFormat="0" applyBorder="0" applyAlignment="0" applyProtection="0"/>
    <xf numFmtId="0" fontId="1" fillId="72" borderId="0" applyNumberFormat="0" applyBorder="0" applyAlignment="0" applyProtection="0"/>
    <xf numFmtId="0" fontId="78" fillId="73" borderId="0" applyNumberFormat="0" applyBorder="0" applyAlignment="0" applyProtection="0"/>
  </cellStyleXfs>
  <cellXfs count="212">
    <xf numFmtId="0" fontId="0" fillId="0" borderId="0" xfId="0"/>
    <xf numFmtId="0" fontId="0" fillId="0" borderId="0" xfId="0" applyFont="1" applyProtection="1">
      <protection hidden="1"/>
    </xf>
    <xf numFmtId="0" fontId="20" fillId="0" borderId="0" xfId="0" applyFont="1"/>
    <xf numFmtId="14" fontId="20" fillId="0" borderId="0" xfId="36" applyNumberFormat="1" applyFont="1"/>
    <xf numFmtId="0" fontId="20" fillId="0" borderId="0" xfId="36" applyFont="1" applyAlignment="1">
      <alignment horizontal="right" wrapText="1"/>
    </xf>
    <xf numFmtId="0" fontId="20" fillId="0" borderId="0" xfId="36" applyFont="1"/>
    <xf numFmtId="0" fontId="27" fillId="24" borderId="10" xfId="37" applyFont="1" applyFill="1" applyBorder="1" applyProtection="1">
      <protection locked="0"/>
    </xf>
    <xf numFmtId="0" fontId="26" fillId="0" borderId="0" xfId="37" applyFont="1" applyProtection="1">
      <protection locked="0"/>
    </xf>
    <xf numFmtId="0" fontId="28" fillId="24" borderId="10" xfId="37" applyFont="1" applyFill="1" applyBorder="1" applyAlignment="1" applyProtection="1">
      <protection locked="0"/>
    </xf>
    <xf numFmtId="167" fontId="27" fillId="24" borderId="10" xfId="37" applyNumberFormat="1" applyFont="1" applyFill="1" applyBorder="1" applyAlignment="1" applyProtection="1">
      <protection locked="0"/>
    </xf>
    <xf numFmtId="4" fontId="29" fillId="25" borderId="10" xfId="37" applyNumberFormat="1" applyFont="1" applyFill="1" applyBorder="1" applyAlignment="1" applyProtection="1">
      <alignment horizontal="center" vertical="center"/>
      <protection locked="0"/>
    </xf>
    <xf numFmtId="0" fontId="29" fillId="25" borderId="10" xfId="37" applyFont="1" applyFill="1" applyBorder="1" applyAlignment="1" applyProtection="1">
      <alignment horizontal="center" vertical="center"/>
      <protection locked="0"/>
    </xf>
    <xf numFmtId="0" fontId="30" fillId="0" borderId="0" xfId="37" applyFont="1" applyProtection="1">
      <protection locked="0"/>
    </xf>
    <xf numFmtId="0" fontId="30" fillId="0" borderId="0" xfId="37" applyFont="1" applyFill="1" applyBorder="1" applyAlignment="1" applyProtection="1">
      <protection locked="0"/>
    </xf>
    <xf numFmtId="3" fontId="30" fillId="0" borderId="0" xfId="37" applyNumberFormat="1" applyFont="1" applyFill="1" applyBorder="1" applyAlignment="1" applyProtection="1">
      <protection locked="0"/>
    </xf>
    <xf numFmtId="167" fontId="30" fillId="0" borderId="0" xfId="37" applyNumberFormat="1" applyFont="1" applyFill="1" applyBorder="1" applyAlignment="1" applyProtection="1"/>
    <xf numFmtId="0" fontId="31" fillId="0" borderId="0" xfId="37" applyFont="1" applyProtection="1">
      <protection locked="0"/>
    </xf>
    <xf numFmtId="0" fontId="32" fillId="0" borderId="0" xfId="37" applyFont="1" applyFill="1" applyBorder="1" applyAlignment="1" applyProtection="1">
      <alignment horizontal="left"/>
      <protection locked="0"/>
    </xf>
    <xf numFmtId="4" fontId="32" fillId="0" borderId="0" xfId="37" applyNumberFormat="1" applyFont="1" applyFill="1" applyBorder="1" applyAlignment="1" applyProtection="1">
      <protection locked="0"/>
    </xf>
    <xf numFmtId="0" fontId="32" fillId="0" borderId="0" xfId="37" applyFont="1" applyFill="1" applyBorder="1" applyAlignment="1" applyProtection="1">
      <protection locked="0"/>
    </xf>
    <xf numFmtId="0" fontId="36" fillId="0" borderId="0" xfId="37" applyFont="1" applyProtection="1">
      <protection locked="0"/>
    </xf>
    <xf numFmtId="0" fontId="29" fillId="25" borderId="11" xfId="37" applyFont="1" applyFill="1" applyBorder="1" applyAlignment="1" applyProtection="1">
      <alignment horizontal="center" vertical="center"/>
      <protection locked="0"/>
    </xf>
    <xf numFmtId="0" fontId="29" fillId="25" borderId="12" xfId="37" applyFont="1" applyFill="1" applyBorder="1" applyAlignment="1" applyProtection="1">
      <alignment horizontal="center" vertical="center"/>
      <protection locked="0"/>
    </xf>
    <xf numFmtId="0" fontId="35" fillId="0" borderId="12" xfId="37" applyFont="1" applyBorder="1" applyProtection="1">
      <protection locked="0"/>
    </xf>
    <xf numFmtId="0" fontId="37" fillId="0" borderId="0" xfId="37" applyFont="1" applyAlignment="1" applyProtection="1">
      <alignment horizontal="center"/>
      <protection locked="0"/>
    </xf>
    <xf numFmtId="0" fontId="38" fillId="0" borderId="0" xfId="37" applyFont="1" applyAlignment="1" applyProtection="1">
      <alignment horizontal="center"/>
      <protection locked="0"/>
    </xf>
    <xf numFmtId="0" fontId="31" fillId="0" borderId="12" xfId="37" applyFont="1" applyBorder="1" applyAlignment="1" applyProtection="1">
      <alignment horizontal="left" indent="1"/>
      <protection locked="0"/>
    </xf>
    <xf numFmtId="0" fontId="39" fillId="26" borderId="10" xfId="37" applyFont="1" applyFill="1" applyBorder="1" applyProtection="1">
      <protection locked="0"/>
    </xf>
    <xf numFmtId="168" fontId="0" fillId="0" borderId="0" xfId="0" applyNumberFormat="1"/>
    <xf numFmtId="3" fontId="24" fillId="0" borderId="0" xfId="36" applyNumberFormat="1" applyFont="1" applyFill="1"/>
    <xf numFmtId="0" fontId="21" fillId="28" borderId="13" xfId="0" applyFont="1" applyFill="1" applyBorder="1"/>
    <xf numFmtId="0" fontId="21" fillId="29" borderId="13" xfId="0" applyFont="1" applyFill="1" applyBorder="1"/>
    <xf numFmtId="0" fontId="21" fillId="30" borderId="13" xfId="0" applyFont="1" applyFill="1" applyBorder="1"/>
    <xf numFmtId="0" fontId="21" fillId="0" borderId="13" xfId="0" applyFont="1" applyFill="1" applyBorder="1"/>
    <xf numFmtId="0" fontId="0" fillId="0" borderId="0" xfId="0" applyFont="1" applyFill="1" applyBorder="1" applyProtection="1">
      <protection hidden="1"/>
    </xf>
    <xf numFmtId="0" fontId="47" fillId="0" borderId="0" xfId="0" applyFont="1"/>
    <xf numFmtId="0" fontId="47" fillId="0" borderId="0" xfId="0" applyFont="1" applyProtection="1">
      <protection hidden="1"/>
    </xf>
    <xf numFmtId="0" fontId="48" fillId="8" borderId="12" xfId="0" applyFont="1" applyFill="1" applyBorder="1" applyAlignment="1" applyProtection="1">
      <alignment horizontal="center" vertical="center"/>
      <protection hidden="1"/>
    </xf>
    <xf numFmtId="0" fontId="46" fillId="31" borderId="12" xfId="0" applyFont="1" applyFill="1" applyBorder="1"/>
    <xf numFmtId="0" fontId="48" fillId="31" borderId="12" xfId="0" applyFont="1" applyFill="1" applyBorder="1"/>
    <xf numFmtId="0" fontId="48" fillId="0" borderId="0" xfId="0" applyFont="1" applyFill="1" applyBorder="1"/>
    <xf numFmtId="0" fontId="47" fillId="0" borderId="0" xfId="0" applyFont="1" applyBorder="1"/>
    <xf numFmtId="0" fontId="47" fillId="23" borderId="12" xfId="0" applyFont="1" applyFill="1" applyBorder="1" applyAlignment="1" applyProtection="1">
      <alignment horizontal="center"/>
      <protection hidden="1"/>
    </xf>
    <xf numFmtId="164" fontId="49" fillId="23" borderId="12" xfId="0" applyNumberFormat="1" applyFont="1" applyFill="1" applyBorder="1" applyAlignment="1" applyProtection="1">
      <alignment horizontal="left"/>
      <protection hidden="1"/>
    </xf>
    <xf numFmtId="0" fontId="46" fillId="32" borderId="0" xfId="0" applyFont="1" applyFill="1" applyProtection="1">
      <protection hidden="1"/>
    </xf>
    <xf numFmtId="0" fontId="46" fillId="0" borderId="0" xfId="0" applyFont="1" applyFill="1" applyProtection="1">
      <protection hidden="1"/>
    </xf>
    <xf numFmtId="0" fontId="48" fillId="0" borderId="14" xfId="0" applyFont="1" applyFill="1" applyBorder="1"/>
    <xf numFmtId="0" fontId="47" fillId="0" borderId="0" xfId="0" applyFont="1" applyFill="1"/>
    <xf numFmtId="0" fontId="45" fillId="33" borderId="0" xfId="0" applyFont="1" applyFill="1" applyAlignment="1">
      <alignment horizontal="center"/>
    </xf>
    <xf numFmtId="0" fontId="46" fillId="0" borderId="0" xfId="0" applyFont="1" applyAlignment="1">
      <alignment horizontal="center"/>
    </xf>
    <xf numFmtId="0" fontId="45" fillId="0" borderId="0" xfId="0" applyFont="1"/>
    <xf numFmtId="0" fontId="48" fillId="32" borderId="12" xfId="0" applyFont="1" applyFill="1" applyBorder="1"/>
    <xf numFmtId="0" fontId="45" fillId="0" borderId="0" xfId="0" applyFont="1" applyFill="1"/>
    <xf numFmtId="0" fontId="46" fillId="0" borderId="0" xfId="0" applyFont="1" applyFill="1" applyBorder="1"/>
    <xf numFmtId="0" fontId="46" fillId="29" borderId="15" xfId="0" applyFont="1" applyFill="1" applyBorder="1"/>
    <xf numFmtId="0" fontId="48" fillId="29" borderId="15" xfId="0" applyFont="1" applyFill="1" applyBorder="1"/>
    <xf numFmtId="0" fontId="45" fillId="33" borderId="15" xfId="0" applyFont="1" applyFill="1" applyBorder="1" applyAlignment="1">
      <alignment horizontal="center"/>
    </xf>
    <xf numFmtId="0" fontId="45" fillId="29" borderId="15" xfId="0" applyFont="1" applyFill="1" applyBorder="1" applyAlignment="1">
      <alignment horizontal="center"/>
    </xf>
    <xf numFmtId="0" fontId="47" fillId="0" borderId="0" xfId="0" applyFont="1" applyFill="1" applyBorder="1" applyAlignment="1" applyProtection="1">
      <alignment horizontal="center"/>
      <protection hidden="1"/>
    </xf>
    <xf numFmtId="164" fontId="49" fillId="0" borderId="0" xfId="0" applyNumberFormat="1" applyFont="1" applyFill="1" applyBorder="1" applyAlignment="1" applyProtection="1">
      <alignment horizontal="left"/>
      <protection hidden="1"/>
    </xf>
    <xf numFmtId="0" fontId="50" fillId="28" borderId="0" xfId="0" applyFont="1" applyFill="1" applyBorder="1" applyAlignment="1">
      <alignment horizontal="left" indent="1"/>
    </xf>
    <xf numFmtId="0" fontId="51" fillId="28" borderId="0" xfId="0" applyFont="1" applyFill="1" applyBorder="1"/>
    <xf numFmtId="0" fontId="44" fillId="29" borderId="0" xfId="0" applyFont="1" applyFill="1" applyAlignment="1">
      <alignment horizontal="center" vertical="center"/>
    </xf>
    <xf numFmtId="0" fontId="48" fillId="29" borderId="0" xfId="0" applyFont="1" applyFill="1" applyAlignment="1">
      <alignment horizontal="center"/>
    </xf>
    <xf numFmtId="0" fontId="52" fillId="28" borderId="0" xfId="0" applyFont="1" applyFill="1" applyBorder="1"/>
    <xf numFmtId="0" fontId="50" fillId="28" borderId="13" xfId="0" applyFont="1" applyFill="1" applyBorder="1" applyAlignment="1">
      <alignment horizontal="left" indent="1"/>
    </xf>
    <xf numFmtId="0" fontId="52" fillId="28" borderId="13" xfId="0" applyFont="1" applyFill="1" applyBorder="1"/>
    <xf numFmtId="0" fontId="44" fillId="29" borderId="13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/>
    </xf>
    <xf numFmtId="0" fontId="46" fillId="30" borderId="15" xfId="0" applyFont="1" applyFill="1" applyBorder="1"/>
    <xf numFmtId="0" fontId="48" fillId="30" borderId="15" xfId="0" applyFont="1" applyFill="1" applyBorder="1"/>
    <xf numFmtId="0" fontId="45" fillId="30" borderId="15" xfId="0" applyFont="1" applyFill="1" applyBorder="1" applyAlignment="1">
      <alignment horizontal="left" indent="1"/>
    </xf>
    <xf numFmtId="0" fontId="44" fillId="30" borderId="0" xfId="0" applyFont="1" applyFill="1" applyBorder="1" applyAlignment="1">
      <alignment horizontal="center" vertical="center"/>
    </xf>
    <xf numFmtId="3" fontId="48" fillId="30" borderId="0" xfId="0" applyNumberFormat="1" applyFont="1" applyFill="1" applyAlignment="1">
      <alignment horizontal="center" vertical="center"/>
    </xf>
    <xf numFmtId="0" fontId="44" fillId="30" borderId="13" xfId="0" applyFont="1" applyFill="1" applyBorder="1" applyAlignment="1">
      <alignment horizontal="center" vertical="center"/>
    </xf>
    <xf numFmtId="3" fontId="48" fillId="30" borderId="13" xfId="0" applyNumberFormat="1" applyFont="1" applyFill="1" applyBorder="1" applyAlignment="1">
      <alignment horizontal="center" vertical="center"/>
    </xf>
    <xf numFmtId="0" fontId="46" fillId="0" borderId="0" xfId="0" applyFont="1"/>
    <xf numFmtId="0" fontId="48" fillId="0" borderId="0" xfId="0" applyFont="1"/>
    <xf numFmtId="0" fontId="45" fillId="27" borderId="0" xfId="0" applyFont="1" applyFill="1" applyAlignment="1">
      <alignment horizontal="left"/>
    </xf>
    <xf numFmtId="0" fontId="46" fillId="0" borderId="12" xfId="0" applyFont="1" applyBorder="1"/>
    <xf numFmtId="0" fontId="48" fillId="0" borderId="12" xfId="0" applyFont="1" applyBorder="1"/>
    <xf numFmtId="3" fontId="48" fillId="0" borderId="12" xfId="0" applyNumberFormat="1" applyFont="1" applyBorder="1"/>
    <xf numFmtId="3" fontId="45" fillId="0" borderId="0" xfId="0" applyNumberFormat="1" applyFont="1" applyAlignment="1">
      <alignment horizontal="right"/>
    </xf>
    <xf numFmtId="0" fontId="48" fillId="27" borderId="0" xfId="0" applyFont="1" applyFill="1"/>
    <xf numFmtId="49" fontId="47" fillId="0" borderId="0" xfId="0" applyNumberFormat="1" applyFont="1"/>
    <xf numFmtId="0" fontId="48" fillId="0" borderId="13" xfId="0" applyFont="1" applyBorder="1"/>
    <xf numFmtId="0" fontId="45" fillId="0" borderId="13" xfId="0" applyFont="1" applyBorder="1"/>
    <xf numFmtId="0" fontId="48" fillId="27" borderId="13" xfId="0" applyFont="1" applyFill="1" applyBorder="1"/>
    <xf numFmtId="0" fontId="53" fillId="34" borderId="13" xfId="0" applyFont="1" applyFill="1" applyBorder="1"/>
    <xf numFmtId="0" fontId="48" fillId="28" borderId="13" xfId="0" applyFont="1" applyFill="1" applyBorder="1"/>
    <xf numFmtId="0" fontId="48" fillId="29" borderId="13" xfId="0" applyFont="1" applyFill="1" applyBorder="1"/>
    <xf numFmtId="0" fontId="48" fillId="30" borderId="13" xfId="0" applyFont="1" applyFill="1" applyBorder="1"/>
    <xf numFmtId="0" fontId="47" fillId="28" borderId="13" xfId="0" applyFont="1" applyFill="1" applyBorder="1" applyAlignment="1">
      <alignment horizontal="center"/>
    </xf>
    <xf numFmtId="0" fontId="47" fillId="35" borderId="13" xfId="0" applyFont="1" applyFill="1" applyBorder="1" applyAlignment="1">
      <alignment horizontal="center"/>
    </xf>
    <xf numFmtId="0" fontId="45" fillId="28" borderId="13" xfId="0" applyFont="1" applyFill="1" applyBorder="1" applyAlignment="1">
      <alignment horizontal="center"/>
    </xf>
    <xf numFmtId="0" fontId="47" fillId="29" borderId="13" xfId="0" applyFont="1" applyFill="1" applyBorder="1" applyAlignment="1">
      <alignment horizontal="center"/>
    </xf>
    <xf numFmtId="0" fontId="47" fillId="32" borderId="13" xfId="0" applyFont="1" applyFill="1" applyBorder="1" applyAlignment="1">
      <alignment horizontal="center"/>
    </xf>
    <xf numFmtId="0" fontId="45" fillId="29" borderId="13" xfId="0" applyFont="1" applyFill="1" applyBorder="1" applyAlignment="1">
      <alignment horizontal="center"/>
    </xf>
    <xf numFmtId="0" fontId="47" fillId="30" borderId="13" xfId="0" applyFont="1" applyFill="1" applyBorder="1" applyAlignment="1">
      <alignment horizontal="center"/>
    </xf>
    <xf numFmtId="0" fontId="47" fillId="36" borderId="13" xfId="0" applyFont="1" applyFill="1" applyBorder="1" applyAlignment="1">
      <alignment horizontal="center"/>
    </xf>
    <xf numFmtId="0" fontId="45" fillId="30" borderId="13" xfId="0" applyFont="1" applyFill="1" applyBorder="1" applyAlignment="1">
      <alignment horizontal="center"/>
    </xf>
    <xf numFmtId="0" fontId="48" fillId="0" borderId="16" xfId="0" applyFont="1" applyBorder="1" applyAlignment="1">
      <alignment horizontal="center"/>
    </xf>
    <xf numFmtId="0" fontId="48" fillId="37" borderId="17" xfId="0" applyFont="1" applyFill="1" applyBorder="1"/>
    <xf numFmtId="0" fontId="47" fillId="37" borderId="17" xfId="0" applyFont="1" applyFill="1" applyBorder="1"/>
    <xf numFmtId="0" fontId="48" fillId="31" borderId="17" xfId="0" applyFont="1" applyFill="1" applyBorder="1"/>
    <xf numFmtId="0" fontId="47" fillId="31" borderId="17" xfId="0" applyFont="1" applyFill="1" applyBorder="1"/>
    <xf numFmtId="0" fontId="48" fillId="27" borderId="17" xfId="0" applyFont="1" applyFill="1" applyBorder="1"/>
    <xf numFmtId="0" fontId="47" fillId="27" borderId="17" xfId="0" applyFont="1" applyFill="1" applyBorder="1"/>
    <xf numFmtId="0" fontId="54" fillId="0" borderId="0" xfId="0" applyFont="1"/>
    <xf numFmtId="0" fontId="47" fillId="0" borderId="18" xfId="0" applyFont="1" applyBorder="1"/>
    <xf numFmtId="0" fontId="47" fillId="37" borderId="0" xfId="0" applyFont="1" applyFill="1"/>
    <xf numFmtId="0" fontId="47" fillId="31" borderId="0" xfId="0" applyFont="1" applyFill="1"/>
    <xf numFmtId="0" fontId="47" fillId="27" borderId="0" xfId="0" applyFont="1" applyFill="1"/>
    <xf numFmtId="0" fontId="48" fillId="27" borderId="0" xfId="0" applyFont="1" applyFill="1" applyAlignment="1">
      <alignment horizontal="center"/>
    </xf>
    <xf numFmtId="0" fontId="55" fillId="26" borderId="10" xfId="37" applyFont="1" applyFill="1" applyBorder="1" applyAlignment="1" applyProtection="1">
      <alignment horizontal="center"/>
      <protection locked="0"/>
    </xf>
    <xf numFmtId="1" fontId="56" fillId="0" borderId="19" xfId="38" applyNumberFormat="1" applyFont="1" applyBorder="1" applyAlignment="1" applyProtection="1">
      <alignment horizontal="center" vertical="center"/>
      <protection locked="0" hidden="1"/>
    </xf>
    <xf numFmtId="0" fontId="56" fillId="0" borderId="16" xfId="38" applyFont="1" applyBorder="1" applyAlignment="1" applyProtection="1">
      <alignment horizontal="center" vertical="center"/>
      <protection locked="0" hidden="1"/>
    </xf>
    <xf numFmtId="0" fontId="21" fillId="38" borderId="20" xfId="38" applyFont="1" applyFill="1" applyBorder="1" applyAlignment="1" applyProtection="1">
      <alignment vertical="top"/>
      <protection hidden="1"/>
    </xf>
    <xf numFmtId="0" fontId="21" fillId="38" borderId="21" xfId="38" applyFont="1" applyFill="1" applyBorder="1" applyAlignment="1" applyProtection="1">
      <alignment vertical="top"/>
      <protection hidden="1"/>
    </xf>
    <xf numFmtId="1" fontId="56" fillId="0" borderId="22" xfId="38" applyNumberFormat="1" applyFont="1" applyBorder="1" applyAlignment="1" applyProtection="1">
      <alignment horizontal="center" vertical="center"/>
      <protection locked="0" hidden="1"/>
    </xf>
    <xf numFmtId="0" fontId="56" fillId="0" borderId="23" xfId="38" applyFont="1" applyBorder="1" applyAlignment="1" applyProtection="1">
      <alignment horizontal="center" vertical="center"/>
      <protection locked="0" hidden="1"/>
    </xf>
    <xf numFmtId="0" fontId="0" fillId="0" borderId="0" xfId="0" applyFont="1" applyFill="1" applyProtection="1">
      <protection hidden="1"/>
    </xf>
    <xf numFmtId="0" fontId="0" fillId="0" borderId="0" xfId="0" applyFont="1" applyFill="1" applyProtection="1">
      <protection locked="0" hidden="1"/>
    </xf>
    <xf numFmtId="0" fontId="31" fillId="0" borderId="0" xfId="0" applyFont="1" applyProtection="1">
      <protection hidden="1"/>
    </xf>
    <xf numFmtId="0" fontId="57" fillId="0" borderId="0" xfId="0" applyFont="1" applyFill="1" applyProtection="1">
      <protection locked="0" hidden="1"/>
    </xf>
    <xf numFmtId="0" fontId="58" fillId="39" borderId="0" xfId="0" applyFont="1" applyFill="1" applyBorder="1" applyAlignment="1" applyProtection="1">
      <alignment horizontal="center"/>
      <protection hidden="1"/>
    </xf>
    <xf numFmtId="0" fontId="58" fillId="39" borderId="24" xfId="0" applyFont="1" applyFill="1" applyBorder="1" applyAlignment="1" applyProtection="1">
      <alignment horizontal="center"/>
      <protection hidden="1"/>
    </xf>
    <xf numFmtId="0" fontId="0" fillId="27" borderId="25" xfId="0" applyFont="1" applyFill="1" applyBorder="1" applyAlignment="1" applyProtection="1">
      <alignment horizontal="center"/>
      <protection hidden="1"/>
    </xf>
    <xf numFmtId="0" fontId="0" fillId="27" borderId="0" xfId="0" applyFont="1" applyFill="1" applyBorder="1" applyAlignment="1" applyProtection="1">
      <alignment horizontal="center"/>
      <protection hidden="1"/>
    </xf>
    <xf numFmtId="0" fontId="0" fillId="0" borderId="0" xfId="0" applyNumberFormat="1" applyFont="1" applyFill="1" applyProtection="1">
      <protection hidden="1"/>
    </xf>
    <xf numFmtId="0" fontId="0" fillId="0" borderId="0" xfId="0" applyNumberFormat="1" applyFont="1" applyProtection="1">
      <protection hidden="1"/>
    </xf>
    <xf numFmtId="1" fontId="0" fillId="0" borderId="0" xfId="0" applyNumberFormat="1" applyFont="1" applyFill="1" applyProtection="1">
      <protection hidden="1"/>
    </xf>
    <xf numFmtId="0" fontId="0" fillId="27" borderId="0" xfId="0" applyFont="1" applyFill="1" applyProtection="1">
      <protection hidden="1"/>
    </xf>
    <xf numFmtId="0" fontId="0" fillId="37" borderId="26" xfId="0" applyFont="1" applyFill="1" applyBorder="1" applyAlignment="1" applyProtection="1">
      <alignment horizontal="center"/>
      <protection hidden="1"/>
    </xf>
    <xf numFmtId="0" fontId="58" fillId="40" borderId="16" xfId="0" applyFont="1" applyFill="1" applyBorder="1" applyAlignment="1" applyProtection="1">
      <alignment horizontal="center"/>
      <protection hidden="1"/>
    </xf>
    <xf numFmtId="0" fontId="58" fillId="40" borderId="0" xfId="0" applyFont="1" applyFill="1" applyBorder="1" applyAlignment="1" applyProtection="1">
      <alignment horizontal="center"/>
      <protection hidden="1"/>
    </xf>
    <xf numFmtId="0" fontId="0" fillId="37" borderId="0" xfId="0" applyFont="1" applyFill="1" applyProtection="1">
      <protection hidden="1"/>
    </xf>
    <xf numFmtId="0" fontId="58" fillId="40" borderId="0" xfId="0" applyFont="1" applyFill="1" applyProtection="1">
      <protection hidden="1"/>
    </xf>
    <xf numFmtId="0" fontId="0" fillId="41" borderId="0" xfId="0" applyFont="1" applyFill="1" applyProtection="1">
      <protection hidden="1"/>
    </xf>
    <xf numFmtId="0" fontId="59" fillId="0" borderId="0" xfId="0" applyFont="1" applyFill="1" applyProtection="1">
      <protection locked="0" hidden="1"/>
    </xf>
    <xf numFmtId="0" fontId="60" fillId="0" borderId="0" xfId="0" applyNumberFormat="1" applyFont="1" applyFill="1" applyProtection="1">
      <protection hidden="1"/>
    </xf>
    <xf numFmtId="0" fontId="31" fillId="28" borderId="12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Fill="1" applyBorder="1" applyAlignment="1" applyProtection="1">
      <alignment horizontal="center" vertical="center"/>
      <protection hidden="1"/>
    </xf>
    <xf numFmtId="1" fontId="0" fillId="0" borderId="12" xfId="0" applyNumberFormat="1" applyFont="1" applyBorder="1" applyAlignment="1" applyProtection="1">
      <alignment horizontal="center" vertical="center"/>
      <protection hidden="1"/>
    </xf>
    <xf numFmtId="0" fontId="0" fillId="0" borderId="12" xfId="0" applyFont="1" applyFill="1" applyBorder="1" applyAlignment="1" applyProtection="1">
      <alignment horizontal="center" vertical="center"/>
      <protection hidden="1"/>
    </xf>
    <xf numFmtId="0" fontId="0" fillId="37" borderId="12" xfId="0" applyFont="1" applyFill="1" applyBorder="1" applyAlignment="1" applyProtection="1">
      <alignment horizontal="center" vertical="center"/>
      <protection hidden="1"/>
    </xf>
    <xf numFmtId="0" fontId="21" fillId="32" borderId="12" xfId="0" applyFont="1" applyFill="1" applyBorder="1" applyAlignment="1" applyProtection="1">
      <alignment horizontal="center" vertical="center"/>
      <protection hidden="1"/>
    </xf>
    <xf numFmtId="0" fontId="31" fillId="28" borderId="0" xfId="0" applyFont="1" applyFill="1" applyProtection="1">
      <protection hidden="1"/>
    </xf>
    <xf numFmtId="0" fontId="48" fillId="0" borderId="12" xfId="0" applyFont="1" applyFill="1" applyBorder="1" applyAlignment="1" applyProtection="1">
      <alignment horizontal="left" vertical="top" indent="1"/>
      <protection hidden="1"/>
    </xf>
    <xf numFmtId="0" fontId="35" fillId="33" borderId="27" xfId="38" applyFont="1" applyFill="1" applyBorder="1" applyAlignment="1" applyProtection="1">
      <alignment horizontal="center" vertical="center"/>
      <protection hidden="1"/>
    </xf>
    <xf numFmtId="1" fontId="36" fillId="0" borderId="28" xfId="38" applyNumberFormat="1" applyFont="1" applyBorder="1" applyAlignment="1" applyProtection="1">
      <alignment horizontal="center" vertical="center"/>
      <protection locked="0" hidden="1"/>
    </xf>
    <xf numFmtId="0" fontId="31" fillId="0" borderId="12" xfId="0" applyNumberFormat="1" applyFont="1" applyFill="1" applyBorder="1" applyAlignment="1" applyProtection="1">
      <alignment horizontal="center" vertical="center"/>
      <protection hidden="1"/>
    </xf>
    <xf numFmtId="2" fontId="31" fillId="0" borderId="12" xfId="0" applyNumberFormat="1" applyFont="1" applyFill="1" applyBorder="1" applyAlignment="1" applyProtection="1">
      <alignment horizontal="center" vertical="center"/>
      <protection hidden="1"/>
    </xf>
    <xf numFmtId="165" fontId="21" fillId="0" borderId="0" xfId="0" applyNumberFormat="1" applyFont="1" applyFill="1" applyBorder="1" applyAlignment="1" applyProtection="1">
      <alignment horizontal="center" vertical="center"/>
      <protection hidden="1"/>
    </xf>
    <xf numFmtId="0" fontId="47" fillId="0" borderId="12" xfId="0" applyFont="1" applyFill="1" applyBorder="1" applyAlignment="1" applyProtection="1">
      <alignment horizontal="left" vertical="center"/>
      <protection locked="0" hidden="1"/>
    </xf>
    <xf numFmtId="0" fontId="35" fillId="33" borderId="29" xfId="38" applyFont="1" applyFill="1" applyBorder="1" applyAlignment="1" applyProtection="1">
      <alignment horizontal="center" vertical="center"/>
      <protection hidden="1"/>
    </xf>
    <xf numFmtId="1" fontId="0" fillId="0" borderId="12" xfId="0" applyNumberFormat="1" applyFont="1" applyFill="1" applyBorder="1" applyAlignment="1" applyProtection="1">
      <alignment horizontal="center" vertical="center"/>
      <protection hidden="1"/>
    </xf>
    <xf numFmtId="166" fontId="0" fillId="0" borderId="12" xfId="0" applyNumberFormat="1" applyFont="1" applyFill="1" applyBorder="1" applyAlignment="1" applyProtection="1">
      <alignment horizontal="center" vertical="center"/>
      <protection hidden="1"/>
    </xf>
    <xf numFmtId="0" fontId="47" fillId="0" borderId="30" xfId="0" applyFont="1" applyFill="1" applyBorder="1" applyAlignment="1" applyProtection="1">
      <alignment horizontal="left" vertical="center"/>
      <protection locked="0" hidden="1"/>
    </xf>
    <xf numFmtId="0" fontId="31" fillId="0" borderId="0" xfId="0" applyFont="1" applyFill="1" applyBorder="1" applyProtection="1">
      <protection hidden="1"/>
    </xf>
    <xf numFmtId="0" fontId="60" fillId="0" borderId="0" xfId="0" applyNumberFormat="1" applyFont="1" applyProtection="1">
      <protection hidden="1"/>
    </xf>
    <xf numFmtId="1" fontId="0" fillId="0" borderId="0" xfId="0" applyNumberFormat="1" applyFont="1" applyProtection="1">
      <protection hidden="1"/>
    </xf>
    <xf numFmtId="1" fontId="36" fillId="0" borderId="31" xfId="38" applyNumberFormat="1" applyFont="1" applyBorder="1" applyAlignment="1" applyProtection="1">
      <alignment horizontal="center" vertical="center"/>
      <protection locked="0" hidden="1"/>
    </xf>
    <xf numFmtId="0" fontId="31" fillId="0" borderId="32" xfId="0" applyNumberFormat="1" applyFont="1" applyFill="1" applyBorder="1" applyAlignment="1" applyProtection="1">
      <alignment horizontal="center" vertical="center"/>
      <protection hidden="1"/>
    </xf>
    <xf numFmtId="0" fontId="61" fillId="39" borderId="20" xfId="0" applyFont="1" applyFill="1" applyBorder="1" applyAlignment="1" applyProtection="1">
      <alignment horizontal="center" vertical="center"/>
      <protection hidden="1"/>
    </xf>
    <xf numFmtId="0" fontId="21" fillId="28" borderId="21" xfId="0" applyFont="1" applyFill="1" applyBorder="1" applyAlignment="1" applyProtection="1">
      <alignment vertical="center"/>
      <protection hidden="1"/>
    </xf>
    <xf numFmtId="0" fontId="21" fillId="0" borderId="33" xfId="0" applyFont="1" applyFill="1" applyBorder="1" applyAlignment="1" applyProtection="1">
      <alignment vertical="top"/>
      <protection hidden="1"/>
    </xf>
    <xf numFmtId="0" fontId="0" fillId="0" borderId="34" xfId="0" applyFont="1" applyFill="1" applyBorder="1" applyAlignment="1" applyProtection="1">
      <alignment horizontal="left" vertical="center"/>
      <protection locked="0" hidden="1"/>
    </xf>
    <xf numFmtId="0" fontId="21" fillId="0" borderId="35" xfId="0" applyFont="1" applyFill="1" applyBorder="1" applyAlignment="1" applyProtection="1">
      <alignment vertical="top"/>
      <protection hidden="1"/>
    </xf>
    <xf numFmtId="0" fontId="0" fillId="0" borderId="30" xfId="0" applyFont="1" applyFill="1" applyBorder="1" applyAlignment="1" applyProtection="1">
      <alignment horizontal="left" vertical="center"/>
      <protection locked="0" hidden="1"/>
    </xf>
    <xf numFmtId="0" fontId="21" fillId="38" borderId="32" xfId="38" applyFont="1" applyFill="1" applyBorder="1" applyAlignment="1" applyProtection="1">
      <alignment vertical="top"/>
      <protection hidden="1"/>
    </xf>
    <xf numFmtId="0" fontId="21" fillId="0" borderId="36" xfId="0" applyFont="1" applyFill="1" applyBorder="1" applyAlignment="1" applyProtection="1">
      <alignment vertical="top"/>
      <protection hidden="1"/>
    </xf>
    <xf numFmtId="0" fontId="0" fillId="0" borderId="37" xfId="0" applyFont="1" applyFill="1" applyBorder="1" applyAlignment="1" applyProtection="1">
      <alignment horizontal="left" vertical="center"/>
      <protection locked="0" hidden="1"/>
    </xf>
    <xf numFmtId="1" fontId="36" fillId="0" borderId="43" xfId="38" applyNumberFormat="1" applyFont="1" applyBorder="1" applyAlignment="1" applyProtection="1">
      <alignment horizontal="center" vertical="center"/>
      <protection locked="0" hidden="1"/>
    </xf>
    <xf numFmtId="1" fontId="36" fillId="0" borderId="29" xfId="38" applyNumberFormat="1" applyFont="1" applyBorder="1" applyAlignment="1" applyProtection="1">
      <alignment horizontal="center" vertical="center"/>
      <protection locked="0" hidden="1"/>
    </xf>
    <xf numFmtId="0" fontId="31" fillId="0" borderId="27" xfId="0" applyNumberFormat="1" applyFont="1" applyFill="1" applyBorder="1" applyAlignment="1" applyProtection="1">
      <alignment horizontal="center" vertical="center"/>
      <protection hidden="1"/>
    </xf>
    <xf numFmtId="0" fontId="31" fillId="0" borderId="44" xfId="0" applyNumberFormat="1" applyFont="1" applyFill="1" applyBorder="1" applyAlignment="1" applyProtection="1">
      <alignment horizontal="center" vertical="center"/>
      <protection hidden="1"/>
    </xf>
    <xf numFmtId="0" fontId="35" fillId="0" borderId="44" xfId="0" applyNumberFormat="1" applyFont="1" applyFill="1" applyBorder="1" applyAlignment="1" applyProtection="1">
      <alignment horizontal="center" vertical="center"/>
      <protection hidden="1"/>
    </xf>
    <xf numFmtId="0" fontId="35" fillId="28" borderId="44" xfId="0" applyNumberFormat="1" applyFont="1" applyFill="1" applyBorder="1" applyAlignment="1" applyProtection="1">
      <alignment horizontal="center" vertical="center"/>
      <protection hidden="1"/>
    </xf>
    <xf numFmtId="1" fontId="26" fillId="0" borderId="0" xfId="37" applyNumberFormat="1" applyFont="1" applyProtection="1">
      <protection locked="0"/>
    </xf>
    <xf numFmtId="1" fontId="31" fillId="0" borderId="0" xfId="37" applyNumberFormat="1" applyFont="1" applyProtection="1">
      <protection locked="0"/>
    </xf>
    <xf numFmtId="0" fontId="30" fillId="0" borderId="0" xfId="37" applyNumberFormat="1" applyFont="1" applyFill="1" applyBorder="1" applyAlignment="1" applyProtection="1">
      <protection locked="0"/>
    </xf>
    <xf numFmtId="0" fontId="0" fillId="0" borderId="12" xfId="0" applyFont="1" applyBorder="1" applyProtection="1">
      <protection hidden="1"/>
    </xf>
    <xf numFmtId="0" fontId="0" fillId="0" borderId="12" xfId="0" applyBorder="1" applyProtection="1">
      <protection hidden="1"/>
    </xf>
    <xf numFmtId="0" fontId="0" fillId="0" borderId="0" xfId="0" applyProtection="1">
      <protection hidden="1"/>
    </xf>
    <xf numFmtId="4" fontId="29" fillId="25" borderId="54" xfId="37" applyNumberFormat="1" applyFont="1" applyFill="1" applyBorder="1" applyAlignment="1" applyProtection="1">
      <alignment horizontal="center" vertical="center"/>
      <protection locked="0"/>
    </xf>
    <xf numFmtId="1" fontId="79" fillId="42" borderId="12" xfId="37" applyNumberFormat="1" applyFont="1" applyFill="1" applyBorder="1" applyProtection="1">
      <protection locked="0"/>
    </xf>
    <xf numFmtId="0" fontId="29" fillId="25" borderId="54" xfId="37" applyFont="1" applyFill="1" applyBorder="1" applyAlignment="1" applyProtection="1">
      <alignment horizontal="center" vertical="center"/>
      <protection locked="0"/>
    </xf>
    <xf numFmtId="0" fontId="79" fillId="42" borderId="12" xfId="37" applyFont="1" applyFill="1" applyBorder="1" applyProtection="1">
      <protection locked="0"/>
    </xf>
    <xf numFmtId="0" fontId="27" fillId="24" borderId="12" xfId="37" applyFont="1" applyFill="1" applyBorder="1" applyProtection="1">
      <protection locked="0"/>
    </xf>
    <xf numFmtId="0" fontId="0" fillId="0" borderId="0" xfId="0" applyFill="1"/>
    <xf numFmtId="0" fontId="41" fillId="0" borderId="0" xfId="36" applyFont="1" applyFill="1"/>
    <xf numFmtId="3" fontId="62" fillId="0" borderId="0" xfId="37" applyNumberFormat="1" applyFont="1" applyFill="1" applyBorder="1" applyAlignment="1" applyProtection="1">
      <alignment horizontal="center"/>
      <protection locked="0"/>
    </xf>
    <xf numFmtId="0" fontId="80" fillId="0" borderId="0" xfId="0" applyFont="1"/>
    <xf numFmtId="1" fontId="40" fillId="0" borderId="0" xfId="0" applyNumberFormat="1" applyFont="1" applyFill="1" applyAlignment="1">
      <alignment horizontal="center"/>
    </xf>
    <xf numFmtId="0" fontId="35" fillId="28" borderId="40" xfId="0" applyFont="1" applyFill="1" applyBorder="1" applyAlignment="1" applyProtection="1">
      <alignment horizontal="center" vertical="center"/>
      <protection hidden="1"/>
    </xf>
    <xf numFmtId="0" fontId="35" fillId="28" borderId="41" xfId="0" applyFont="1" applyFill="1" applyBorder="1" applyAlignment="1" applyProtection="1">
      <alignment horizontal="center" vertical="center"/>
      <protection hidden="1"/>
    </xf>
    <xf numFmtId="0" fontId="35" fillId="28" borderId="42" xfId="0" applyFont="1" applyFill="1" applyBorder="1" applyAlignment="1" applyProtection="1">
      <alignment horizontal="center" vertical="center"/>
      <protection hidden="1"/>
    </xf>
    <xf numFmtId="0" fontId="31" fillId="28" borderId="12" xfId="0" applyNumberFormat="1" applyFont="1" applyFill="1" applyBorder="1" applyAlignment="1" applyProtection="1">
      <alignment horizontal="center" vertical="center"/>
      <protection hidden="1"/>
    </xf>
    <xf numFmtId="0" fontId="31" fillId="28" borderId="27" xfId="0" applyNumberFormat="1" applyFont="1" applyFill="1" applyBorder="1" applyAlignment="1" applyProtection="1">
      <alignment horizontal="center" vertical="center"/>
      <protection hidden="1"/>
    </xf>
    <xf numFmtId="0" fontId="35" fillId="28" borderId="29" xfId="0" applyFont="1" applyFill="1" applyBorder="1" applyAlignment="1" applyProtection="1">
      <alignment horizontal="center" vertical="center"/>
      <protection hidden="1"/>
    </xf>
    <xf numFmtId="0" fontId="35" fillId="28" borderId="27" xfId="0" applyFont="1" applyFill="1" applyBorder="1" applyAlignment="1" applyProtection="1">
      <alignment horizontal="center" vertical="center"/>
      <protection hidden="1"/>
    </xf>
    <xf numFmtId="0" fontId="35" fillId="28" borderId="15" xfId="0" applyFont="1" applyFill="1" applyBorder="1" applyAlignment="1" applyProtection="1">
      <alignment horizontal="center" vertical="center"/>
      <protection hidden="1"/>
    </xf>
    <xf numFmtId="0" fontId="21" fillId="28" borderId="39" xfId="0" applyFont="1" applyFill="1" applyBorder="1" applyAlignment="1" applyProtection="1">
      <alignment horizontal="center" vertical="center"/>
      <protection hidden="1"/>
    </xf>
    <xf numFmtId="0" fontId="21" fillId="28" borderId="23" xfId="0" applyFont="1" applyFill="1" applyBorder="1" applyAlignment="1" applyProtection="1">
      <alignment horizontal="center" vertical="center"/>
      <protection hidden="1"/>
    </xf>
    <xf numFmtId="0" fontId="21" fillId="28" borderId="38" xfId="0" applyFont="1" applyFill="1" applyBorder="1" applyAlignment="1" applyProtection="1">
      <alignment horizontal="center" vertical="center"/>
      <protection hidden="1"/>
    </xf>
    <xf numFmtId="1" fontId="56" fillId="0" borderId="19" xfId="38" applyNumberFormat="1" applyFont="1" applyFill="1" applyBorder="1" applyAlignment="1" applyProtection="1">
      <alignment horizontal="center" vertical="center"/>
      <protection locked="0" hidden="1"/>
    </xf>
    <xf numFmtId="0" fontId="56" fillId="0" borderId="16" xfId="38" applyFont="1" applyFill="1" applyBorder="1" applyAlignment="1" applyProtection="1">
      <alignment horizontal="center" vertical="center"/>
      <protection locked="0" hidden="1"/>
    </xf>
    <xf numFmtId="1" fontId="56" fillId="0" borderId="22" xfId="38" applyNumberFormat="1" applyFont="1" applyFill="1" applyBorder="1" applyAlignment="1" applyProtection="1">
      <alignment horizontal="center" vertical="center"/>
      <protection locked="0" hidden="1"/>
    </xf>
    <xf numFmtId="0" fontId="56" fillId="0" borderId="23" xfId="38" applyFont="1" applyFill="1" applyBorder="1" applyAlignment="1" applyProtection="1">
      <alignment horizontal="center" vertical="center"/>
      <protection locked="0" hidden="1"/>
    </xf>
    <xf numFmtId="1" fontId="21" fillId="0" borderId="22" xfId="38" applyNumberFormat="1" applyFont="1" applyFill="1" applyBorder="1" applyAlignment="1" applyProtection="1">
      <alignment horizontal="center" vertical="center"/>
      <protection hidden="1"/>
    </xf>
    <xf numFmtId="0" fontId="21" fillId="0" borderId="23" xfId="38" applyFont="1" applyFill="1" applyBorder="1" applyAlignment="1" applyProtection="1">
      <alignment horizontal="center" vertical="center"/>
      <protection hidden="1"/>
    </xf>
  </cellXfs>
  <cellStyles count="87">
    <cellStyle name="20% - Акцент1" xfId="1" builtinId="30" customBuiltin="1"/>
    <cellStyle name="20% - Акцент1 2" xfId="64"/>
    <cellStyle name="20% - Акцент2" xfId="2" builtinId="34" customBuiltin="1"/>
    <cellStyle name="20% - Акцент2 2" xfId="68"/>
    <cellStyle name="20% - Акцент3" xfId="3" builtinId="38" customBuiltin="1"/>
    <cellStyle name="20% - Акцент3 2" xfId="72"/>
    <cellStyle name="20% - Акцент4" xfId="4" builtinId="42" customBuiltin="1"/>
    <cellStyle name="20% - Акцент4 2" xfId="76"/>
    <cellStyle name="20% - Акцент5" xfId="5" builtinId="46" customBuiltin="1"/>
    <cellStyle name="20% - Акцент5 2" xfId="80"/>
    <cellStyle name="20% - Акцент6" xfId="6" builtinId="50" customBuiltin="1"/>
    <cellStyle name="20% - Акцент6 2" xfId="84"/>
    <cellStyle name="40% - Акцент1" xfId="7" builtinId="31" customBuiltin="1"/>
    <cellStyle name="40% - Акцент1 2" xfId="65"/>
    <cellStyle name="40% - Акцент2" xfId="8" builtinId="35" customBuiltin="1"/>
    <cellStyle name="40% - Акцент2 2" xfId="69"/>
    <cellStyle name="40% - Акцент3" xfId="9" builtinId="39" customBuiltin="1"/>
    <cellStyle name="40% - Акцент3 2" xfId="73"/>
    <cellStyle name="40% - Акцент4" xfId="10" builtinId="43" customBuiltin="1"/>
    <cellStyle name="40% - Акцент4 2" xfId="77"/>
    <cellStyle name="40% - Акцент5" xfId="11" builtinId="47" customBuiltin="1"/>
    <cellStyle name="40% - Акцент5 2" xfId="81"/>
    <cellStyle name="40% - Акцент6" xfId="12" builtinId="51" customBuiltin="1"/>
    <cellStyle name="40% - Акцент6 2" xfId="85"/>
    <cellStyle name="60% - Акцент1" xfId="13" builtinId="32" customBuiltin="1"/>
    <cellStyle name="60% - Акцент1 2" xfId="66"/>
    <cellStyle name="60% - Акцент2" xfId="14" builtinId="36" customBuiltin="1"/>
    <cellStyle name="60% - Акцент2 2" xfId="70"/>
    <cellStyle name="60% - Акцент3" xfId="15" builtinId="40" customBuiltin="1"/>
    <cellStyle name="60% - Акцент3 2" xfId="74"/>
    <cellStyle name="60% - Акцент4" xfId="16" builtinId="44" customBuiltin="1"/>
    <cellStyle name="60% - Акцент4 2" xfId="78"/>
    <cellStyle name="60% - Акцент5" xfId="17" builtinId="48" customBuiltin="1"/>
    <cellStyle name="60% - Акцент5 2" xfId="82"/>
    <cellStyle name="60% - Акцент6" xfId="18" builtinId="52" customBuiltin="1"/>
    <cellStyle name="60% - Акцент6 2" xfId="86"/>
    <cellStyle name="Акцент1" xfId="19" builtinId="29" customBuiltin="1"/>
    <cellStyle name="Акцент1 2" xfId="63"/>
    <cellStyle name="Акцент2" xfId="20" builtinId="33" customBuiltin="1"/>
    <cellStyle name="Акцент2 2" xfId="67"/>
    <cellStyle name="Акцент3" xfId="21" builtinId="37" customBuiltin="1"/>
    <cellStyle name="Акцент3 2" xfId="71"/>
    <cellStyle name="Акцент4" xfId="22" builtinId="41" customBuiltin="1"/>
    <cellStyle name="Акцент4 2" xfId="75"/>
    <cellStyle name="Акцент5" xfId="23" builtinId="45" customBuiltin="1"/>
    <cellStyle name="Акцент5 2" xfId="79"/>
    <cellStyle name="Акцент6" xfId="24" builtinId="49" customBuiltin="1"/>
    <cellStyle name="Акцент6 2" xfId="83"/>
    <cellStyle name="Ввод " xfId="25" builtinId="20" customBuiltin="1"/>
    <cellStyle name="Ввод  2" xfId="54"/>
    <cellStyle name="Вывод" xfId="26" builtinId="21" customBuiltin="1"/>
    <cellStyle name="Вывод 2" xfId="55"/>
    <cellStyle name="Вычисление" xfId="27" builtinId="22" customBuiltin="1"/>
    <cellStyle name="Вычисление 2" xfId="56"/>
    <cellStyle name="Заголовок 1" xfId="28" builtinId="16" customBuiltin="1"/>
    <cellStyle name="Заголовок 1 2" xfId="47"/>
    <cellStyle name="Заголовок 2" xfId="29" builtinId="17" customBuiltin="1"/>
    <cellStyle name="Заголовок 2 2" xfId="48"/>
    <cellStyle name="Заголовок 3" xfId="30" builtinId="18" customBuiltin="1"/>
    <cellStyle name="Заголовок 3 2" xfId="49"/>
    <cellStyle name="Заголовок 4" xfId="31" builtinId="19" customBuiltin="1"/>
    <cellStyle name="Заголовок 4 2" xfId="50"/>
    <cellStyle name="Итог" xfId="32" builtinId="25" customBuiltin="1"/>
    <cellStyle name="Итог 2" xfId="62"/>
    <cellStyle name="Контрольная ячейка" xfId="33" builtinId="23" customBuiltin="1"/>
    <cellStyle name="Контрольная ячейка 2" xfId="58"/>
    <cellStyle name="Название" xfId="34" builtinId="15" customBuiltin="1"/>
    <cellStyle name="Название 2" xfId="46"/>
    <cellStyle name="Нейтральный" xfId="35" builtinId="28" customBuiltin="1"/>
    <cellStyle name="Нейтральный 2" xfId="53"/>
    <cellStyle name="Обычный" xfId="0" builtinId="0"/>
    <cellStyle name="Обычный 2" xfId="45"/>
    <cellStyle name="Обычный_rating231007" xfId="36"/>
    <cellStyle name="Обычный_TTWR 20070301" xfId="37"/>
    <cellStyle name="Обычный_TurnirAuto6" xfId="38"/>
    <cellStyle name="Плохой" xfId="39" builtinId="27" customBuiltin="1"/>
    <cellStyle name="Плохой 2" xfId="52"/>
    <cellStyle name="Пояснение" xfId="40" builtinId="53" customBuiltin="1"/>
    <cellStyle name="Пояснение 2" xfId="61"/>
    <cellStyle name="Примечание" xfId="41" builtinId="10" customBuiltin="1"/>
    <cellStyle name="Примечание 2" xfId="60"/>
    <cellStyle name="Связанная ячейка" xfId="42" builtinId="24" customBuiltin="1"/>
    <cellStyle name="Связанная ячейка 2" xfId="57"/>
    <cellStyle name="Текст предупреждения" xfId="43" builtinId="11" customBuiltin="1"/>
    <cellStyle name="Текст предупреждения 2" xfId="59"/>
    <cellStyle name="Хороший" xfId="44" builtinId="26" customBuiltin="1"/>
    <cellStyle name="Хороший 2" xfId="51"/>
  </cellStyles>
  <dxfs count="6549"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29"/>
        </patternFill>
      </fill>
    </dxf>
    <dxf>
      <fill>
        <patternFill>
          <bgColor indexed="13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9FF99"/>
        </patternFill>
      </fill>
    </dxf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 patternType="solid">
          <fgColor indexed="60"/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ill>
        <patternFill patternType="solid">
          <fgColor indexed="60"/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BFBF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">
    <tabColor indexed="18"/>
  </sheetPr>
  <dimension ref="A1:J4273"/>
  <sheetViews>
    <sheetView zoomScale="85" workbookViewId="0">
      <pane ySplit="1" topLeftCell="A2" activePane="bottomLeft" state="frozenSplit"/>
      <selection activeCell="H22" sqref="H22"/>
      <selection pane="bottomLeft" activeCell="I23" sqref="I23"/>
    </sheetView>
  </sheetViews>
  <sheetFormatPr defaultColWidth="9.125" defaultRowHeight="14.1" customHeight="1"/>
  <cols>
    <col min="1" max="1" width="10.125" style="28" bestFit="1" customWidth="1"/>
    <col min="2" max="2" width="6.625" bestFit="1" customWidth="1"/>
    <col min="3" max="3" width="8.25" bestFit="1" customWidth="1"/>
    <col min="4" max="4" width="25.75" bestFit="1" customWidth="1"/>
    <col min="5" max="6" width="9.375" customWidth="1"/>
    <col min="7" max="7" width="10.125" bestFit="1" customWidth="1"/>
    <col min="8" max="8" width="10.625" bestFit="1" customWidth="1"/>
  </cols>
  <sheetData>
    <row r="1" spans="1:10" ht="14.1" customHeight="1">
      <c r="B1" t="s">
        <v>10</v>
      </c>
      <c r="C1" t="s">
        <v>11</v>
      </c>
      <c r="D1" t="s">
        <v>12</v>
      </c>
      <c r="E1" t="s">
        <v>13</v>
      </c>
      <c r="H1" s="194"/>
      <c r="J1" s="193" t="s">
        <v>4192</v>
      </c>
    </row>
    <row r="2" spans="1:10" ht="14.1" customHeight="1">
      <c r="A2" s="3"/>
      <c r="B2" s="4"/>
      <c r="C2">
        <v>4491</v>
      </c>
      <c r="D2" t="s">
        <v>3564</v>
      </c>
      <c r="E2">
        <v>0</v>
      </c>
    </row>
    <row r="3" spans="1:10" ht="14.1" customHeight="1">
      <c r="A3" s="3"/>
      <c r="B3" s="4"/>
      <c r="C3">
        <v>5026</v>
      </c>
      <c r="D3" t="s">
        <v>3775</v>
      </c>
      <c r="E3">
        <v>0</v>
      </c>
    </row>
    <row r="4" spans="1:10" ht="14.1" customHeight="1">
      <c r="A4" s="3"/>
      <c r="B4" s="4"/>
      <c r="C4">
        <v>5189</v>
      </c>
      <c r="D4" t="s">
        <v>4193</v>
      </c>
      <c r="E4">
        <v>0</v>
      </c>
    </row>
    <row r="5" spans="1:10" ht="14.1" customHeight="1">
      <c r="A5" s="3"/>
      <c r="B5" s="4"/>
      <c r="C5">
        <v>3015</v>
      </c>
      <c r="D5" t="s">
        <v>844</v>
      </c>
      <c r="E5">
        <v>0</v>
      </c>
    </row>
    <row r="6" spans="1:10" ht="14.1" customHeight="1">
      <c r="A6" s="3"/>
      <c r="B6" s="5"/>
      <c r="C6">
        <v>293</v>
      </c>
      <c r="D6" t="s">
        <v>290</v>
      </c>
      <c r="E6">
        <v>435</v>
      </c>
    </row>
    <row r="7" spans="1:10" ht="14.1" customHeight="1">
      <c r="A7" s="3"/>
      <c r="B7" s="4"/>
      <c r="C7">
        <v>566</v>
      </c>
      <c r="D7" t="s">
        <v>845</v>
      </c>
      <c r="E7">
        <v>592</v>
      </c>
    </row>
    <row r="8" spans="1:10" ht="14.1" customHeight="1">
      <c r="A8" s="3"/>
      <c r="B8" s="4"/>
      <c r="C8">
        <v>4772</v>
      </c>
      <c r="D8" t="s">
        <v>3776</v>
      </c>
      <c r="E8">
        <v>578</v>
      </c>
    </row>
    <row r="9" spans="1:10" ht="14.1" customHeight="1">
      <c r="A9" s="3"/>
      <c r="B9" s="4"/>
      <c r="C9">
        <v>307</v>
      </c>
      <c r="D9" t="s">
        <v>291</v>
      </c>
      <c r="E9">
        <v>303</v>
      </c>
    </row>
    <row r="10" spans="1:10" ht="14.1" customHeight="1">
      <c r="A10" s="3"/>
      <c r="B10" s="5"/>
      <c r="C10">
        <v>4574</v>
      </c>
      <c r="D10" t="s">
        <v>3565</v>
      </c>
      <c r="E10">
        <v>601</v>
      </c>
    </row>
    <row r="11" spans="1:10" ht="14.1" customHeight="1">
      <c r="A11" s="3"/>
      <c r="B11" s="4"/>
      <c r="C11">
        <v>585</v>
      </c>
      <c r="D11" t="s">
        <v>846</v>
      </c>
      <c r="E11">
        <v>544</v>
      </c>
    </row>
    <row r="12" spans="1:10" ht="14.1" customHeight="1">
      <c r="A12" s="3"/>
      <c r="B12" s="4"/>
      <c r="C12">
        <v>4376</v>
      </c>
      <c r="D12" t="s">
        <v>3566</v>
      </c>
      <c r="E12">
        <v>420</v>
      </c>
    </row>
    <row r="13" spans="1:10" ht="14.1" customHeight="1">
      <c r="A13" s="3"/>
      <c r="B13" s="4"/>
      <c r="C13">
        <v>208</v>
      </c>
      <c r="D13" t="s">
        <v>292</v>
      </c>
      <c r="E13">
        <v>632</v>
      </c>
    </row>
    <row r="14" spans="1:10" ht="14.1" customHeight="1">
      <c r="A14" s="3"/>
      <c r="B14" s="4"/>
      <c r="C14">
        <v>779</v>
      </c>
      <c r="D14" t="s">
        <v>293</v>
      </c>
      <c r="E14">
        <v>764</v>
      </c>
    </row>
    <row r="15" spans="1:10" ht="14.1" customHeight="1">
      <c r="A15" s="3"/>
      <c r="B15" s="4"/>
      <c r="C15">
        <v>1750</v>
      </c>
      <c r="D15" t="s">
        <v>847</v>
      </c>
      <c r="E15">
        <v>1211</v>
      </c>
    </row>
    <row r="16" spans="1:10" ht="14.1" customHeight="1">
      <c r="A16" s="3"/>
      <c r="B16" s="4"/>
      <c r="C16">
        <v>2457</v>
      </c>
      <c r="D16" t="s">
        <v>848</v>
      </c>
      <c r="E16">
        <v>569</v>
      </c>
    </row>
    <row r="17" spans="1:5" ht="14.1" customHeight="1">
      <c r="A17" s="3"/>
      <c r="B17" s="4"/>
      <c r="C17">
        <v>2486</v>
      </c>
      <c r="D17" t="s">
        <v>849</v>
      </c>
      <c r="E17">
        <v>666</v>
      </c>
    </row>
    <row r="18" spans="1:5" ht="14.1" customHeight="1">
      <c r="A18" s="3"/>
      <c r="B18" s="4"/>
      <c r="C18">
        <v>246</v>
      </c>
      <c r="D18" t="s">
        <v>90</v>
      </c>
      <c r="E18">
        <v>285</v>
      </c>
    </row>
    <row r="19" spans="1:5" ht="14.1" customHeight="1">
      <c r="A19" s="3"/>
      <c r="B19" s="4"/>
      <c r="C19">
        <v>4269</v>
      </c>
      <c r="D19" t="s">
        <v>850</v>
      </c>
      <c r="E19">
        <v>420</v>
      </c>
    </row>
    <row r="20" spans="1:5" ht="14.1" customHeight="1">
      <c r="A20" s="3"/>
      <c r="B20" s="4"/>
      <c r="C20">
        <v>953</v>
      </c>
      <c r="D20" t="s">
        <v>851</v>
      </c>
      <c r="E20">
        <v>629</v>
      </c>
    </row>
    <row r="21" spans="1:5" ht="14.1" customHeight="1">
      <c r="A21" s="3"/>
      <c r="B21" s="4"/>
      <c r="C21">
        <v>1033</v>
      </c>
      <c r="D21" t="s">
        <v>852</v>
      </c>
      <c r="E21">
        <v>490</v>
      </c>
    </row>
    <row r="22" spans="1:5" ht="14.1" customHeight="1">
      <c r="A22" s="3"/>
      <c r="B22" s="4"/>
      <c r="C22">
        <v>1971</v>
      </c>
      <c r="D22" t="s">
        <v>853</v>
      </c>
      <c r="E22">
        <v>737</v>
      </c>
    </row>
    <row r="23" spans="1:5" ht="14.1" customHeight="1">
      <c r="A23" s="3"/>
      <c r="B23" s="4"/>
      <c r="C23">
        <v>4193</v>
      </c>
      <c r="D23" t="s">
        <v>854</v>
      </c>
      <c r="E23">
        <v>436</v>
      </c>
    </row>
    <row r="24" spans="1:5" ht="14.1" customHeight="1">
      <c r="A24" s="3"/>
      <c r="B24" s="4"/>
      <c r="C24">
        <v>1645</v>
      </c>
      <c r="D24" t="s">
        <v>855</v>
      </c>
      <c r="E24">
        <v>650</v>
      </c>
    </row>
    <row r="25" spans="1:5" ht="14.1" customHeight="1">
      <c r="A25" s="3"/>
      <c r="B25" s="4"/>
      <c r="C25">
        <v>3080</v>
      </c>
      <c r="D25" t="s">
        <v>856</v>
      </c>
      <c r="E25">
        <v>0</v>
      </c>
    </row>
    <row r="26" spans="1:5" ht="14.1" customHeight="1">
      <c r="A26" s="3"/>
      <c r="B26" s="4"/>
      <c r="C26">
        <v>4321</v>
      </c>
      <c r="D26" t="s">
        <v>857</v>
      </c>
      <c r="E26">
        <v>517</v>
      </c>
    </row>
    <row r="27" spans="1:5" ht="14.1" customHeight="1">
      <c r="A27" s="3"/>
      <c r="B27" s="4"/>
      <c r="C27">
        <v>2261</v>
      </c>
      <c r="D27" t="s">
        <v>858</v>
      </c>
      <c r="E27">
        <v>943</v>
      </c>
    </row>
    <row r="28" spans="1:5" ht="14.1" customHeight="1">
      <c r="A28" s="3"/>
      <c r="B28" s="4"/>
      <c r="C28">
        <v>2195</v>
      </c>
      <c r="D28" t="s">
        <v>859</v>
      </c>
      <c r="E28">
        <v>459</v>
      </c>
    </row>
    <row r="29" spans="1:5" ht="14.1" customHeight="1">
      <c r="A29" s="3"/>
      <c r="B29" s="4"/>
      <c r="C29">
        <v>3115</v>
      </c>
      <c r="D29" t="s">
        <v>860</v>
      </c>
      <c r="E29">
        <v>0</v>
      </c>
    </row>
    <row r="30" spans="1:5" ht="14.1" customHeight="1">
      <c r="A30" s="3"/>
      <c r="B30" s="4"/>
      <c r="C30">
        <v>1176</v>
      </c>
      <c r="D30" t="s">
        <v>861</v>
      </c>
      <c r="E30">
        <v>544</v>
      </c>
    </row>
    <row r="31" spans="1:5" ht="14.1" customHeight="1">
      <c r="A31" s="3"/>
      <c r="B31" s="4"/>
      <c r="C31">
        <v>1751</v>
      </c>
      <c r="D31" t="s">
        <v>862</v>
      </c>
      <c r="E31">
        <v>996</v>
      </c>
    </row>
    <row r="32" spans="1:5" ht="14.1" customHeight="1">
      <c r="A32" s="3"/>
      <c r="B32" s="4"/>
      <c r="C32">
        <v>4791</v>
      </c>
      <c r="D32" t="s">
        <v>3777</v>
      </c>
      <c r="E32">
        <v>431</v>
      </c>
    </row>
    <row r="33" spans="1:5" ht="14.1" customHeight="1">
      <c r="A33" s="3"/>
      <c r="B33" s="5"/>
      <c r="C33">
        <v>4744</v>
      </c>
      <c r="D33" t="s">
        <v>3778</v>
      </c>
      <c r="E33">
        <v>590</v>
      </c>
    </row>
    <row r="34" spans="1:5" ht="14.1" customHeight="1">
      <c r="A34" s="3"/>
      <c r="B34" s="4"/>
      <c r="C34">
        <v>1789</v>
      </c>
      <c r="D34" t="s">
        <v>863</v>
      </c>
      <c r="E34">
        <v>484</v>
      </c>
    </row>
    <row r="35" spans="1:5" ht="14.1" customHeight="1">
      <c r="A35" s="3"/>
      <c r="B35" s="5"/>
      <c r="C35">
        <v>4216</v>
      </c>
      <c r="D35" t="s">
        <v>864</v>
      </c>
      <c r="E35">
        <v>511</v>
      </c>
    </row>
    <row r="36" spans="1:5" ht="14.1" customHeight="1">
      <c r="A36" s="3"/>
      <c r="B36" s="4"/>
      <c r="C36">
        <v>4545</v>
      </c>
      <c r="D36" t="s">
        <v>3567</v>
      </c>
      <c r="E36">
        <v>561</v>
      </c>
    </row>
    <row r="37" spans="1:5" ht="14.1" customHeight="1">
      <c r="A37" s="3"/>
      <c r="B37" s="4"/>
      <c r="C37">
        <v>1710</v>
      </c>
      <c r="D37" t="s">
        <v>865</v>
      </c>
      <c r="E37">
        <v>0</v>
      </c>
    </row>
    <row r="38" spans="1:5" ht="14.1" customHeight="1">
      <c r="A38" s="3"/>
      <c r="B38" s="4"/>
      <c r="C38">
        <v>693</v>
      </c>
      <c r="D38" t="s">
        <v>294</v>
      </c>
      <c r="E38">
        <v>386</v>
      </c>
    </row>
    <row r="39" spans="1:5" ht="14.1" customHeight="1">
      <c r="A39" s="3"/>
      <c r="B39" s="4"/>
      <c r="C39">
        <v>2977</v>
      </c>
      <c r="D39" t="s">
        <v>866</v>
      </c>
      <c r="E39">
        <v>495</v>
      </c>
    </row>
    <row r="40" spans="1:5" ht="14.1" customHeight="1">
      <c r="A40" s="3"/>
      <c r="B40" s="4"/>
      <c r="C40">
        <v>234</v>
      </c>
      <c r="D40" t="s">
        <v>91</v>
      </c>
      <c r="E40">
        <v>305</v>
      </c>
    </row>
    <row r="41" spans="1:5" ht="14.1" customHeight="1">
      <c r="A41" s="3"/>
      <c r="B41" s="4"/>
      <c r="C41">
        <v>2657</v>
      </c>
      <c r="D41" t="s">
        <v>867</v>
      </c>
      <c r="E41">
        <v>726</v>
      </c>
    </row>
    <row r="42" spans="1:5" ht="14.1" customHeight="1">
      <c r="A42" s="3"/>
      <c r="B42" s="4"/>
      <c r="C42">
        <v>590</v>
      </c>
      <c r="D42" t="s">
        <v>295</v>
      </c>
      <c r="E42">
        <v>547</v>
      </c>
    </row>
    <row r="43" spans="1:5" ht="14.1" customHeight="1">
      <c r="A43" s="3"/>
      <c r="B43" s="4"/>
      <c r="C43">
        <v>1677</v>
      </c>
      <c r="D43" t="s">
        <v>868</v>
      </c>
      <c r="E43">
        <v>722</v>
      </c>
    </row>
    <row r="44" spans="1:5" ht="14.1" customHeight="1">
      <c r="A44" s="3"/>
      <c r="B44" s="4"/>
      <c r="C44">
        <v>2405</v>
      </c>
      <c r="D44" t="s">
        <v>869</v>
      </c>
      <c r="E44">
        <v>286</v>
      </c>
    </row>
    <row r="45" spans="1:5" ht="14.1" customHeight="1">
      <c r="A45" s="3"/>
      <c r="B45" s="4"/>
      <c r="C45">
        <v>627</v>
      </c>
      <c r="D45" t="s">
        <v>870</v>
      </c>
      <c r="E45">
        <v>815</v>
      </c>
    </row>
    <row r="46" spans="1:5" ht="14.1" customHeight="1">
      <c r="A46" s="3"/>
      <c r="B46" s="4"/>
      <c r="C46">
        <v>1030</v>
      </c>
      <c r="D46" t="s">
        <v>871</v>
      </c>
      <c r="E46">
        <v>576</v>
      </c>
    </row>
    <row r="47" spans="1:5" ht="14.1" customHeight="1">
      <c r="A47" s="3"/>
      <c r="B47" s="4"/>
      <c r="C47">
        <v>4507</v>
      </c>
      <c r="D47" t="s">
        <v>3568</v>
      </c>
      <c r="E47">
        <v>755</v>
      </c>
    </row>
    <row r="48" spans="1:5" ht="14.1" customHeight="1">
      <c r="A48" s="3"/>
      <c r="B48" s="4"/>
      <c r="C48">
        <v>1576</v>
      </c>
      <c r="D48" t="s">
        <v>872</v>
      </c>
      <c r="E48">
        <v>547</v>
      </c>
    </row>
    <row r="49" spans="1:5" ht="14.1" customHeight="1">
      <c r="A49" s="3"/>
      <c r="B49" s="4"/>
      <c r="C49">
        <v>634</v>
      </c>
      <c r="D49" t="s">
        <v>296</v>
      </c>
      <c r="E49">
        <v>664</v>
      </c>
    </row>
    <row r="50" spans="1:5" ht="14.1" customHeight="1">
      <c r="A50" s="3"/>
      <c r="B50" s="4"/>
      <c r="C50">
        <v>3332</v>
      </c>
      <c r="D50" t="s">
        <v>873</v>
      </c>
      <c r="E50">
        <v>398</v>
      </c>
    </row>
    <row r="51" spans="1:5" ht="14.1" customHeight="1">
      <c r="A51" s="3"/>
      <c r="B51" s="4"/>
      <c r="C51">
        <v>4631</v>
      </c>
      <c r="D51" t="s">
        <v>3779</v>
      </c>
      <c r="E51">
        <v>378</v>
      </c>
    </row>
    <row r="52" spans="1:5" ht="14.1" customHeight="1">
      <c r="A52" s="3"/>
      <c r="B52" s="4"/>
      <c r="C52">
        <v>3137</v>
      </c>
      <c r="D52" t="s">
        <v>874</v>
      </c>
      <c r="E52">
        <v>0</v>
      </c>
    </row>
    <row r="53" spans="1:5" ht="14.1" customHeight="1">
      <c r="A53" s="3"/>
      <c r="B53" s="4"/>
      <c r="C53">
        <v>321</v>
      </c>
      <c r="D53" t="s">
        <v>297</v>
      </c>
      <c r="E53">
        <v>535</v>
      </c>
    </row>
    <row r="54" spans="1:5" ht="14.1" customHeight="1">
      <c r="A54" s="3"/>
      <c r="B54" s="4"/>
      <c r="C54">
        <v>3336</v>
      </c>
      <c r="D54" t="s">
        <v>875</v>
      </c>
      <c r="E54">
        <v>0</v>
      </c>
    </row>
    <row r="55" spans="1:5" ht="14.1" customHeight="1">
      <c r="A55" s="3"/>
      <c r="B55" s="4"/>
      <c r="C55">
        <v>1934</v>
      </c>
      <c r="D55" t="s">
        <v>876</v>
      </c>
      <c r="E55">
        <v>706</v>
      </c>
    </row>
    <row r="56" spans="1:5" ht="14.1" customHeight="1">
      <c r="A56" s="3"/>
      <c r="B56" s="4"/>
      <c r="C56">
        <v>2501</v>
      </c>
      <c r="D56" t="s">
        <v>877</v>
      </c>
      <c r="E56">
        <v>567</v>
      </c>
    </row>
    <row r="57" spans="1:5" ht="14.1" customHeight="1">
      <c r="A57" s="3"/>
      <c r="B57" s="4"/>
      <c r="C57">
        <v>2500</v>
      </c>
      <c r="D57" t="s">
        <v>878</v>
      </c>
      <c r="E57">
        <v>491</v>
      </c>
    </row>
    <row r="58" spans="1:5" ht="14.1" customHeight="1">
      <c r="A58" s="3"/>
      <c r="B58" s="4"/>
      <c r="C58">
        <v>4669</v>
      </c>
      <c r="D58" t="s">
        <v>3780</v>
      </c>
      <c r="E58">
        <v>778</v>
      </c>
    </row>
    <row r="59" spans="1:5" ht="14.1" customHeight="1">
      <c r="A59" s="3"/>
      <c r="B59" s="4"/>
      <c r="C59">
        <v>2154</v>
      </c>
      <c r="D59" t="s">
        <v>879</v>
      </c>
      <c r="E59">
        <v>531</v>
      </c>
    </row>
    <row r="60" spans="1:5" ht="14.1" customHeight="1">
      <c r="A60" s="3"/>
      <c r="B60" s="4"/>
      <c r="C60">
        <v>3162</v>
      </c>
      <c r="D60" t="s">
        <v>880</v>
      </c>
      <c r="E60">
        <v>0</v>
      </c>
    </row>
    <row r="61" spans="1:5" ht="14.1" customHeight="1">
      <c r="A61" s="3"/>
      <c r="B61" s="4"/>
      <c r="C61">
        <v>5101</v>
      </c>
      <c r="D61" t="s">
        <v>4194</v>
      </c>
      <c r="E61">
        <v>0</v>
      </c>
    </row>
    <row r="62" spans="1:5" ht="14.1" customHeight="1">
      <c r="A62" s="3"/>
      <c r="B62" s="4"/>
      <c r="C62">
        <v>2682</v>
      </c>
      <c r="D62" t="s">
        <v>881</v>
      </c>
      <c r="E62">
        <v>605</v>
      </c>
    </row>
    <row r="63" spans="1:5" ht="14.1" customHeight="1">
      <c r="A63" s="3"/>
      <c r="B63" s="4"/>
      <c r="C63">
        <v>761</v>
      </c>
      <c r="D63" t="s">
        <v>298</v>
      </c>
      <c r="E63">
        <v>520</v>
      </c>
    </row>
    <row r="64" spans="1:5" ht="14.1" customHeight="1">
      <c r="A64" s="3"/>
      <c r="B64" s="4"/>
      <c r="C64">
        <v>210</v>
      </c>
      <c r="D64" t="s">
        <v>299</v>
      </c>
      <c r="E64">
        <v>666</v>
      </c>
    </row>
    <row r="65" spans="1:5" ht="14.1" customHeight="1">
      <c r="A65" s="3"/>
      <c r="B65" s="4"/>
      <c r="C65">
        <v>2364</v>
      </c>
      <c r="D65" t="s">
        <v>882</v>
      </c>
      <c r="E65">
        <v>839</v>
      </c>
    </row>
    <row r="66" spans="1:5" ht="14.1" customHeight="1">
      <c r="A66" s="3"/>
      <c r="B66" s="4"/>
      <c r="C66">
        <v>3244</v>
      </c>
      <c r="D66" t="s">
        <v>883</v>
      </c>
      <c r="E66">
        <v>0</v>
      </c>
    </row>
    <row r="67" spans="1:5" ht="14.1" customHeight="1">
      <c r="A67" s="3"/>
      <c r="B67" s="4"/>
      <c r="C67">
        <v>3169</v>
      </c>
      <c r="D67" t="s">
        <v>884</v>
      </c>
      <c r="E67">
        <v>0</v>
      </c>
    </row>
    <row r="68" spans="1:5" ht="14.1" customHeight="1">
      <c r="A68" s="3"/>
      <c r="B68" s="4"/>
      <c r="C68">
        <v>2252</v>
      </c>
      <c r="D68" t="s">
        <v>885</v>
      </c>
      <c r="E68">
        <v>291</v>
      </c>
    </row>
    <row r="69" spans="1:5" ht="14.1" customHeight="1">
      <c r="A69" s="3"/>
      <c r="B69" s="4"/>
      <c r="C69">
        <v>3073</v>
      </c>
      <c r="D69" t="s">
        <v>886</v>
      </c>
      <c r="E69">
        <v>0</v>
      </c>
    </row>
    <row r="70" spans="1:5" ht="14.1" customHeight="1">
      <c r="A70" s="3"/>
      <c r="B70" s="4"/>
      <c r="C70">
        <v>302</v>
      </c>
      <c r="D70" t="s">
        <v>92</v>
      </c>
      <c r="E70">
        <v>499</v>
      </c>
    </row>
    <row r="71" spans="1:5" ht="14.1" customHeight="1">
      <c r="A71" s="3"/>
      <c r="B71" s="4"/>
      <c r="C71">
        <v>2808</v>
      </c>
      <c r="D71" t="s">
        <v>887</v>
      </c>
      <c r="E71">
        <v>486</v>
      </c>
    </row>
    <row r="72" spans="1:5" ht="14.1" customHeight="1">
      <c r="A72" s="3"/>
      <c r="B72" s="4"/>
      <c r="C72">
        <v>1495</v>
      </c>
      <c r="D72" t="s">
        <v>888</v>
      </c>
      <c r="E72">
        <v>822</v>
      </c>
    </row>
    <row r="73" spans="1:5" ht="14.1" customHeight="1">
      <c r="A73" s="3"/>
      <c r="B73" s="4"/>
      <c r="C73">
        <v>624</v>
      </c>
      <c r="D73" t="s">
        <v>300</v>
      </c>
      <c r="E73">
        <v>845</v>
      </c>
    </row>
    <row r="74" spans="1:5" ht="14.1" customHeight="1">
      <c r="A74" s="3"/>
      <c r="B74" s="4"/>
      <c r="C74">
        <v>213</v>
      </c>
      <c r="D74" t="s">
        <v>301</v>
      </c>
      <c r="E74">
        <v>566</v>
      </c>
    </row>
    <row r="75" spans="1:5" ht="14.1" customHeight="1">
      <c r="A75" s="3"/>
      <c r="B75" s="4"/>
      <c r="C75">
        <v>3089</v>
      </c>
      <c r="D75" t="s">
        <v>889</v>
      </c>
      <c r="E75">
        <v>0</v>
      </c>
    </row>
    <row r="76" spans="1:5" ht="14.1" customHeight="1">
      <c r="A76" s="3"/>
      <c r="B76" s="5"/>
      <c r="C76">
        <v>1360</v>
      </c>
      <c r="D76" t="s">
        <v>890</v>
      </c>
      <c r="E76">
        <v>709</v>
      </c>
    </row>
    <row r="77" spans="1:5" ht="14.1" customHeight="1">
      <c r="A77" s="3"/>
      <c r="B77" s="5"/>
      <c r="C77">
        <v>1114</v>
      </c>
      <c r="D77" t="s">
        <v>891</v>
      </c>
      <c r="E77">
        <v>575</v>
      </c>
    </row>
    <row r="78" spans="1:5" ht="14.1" customHeight="1">
      <c r="A78" s="3"/>
      <c r="B78" s="4"/>
      <c r="C78">
        <v>1168</v>
      </c>
      <c r="D78" t="s">
        <v>892</v>
      </c>
      <c r="E78">
        <v>700</v>
      </c>
    </row>
    <row r="79" spans="1:5" ht="14.1" customHeight="1">
      <c r="A79" s="3"/>
      <c r="B79" s="4"/>
      <c r="C79">
        <v>291</v>
      </c>
      <c r="D79" t="s">
        <v>302</v>
      </c>
      <c r="E79">
        <v>725</v>
      </c>
    </row>
    <row r="80" spans="1:5" ht="14.1" customHeight="1">
      <c r="A80" s="3"/>
      <c r="B80" s="5"/>
      <c r="C80">
        <v>703</v>
      </c>
      <c r="D80" t="s">
        <v>303</v>
      </c>
      <c r="E80">
        <v>675</v>
      </c>
    </row>
    <row r="81" spans="1:5" ht="14.1" customHeight="1">
      <c r="A81" s="3"/>
      <c r="B81" s="5"/>
      <c r="C81">
        <v>1849</v>
      </c>
      <c r="D81" t="s">
        <v>893</v>
      </c>
      <c r="E81">
        <v>819</v>
      </c>
    </row>
    <row r="82" spans="1:5" ht="14.1" customHeight="1">
      <c r="A82" s="3"/>
      <c r="B82" s="4"/>
      <c r="C82">
        <v>744</v>
      </c>
      <c r="D82" t="s">
        <v>304</v>
      </c>
      <c r="E82">
        <v>784</v>
      </c>
    </row>
    <row r="83" spans="1:5" ht="14.1" customHeight="1">
      <c r="A83" s="3"/>
      <c r="B83" s="4"/>
      <c r="C83">
        <v>1372</v>
      </c>
      <c r="D83" t="s">
        <v>894</v>
      </c>
      <c r="E83">
        <v>757</v>
      </c>
    </row>
    <row r="84" spans="1:5" ht="14.1" customHeight="1">
      <c r="A84" s="3"/>
      <c r="B84" s="4"/>
      <c r="C84">
        <v>2015</v>
      </c>
      <c r="D84" t="s">
        <v>895</v>
      </c>
      <c r="E84">
        <v>497</v>
      </c>
    </row>
    <row r="85" spans="1:5" ht="14.1" customHeight="1">
      <c r="A85" s="3"/>
      <c r="B85" s="4"/>
      <c r="C85">
        <v>2407</v>
      </c>
      <c r="D85" t="s">
        <v>896</v>
      </c>
      <c r="E85">
        <v>911</v>
      </c>
    </row>
    <row r="86" spans="1:5" ht="14.1" customHeight="1">
      <c r="A86" s="3"/>
      <c r="B86" s="4"/>
      <c r="C86">
        <v>4565</v>
      </c>
      <c r="D86" t="s">
        <v>3569</v>
      </c>
      <c r="E86">
        <v>573</v>
      </c>
    </row>
    <row r="87" spans="1:5" ht="14.1" customHeight="1">
      <c r="A87" s="3"/>
      <c r="B87" s="4"/>
      <c r="C87">
        <v>972</v>
      </c>
      <c r="D87" t="s">
        <v>897</v>
      </c>
      <c r="E87">
        <v>493</v>
      </c>
    </row>
    <row r="88" spans="1:5" ht="14.1" customHeight="1">
      <c r="A88" s="3"/>
      <c r="B88" s="4"/>
      <c r="C88">
        <v>5051</v>
      </c>
      <c r="D88" t="s">
        <v>4195</v>
      </c>
      <c r="E88">
        <v>413</v>
      </c>
    </row>
    <row r="89" spans="1:5" ht="14.1" customHeight="1">
      <c r="A89" s="3"/>
      <c r="B89" s="4"/>
      <c r="C89">
        <v>1138</v>
      </c>
      <c r="D89" t="s">
        <v>898</v>
      </c>
      <c r="E89">
        <v>362</v>
      </c>
    </row>
    <row r="90" spans="1:5" ht="14.1" customHeight="1">
      <c r="A90" s="3"/>
      <c r="B90" s="4"/>
      <c r="C90">
        <v>2846</v>
      </c>
      <c r="D90" t="s">
        <v>899</v>
      </c>
      <c r="E90">
        <v>585</v>
      </c>
    </row>
    <row r="91" spans="1:5" ht="14.1" customHeight="1">
      <c r="A91" s="3"/>
      <c r="B91" s="4"/>
      <c r="C91">
        <v>4295</v>
      </c>
      <c r="D91" t="s">
        <v>900</v>
      </c>
      <c r="E91">
        <v>521</v>
      </c>
    </row>
    <row r="92" spans="1:5" ht="14.1" customHeight="1">
      <c r="A92" s="3"/>
      <c r="B92" s="5"/>
      <c r="C92">
        <v>1728</v>
      </c>
      <c r="D92" t="s">
        <v>901</v>
      </c>
      <c r="E92">
        <v>753</v>
      </c>
    </row>
    <row r="93" spans="1:5" ht="14.1" customHeight="1">
      <c r="A93" s="3"/>
      <c r="B93" s="4"/>
      <c r="C93">
        <v>2842</v>
      </c>
      <c r="D93" t="s">
        <v>902</v>
      </c>
      <c r="E93">
        <v>485</v>
      </c>
    </row>
    <row r="94" spans="1:5" ht="14.1" customHeight="1">
      <c r="A94" s="3"/>
      <c r="B94" s="4"/>
      <c r="C94">
        <v>713</v>
      </c>
      <c r="D94" t="s">
        <v>305</v>
      </c>
      <c r="E94">
        <v>561</v>
      </c>
    </row>
    <row r="95" spans="1:5" ht="14.1" customHeight="1">
      <c r="A95" s="3"/>
      <c r="B95" s="4"/>
      <c r="C95">
        <v>1596</v>
      </c>
      <c r="D95" t="s">
        <v>903</v>
      </c>
      <c r="E95">
        <v>567</v>
      </c>
    </row>
    <row r="96" spans="1:5" ht="14.1" customHeight="1">
      <c r="A96" s="3"/>
      <c r="B96" s="5"/>
      <c r="C96">
        <v>2018</v>
      </c>
      <c r="D96" t="s">
        <v>904</v>
      </c>
      <c r="E96">
        <v>466</v>
      </c>
    </row>
    <row r="97" spans="1:5" ht="14.1" customHeight="1">
      <c r="A97" s="3"/>
      <c r="B97" s="4"/>
      <c r="C97">
        <v>1427</v>
      </c>
      <c r="D97" t="s">
        <v>905</v>
      </c>
      <c r="E97">
        <v>447</v>
      </c>
    </row>
    <row r="98" spans="1:5" ht="14.1" customHeight="1">
      <c r="A98" s="3"/>
      <c r="B98" s="4"/>
      <c r="C98">
        <v>168</v>
      </c>
      <c r="D98" t="s">
        <v>906</v>
      </c>
      <c r="E98">
        <v>635</v>
      </c>
    </row>
    <row r="99" spans="1:5" ht="14.1" customHeight="1">
      <c r="A99" s="3"/>
      <c r="B99" s="4"/>
      <c r="C99">
        <v>2329</v>
      </c>
      <c r="D99" t="s">
        <v>907</v>
      </c>
      <c r="E99">
        <v>494</v>
      </c>
    </row>
    <row r="100" spans="1:5" ht="14.1" customHeight="1">
      <c r="A100" s="3"/>
      <c r="B100" s="4"/>
      <c r="C100">
        <v>5186</v>
      </c>
      <c r="D100" t="s">
        <v>4196</v>
      </c>
      <c r="E100">
        <v>482</v>
      </c>
    </row>
    <row r="101" spans="1:5" ht="14.1" customHeight="1">
      <c r="A101" s="3"/>
      <c r="B101" s="5"/>
      <c r="C101">
        <v>3254</v>
      </c>
      <c r="D101" t="s">
        <v>908</v>
      </c>
      <c r="E101">
        <v>0</v>
      </c>
    </row>
    <row r="102" spans="1:5" ht="14.1" customHeight="1">
      <c r="A102" s="3"/>
      <c r="B102" s="5"/>
      <c r="C102">
        <v>808</v>
      </c>
      <c r="D102" t="s">
        <v>306</v>
      </c>
      <c r="E102">
        <v>957</v>
      </c>
    </row>
    <row r="103" spans="1:5" ht="14.1" customHeight="1">
      <c r="A103" s="3"/>
      <c r="B103" s="4"/>
      <c r="C103">
        <v>483</v>
      </c>
      <c r="D103" t="s">
        <v>307</v>
      </c>
      <c r="E103">
        <v>788</v>
      </c>
    </row>
    <row r="104" spans="1:5" ht="14.1" customHeight="1">
      <c r="A104" s="3"/>
      <c r="B104" s="4"/>
      <c r="C104">
        <v>2644</v>
      </c>
      <c r="D104" t="s">
        <v>909</v>
      </c>
      <c r="E104">
        <v>616</v>
      </c>
    </row>
    <row r="105" spans="1:5" ht="14.1" customHeight="1">
      <c r="A105" s="3"/>
      <c r="B105" s="4"/>
      <c r="C105">
        <v>2406</v>
      </c>
      <c r="D105" t="s">
        <v>910</v>
      </c>
      <c r="E105">
        <v>484</v>
      </c>
    </row>
    <row r="106" spans="1:5" ht="14.1" customHeight="1">
      <c r="A106" s="3"/>
      <c r="B106" s="4"/>
      <c r="C106">
        <v>1281</v>
      </c>
      <c r="D106" t="s">
        <v>911</v>
      </c>
      <c r="E106">
        <v>417</v>
      </c>
    </row>
    <row r="107" spans="1:5" ht="14.1" customHeight="1">
      <c r="A107" s="3"/>
      <c r="B107" s="4"/>
      <c r="C107">
        <v>1890</v>
      </c>
      <c r="D107" t="s">
        <v>912</v>
      </c>
      <c r="E107">
        <v>575</v>
      </c>
    </row>
    <row r="108" spans="1:5" ht="14.1" customHeight="1">
      <c r="A108" s="3"/>
      <c r="B108" s="4"/>
      <c r="C108">
        <v>1903</v>
      </c>
      <c r="D108" t="s">
        <v>913</v>
      </c>
      <c r="E108">
        <v>854</v>
      </c>
    </row>
    <row r="109" spans="1:5" ht="14.1" customHeight="1">
      <c r="A109" s="3"/>
      <c r="B109" s="4"/>
      <c r="C109">
        <v>2587</v>
      </c>
      <c r="D109" t="s">
        <v>914</v>
      </c>
      <c r="E109">
        <v>0</v>
      </c>
    </row>
    <row r="110" spans="1:5" ht="14.1" customHeight="1">
      <c r="A110" s="3"/>
      <c r="B110" s="4"/>
      <c r="C110">
        <v>1398</v>
      </c>
      <c r="D110" t="s">
        <v>915</v>
      </c>
      <c r="E110">
        <v>840</v>
      </c>
    </row>
    <row r="111" spans="1:5" ht="14.1" customHeight="1">
      <c r="A111" s="3"/>
      <c r="B111" s="4"/>
      <c r="C111">
        <v>2939</v>
      </c>
      <c r="D111" t="s">
        <v>916</v>
      </c>
      <c r="E111">
        <v>540</v>
      </c>
    </row>
    <row r="112" spans="1:5" ht="14.1" customHeight="1">
      <c r="A112" s="3"/>
      <c r="B112" s="4"/>
      <c r="C112">
        <v>1298</v>
      </c>
      <c r="D112" t="s">
        <v>917</v>
      </c>
      <c r="E112">
        <v>460</v>
      </c>
    </row>
    <row r="113" spans="1:5" ht="14.1" customHeight="1">
      <c r="A113" s="3"/>
      <c r="B113" s="4"/>
      <c r="C113">
        <v>2803</v>
      </c>
      <c r="D113" t="s">
        <v>918</v>
      </c>
      <c r="E113">
        <v>482</v>
      </c>
    </row>
    <row r="114" spans="1:5" ht="14.1" customHeight="1">
      <c r="A114" s="3"/>
      <c r="B114" s="4"/>
      <c r="C114">
        <v>2804</v>
      </c>
      <c r="D114" t="s">
        <v>919</v>
      </c>
      <c r="E114">
        <v>482</v>
      </c>
    </row>
    <row r="115" spans="1:5" ht="14.1" customHeight="1">
      <c r="A115" s="3"/>
      <c r="B115" s="4"/>
      <c r="C115">
        <v>3173</v>
      </c>
      <c r="D115" t="s">
        <v>920</v>
      </c>
      <c r="E115">
        <v>0</v>
      </c>
    </row>
    <row r="116" spans="1:5" ht="14.1" customHeight="1">
      <c r="A116" s="3"/>
      <c r="B116" s="4"/>
      <c r="C116">
        <v>2997</v>
      </c>
      <c r="D116" t="s">
        <v>921</v>
      </c>
      <c r="E116">
        <v>0</v>
      </c>
    </row>
    <row r="117" spans="1:5" ht="14.1" customHeight="1">
      <c r="A117" s="3"/>
      <c r="B117" s="4"/>
      <c r="C117">
        <v>5150</v>
      </c>
      <c r="D117" t="s">
        <v>4197</v>
      </c>
      <c r="E117">
        <v>659</v>
      </c>
    </row>
    <row r="118" spans="1:5" ht="14.1" customHeight="1">
      <c r="A118" s="3"/>
      <c r="B118" s="4"/>
      <c r="C118">
        <v>5106</v>
      </c>
      <c r="D118" t="s">
        <v>4198</v>
      </c>
      <c r="E118">
        <v>265</v>
      </c>
    </row>
    <row r="119" spans="1:5" ht="14.1" customHeight="1">
      <c r="A119" s="3"/>
      <c r="B119" s="4"/>
      <c r="C119">
        <v>2186</v>
      </c>
      <c r="D119" t="s">
        <v>922</v>
      </c>
      <c r="E119">
        <v>513</v>
      </c>
    </row>
    <row r="120" spans="1:5" ht="14.1" customHeight="1">
      <c r="A120" s="3"/>
      <c r="B120" s="4"/>
      <c r="C120">
        <v>423</v>
      </c>
      <c r="D120" t="s">
        <v>93</v>
      </c>
      <c r="E120">
        <v>465</v>
      </c>
    </row>
    <row r="121" spans="1:5" ht="14.1" customHeight="1">
      <c r="A121" s="3"/>
      <c r="B121" s="4"/>
      <c r="C121">
        <v>5160</v>
      </c>
      <c r="D121" t="s">
        <v>4199</v>
      </c>
      <c r="E121">
        <v>478</v>
      </c>
    </row>
    <row r="122" spans="1:5" ht="14.1" customHeight="1">
      <c r="A122" s="3"/>
      <c r="B122" s="4"/>
      <c r="C122">
        <v>58</v>
      </c>
      <c r="D122" t="s">
        <v>923</v>
      </c>
      <c r="E122">
        <v>741</v>
      </c>
    </row>
    <row r="123" spans="1:5" ht="14.1" customHeight="1">
      <c r="A123" s="3"/>
      <c r="B123" s="5"/>
      <c r="C123">
        <v>4746</v>
      </c>
      <c r="D123" t="s">
        <v>3781</v>
      </c>
      <c r="E123">
        <v>735</v>
      </c>
    </row>
    <row r="124" spans="1:5" ht="14.1" customHeight="1">
      <c r="A124" s="3"/>
      <c r="B124" s="4"/>
      <c r="C124">
        <v>177</v>
      </c>
      <c r="D124" t="s">
        <v>308</v>
      </c>
      <c r="E124">
        <v>529</v>
      </c>
    </row>
    <row r="125" spans="1:5" ht="14.1" customHeight="1">
      <c r="A125" s="3"/>
      <c r="B125" s="4"/>
      <c r="C125">
        <v>176</v>
      </c>
      <c r="D125" t="s">
        <v>309</v>
      </c>
      <c r="E125">
        <v>548</v>
      </c>
    </row>
    <row r="126" spans="1:5" ht="14.1" customHeight="1">
      <c r="A126" s="3"/>
      <c r="B126" s="4"/>
      <c r="C126">
        <v>4624</v>
      </c>
      <c r="D126" t="s">
        <v>3782</v>
      </c>
      <c r="E126">
        <v>548</v>
      </c>
    </row>
    <row r="127" spans="1:5" ht="14.1" customHeight="1">
      <c r="A127" s="3"/>
      <c r="B127" s="4"/>
      <c r="C127">
        <v>4937</v>
      </c>
      <c r="D127" t="s">
        <v>3783</v>
      </c>
      <c r="E127">
        <v>381</v>
      </c>
    </row>
    <row r="128" spans="1:5" ht="14.1" customHeight="1">
      <c r="A128" s="3"/>
      <c r="B128" s="4"/>
      <c r="C128">
        <v>2542</v>
      </c>
      <c r="D128" t="s">
        <v>924</v>
      </c>
      <c r="E128">
        <v>863</v>
      </c>
    </row>
    <row r="129" spans="1:5" ht="14.1" customHeight="1">
      <c r="A129" s="3"/>
      <c r="B129" s="5"/>
      <c r="C129">
        <v>1267</v>
      </c>
      <c r="D129" t="s">
        <v>925</v>
      </c>
      <c r="E129">
        <v>533</v>
      </c>
    </row>
    <row r="130" spans="1:5" ht="14.1" customHeight="1">
      <c r="A130" s="3"/>
      <c r="B130" s="4"/>
      <c r="C130">
        <v>4932</v>
      </c>
      <c r="D130" t="s">
        <v>3784</v>
      </c>
      <c r="E130">
        <v>473</v>
      </c>
    </row>
    <row r="131" spans="1:5" ht="14.1" customHeight="1">
      <c r="A131" s="3"/>
      <c r="B131" s="4"/>
      <c r="C131">
        <v>105</v>
      </c>
      <c r="D131" t="s">
        <v>926</v>
      </c>
      <c r="E131">
        <v>873</v>
      </c>
    </row>
    <row r="132" spans="1:5" ht="14.1" customHeight="1">
      <c r="A132" s="3"/>
      <c r="B132" s="4"/>
      <c r="C132">
        <v>4442</v>
      </c>
      <c r="D132" t="s">
        <v>3570</v>
      </c>
      <c r="E132">
        <v>353</v>
      </c>
    </row>
    <row r="133" spans="1:5" ht="14.1" customHeight="1">
      <c r="A133" s="3"/>
      <c r="B133" s="4"/>
      <c r="C133">
        <v>1117</v>
      </c>
      <c r="D133" t="s">
        <v>927</v>
      </c>
      <c r="E133">
        <v>867</v>
      </c>
    </row>
    <row r="134" spans="1:5" ht="14.1" customHeight="1">
      <c r="A134" s="3"/>
      <c r="B134" s="4"/>
      <c r="C134">
        <v>2275</v>
      </c>
      <c r="D134" t="s">
        <v>928</v>
      </c>
      <c r="E134">
        <v>525</v>
      </c>
    </row>
    <row r="135" spans="1:5" ht="14.1" customHeight="1">
      <c r="A135" s="3"/>
      <c r="B135" s="4"/>
      <c r="C135">
        <v>2246</v>
      </c>
      <c r="D135" t="s">
        <v>929</v>
      </c>
      <c r="E135">
        <v>412</v>
      </c>
    </row>
    <row r="136" spans="1:5" ht="14.1" customHeight="1">
      <c r="A136" s="3"/>
      <c r="B136" s="4"/>
      <c r="C136">
        <v>766</v>
      </c>
      <c r="D136" t="s">
        <v>310</v>
      </c>
      <c r="E136">
        <v>603</v>
      </c>
    </row>
    <row r="137" spans="1:5" ht="14.1" customHeight="1">
      <c r="A137" s="3"/>
      <c r="B137" s="4"/>
      <c r="C137">
        <v>5152</v>
      </c>
      <c r="D137" t="s">
        <v>4200</v>
      </c>
      <c r="E137">
        <v>0</v>
      </c>
    </row>
    <row r="138" spans="1:5" ht="14.1" customHeight="1">
      <c r="A138" s="3"/>
      <c r="B138" s="4"/>
      <c r="C138">
        <v>1923</v>
      </c>
      <c r="D138" t="s">
        <v>930</v>
      </c>
      <c r="E138">
        <v>571</v>
      </c>
    </row>
    <row r="139" spans="1:5" ht="14.1" customHeight="1">
      <c r="A139" s="3"/>
      <c r="B139" s="4"/>
      <c r="C139">
        <v>4721</v>
      </c>
      <c r="D139" t="s">
        <v>3785</v>
      </c>
      <c r="E139">
        <v>376</v>
      </c>
    </row>
    <row r="140" spans="1:5" ht="14.1" customHeight="1">
      <c r="A140" s="3"/>
      <c r="B140" s="4"/>
      <c r="C140">
        <v>1781</v>
      </c>
      <c r="D140" t="s">
        <v>931</v>
      </c>
      <c r="E140">
        <v>623</v>
      </c>
    </row>
    <row r="141" spans="1:5" ht="14.1" customHeight="1">
      <c r="A141" s="3"/>
      <c r="B141" s="5"/>
      <c r="C141">
        <v>4433</v>
      </c>
      <c r="D141" t="s">
        <v>3571</v>
      </c>
      <c r="E141">
        <v>439</v>
      </c>
    </row>
    <row r="142" spans="1:5" ht="14.1" customHeight="1">
      <c r="A142" s="3"/>
      <c r="B142" s="4"/>
      <c r="C142">
        <v>1969</v>
      </c>
      <c r="D142" t="s">
        <v>932</v>
      </c>
      <c r="E142">
        <v>868</v>
      </c>
    </row>
    <row r="143" spans="1:5" ht="14.1" customHeight="1">
      <c r="A143" s="3"/>
      <c r="B143" s="4"/>
      <c r="C143">
        <v>2739</v>
      </c>
      <c r="D143" t="s">
        <v>933</v>
      </c>
      <c r="E143">
        <v>699</v>
      </c>
    </row>
    <row r="144" spans="1:5" ht="14.1" customHeight="1">
      <c r="A144" s="3"/>
      <c r="B144" s="4"/>
      <c r="C144">
        <v>4205</v>
      </c>
      <c r="D144" t="s">
        <v>934</v>
      </c>
      <c r="E144">
        <v>388</v>
      </c>
    </row>
    <row r="145" spans="1:5" ht="14.1" customHeight="1">
      <c r="A145" s="3"/>
      <c r="B145" s="4"/>
      <c r="C145">
        <v>2428</v>
      </c>
      <c r="D145" t="s">
        <v>935</v>
      </c>
      <c r="E145">
        <v>873</v>
      </c>
    </row>
    <row r="146" spans="1:5" ht="14.1" customHeight="1">
      <c r="A146" s="3"/>
      <c r="B146" s="4"/>
      <c r="C146">
        <v>758</v>
      </c>
      <c r="D146" t="s">
        <v>311</v>
      </c>
      <c r="E146">
        <v>501</v>
      </c>
    </row>
    <row r="147" spans="1:5" ht="14.1" customHeight="1">
      <c r="A147" s="3"/>
      <c r="B147" s="5"/>
      <c r="C147">
        <v>5031</v>
      </c>
      <c r="D147" t="s">
        <v>4201</v>
      </c>
      <c r="E147">
        <v>551</v>
      </c>
    </row>
    <row r="148" spans="1:5" ht="14.1" customHeight="1">
      <c r="A148" s="3"/>
      <c r="B148" s="4"/>
      <c r="C148">
        <v>2248</v>
      </c>
      <c r="D148" t="s">
        <v>936</v>
      </c>
      <c r="E148">
        <v>636</v>
      </c>
    </row>
    <row r="149" spans="1:5" ht="14.1" customHeight="1">
      <c r="A149" s="3"/>
      <c r="B149" s="4"/>
      <c r="C149">
        <v>1015</v>
      </c>
      <c r="D149" t="s">
        <v>937</v>
      </c>
      <c r="E149">
        <v>822</v>
      </c>
    </row>
    <row r="150" spans="1:5" ht="14.1" customHeight="1">
      <c r="A150" s="3"/>
      <c r="B150" s="5"/>
      <c r="C150">
        <v>2836</v>
      </c>
      <c r="D150" t="s">
        <v>938</v>
      </c>
      <c r="E150">
        <v>490</v>
      </c>
    </row>
    <row r="151" spans="1:5" ht="14.1" customHeight="1">
      <c r="A151" s="3"/>
      <c r="B151" s="4"/>
      <c r="C151">
        <v>2572</v>
      </c>
      <c r="D151" t="s">
        <v>939</v>
      </c>
      <c r="E151">
        <v>457</v>
      </c>
    </row>
    <row r="152" spans="1:5" ht="14.1" customHeight="1">
      <c r="A152" s="3"/>
      <c r="B152" s="4"/>
      <c r="C152">
        <v>3018</v>
      </c>
      <c r="D152" t="s">
        <v>940</v>
      </c>
      <c r="E152">
        <v>0</v>
      </c>
    </row>
    <row r="153" spans="1:5" ht="14.1" customHeight="1">
      <c r="A153" s="3"/>
      <c r="B153" s="4"/>
      <c r="C153">
        <v>948</v>
      </c>
      <c r="D153" t="s">
        <v>941</v>
      </c>
      <c r="E153">
        <v>507</v>
      </c>
    </row>
    <row r="154" spans="1:5" ht="14.1" customHeight="1">
      <c r="A154" s="3"/>
      <c r="B154" s="4"/>
      <c r="C154">
        <v>4627</v>
      </c>
      <c r="D154" t="s">
        <v>3786</v>
      </c>
      <c r="E154">
        <v>372</v>
      </c>
    </row>
    <row r="155" spans="1:5" ht="14.1" customHeight="1">
      <c r="A155" s="3"/>
      <c r="B155" s="4"/>
      <c r="C155">
        <v>23</v>
      </c>
      <c r="D155" t="s">
        <v>312</v>
      </c>
      <c r="E155">
        <v>991</v>
      </c>
    </row>
    <row r="156" spans="1:5" ht="14.1" customHeight="1">
      <c r="A156" s="3"/>
      <c r="B156" s="4"/>
      <c r="C156">
        <v>996</v>
      </c>
      <c r="D156" t="s">
        <v>942</v>
      </c>
      <c r="E156">
        <v>365</v>
      </c>
    </row>
    <row r="157" spans="1:5" ht="14.1" customHeight="1">
      <c r="A157" s="3"/>
      <c r="B157" s="5"/>
      <c r="C157">
        <v>4956</v>
      </c>
      <c r="D157" t="s">
        <v>3787</v>
      </c>
      <c r="E157">
        <v>414</v>
      </c>
    </row>
    <row r="158" spans="1:5" ht="14.1" customHeight="1">
      <c r="A158" s="3"/>
      <c r="B158" s="4"/>
      <c r="C158">
        <v>102</v>
      </c>
      <c r="D158" t="s">
        <v>94</v>
      </c>
      <c r="E158">
        <v>976</v>
      </c>
    </row>
    <row r="159" spans="1:5" ht="14.1" customHeight="1">
      <c r="A159" s="3"/>
      <c r="B159" s="4"/>
      <c r="C159">
        <v>2048</v>
      </c>
      <c r="D159" t="s">
        <v>943</v>
      </c>
      <c r="E159">
        <v>582</v>
      </c>
    </row>
    <row r="160" spans="1:5" ht="14.1" customHeight="1">
      <c r="A160" s="3"/>
      <c r="B160" s="4"/>
      <c r="C160">
        <v>215</v>
      </c>
      <c r="D160" t="s">
        <v>95</v>
      </c>
      <c r="E160">
        <v>580</v>
      </c>
    </row>
    <row r="161" spans="1:5" ht="14.1" customHeight="1">
      <c r="A161" s="3"/>
      <c r="B161" s="4"/>
      <c r="C161">
        <v>2313</v>
      </c>
      <c r="D161" t="s">
        <v>944</v>
      </c>
      <c r="E161">
        <v>1096</v>
      </c>
    </row>
    <row r="162" spans="1:5" ht="14.1" customHeight="1">
      <c r="A162" s="3"/>
      <c r="B162" s="4"/>
      <c r="C162">
        <v>2151</v>
      </c>
      <c r="D162" t="s">
        <v>945</v>
      </c>
      <c r="E162">
        <v>669</v>
      </c>
    </row>
    <row r="163" spans="1:5" ht="14.1" customHeight="1">
      <c r="A163" s="3"/>
      <c r="B163" s="4"/>
      <c r="C163">
        <v>1122</v>
      </c>
      <c r="D163" t="s">
        <v>946</v>
      </c>
      <c r="E163">
        <v>662</v>
      </c>
    </row>
    <row r="164" spans="1:5" ht="14.1" customHeight="1">
      <c r="A164" s="3"/>
      <c r="B164" s="4"/>
      <c r="C164">
        <v>2887</v>
      </c>
      <c r="D164" t="s">
        <v>947</v>
      </c>
      <c r="E164">
        <v>538</v>
      </c>
    </row>
    <row r="165" spans="1:5" ht="14.1" customHeight="1">
      <c r="A165" s="3"/>
      <c r="B165" s="4"/>
      <c r="C165">
        <v>491</v>
      </c>
      <c r="D165" t="s">
        <v>948</v>
      </c>
      <c r="E165">
        <v>499</v>
      </c>
    </row>
    <row r="166" spans="1:5" ht="14.1" customHeight="1">
      <c r="A166" s="3"/>
      <c r="B166" s="5"/>
      <c r="C166">
        <v>2901</v>
      </c>
      <c r="D166" t="s">
        <v>949</v>
      </c>
      <c r="E166">
        <v>310</v>
      </c>
    </row>
    <row r="167" spans="1:5" ht="14.1" customHeight="1">
      <c r="A167" s="3"/>
      <c r="B167" s="4"/>
      <c r="C167">
        <v>2810</v>
      </c>
      <c r="D167" t="s">
        <v>950</v>
      </c>
      <c r="E167">
        <v>544</v>
      </c>
    </row>
    <row r="168" spans="1:5" ht="14.1" customHeight="1">
      <c r="A168" s="3"/>
      <c r="B168" s="4"/>
      <c r="C168">
        <v>4529</v>
      </c>
      <c r="D168" t="s">
        <v>3788</v>
      </c>
      <c r="E168">
        <v>581</v>
      </c>
    </row>
    <row r="169" spans="1:5" ht="14.1" customHeight="1">
      <c r="A169" s="3"/>
      <c r="B169" s="4"/>
      <c r="C169">
        <v>4611</v>
      </c>
      <c r="D169" t="s">
        <v>3789</v>
      </c>
      <c r="E169">
        <v>475</v>
      </c>
    </row>
    <row r="170" spans="1:5" ht="14.1" customHeight="1">
      <c r="A170" s="3"/>
      <c r="B170" s="4"/>
      <c r="C170">
        <v>5058</v>
      </c>
      <c r="D170" t="s">
        <v>4202</v>
      </c>
      <c r="E170">
        <v>406</v>
      </c>
    </row>
    <row r="171" spans="1:5" ht="14.1" customHeight="1">
      <c r="A171" s="3"/>
      <c r="B171" s="4"/>
      <c r="C171">
        <v>4328</v>
      </c>
      <c r="D171" t="s">
        <v>951</v>
      </c>
      <c r="E171">
        <v>666</v>
      </c>
    </row>
    <row r="172" spans="1:5" ht="14.1" customHeight="1">
      <c r="A172" s="3"/>
      <c r="B172" s="4"/>
      <c r="C172">
        <v>342</v>
      </c>
      <c r="D172" t="s">
        <v>313</v>
      </c>
      <c r="E172">
        <v>542</v>
      </c>
    </row>
    <row r="173" spans="1:5" ht="14.1" customHeight="1">
      <c r="A173" s="3"/>
      <c r="B173" s="4"/>
      <c r="C173">
        <v>4833</v>
      </c>
      <c r="D173" t="s">
        <v>3790</v>
      </c>
      <c r="E173">
        <v>610</v>
      </c>
    </row>
    <row r="174" spans="1:5" ht="14.1" customHeight="1">
      <c r="A174" s="3"/>
      <c r="B174" s="4"/>
      <c r="C174">
        <v>86</v>
      </c>
      <c r="D174" t="s">
        <v>96</v>
      </c>
      <c r="E174">
        <v>427</v>
      </c>
    </row>
    <row r="175" spans="1:5" ht="14.1" customHeight="1">
      <c r="A175" s="3"/>
      <c r="B175" s="4"/>
      <c r="C175">
        <v>5036</v>
      </c>
      <c r="D175" t="s">
        <v>4203</v>
      </c>
      <c r="E175">
        <v>860</v>
      </c>
    </row>
    <row r="176" spans="1:5" ht="14.1" customHeight="1">
      <c r="A176" s="3"/>
      <c r="B176" s="4"/>
      <c r="C176">
        <v>4538</v>
      </c>
      <c r="D176" t="s">
        <v>3572</v>
      </c>
      <c r="E176">
        <v>587</v>
      </c>
    </row>
    <row r="177" spans="1:5" ht="14.1" customHeight="1">
      <c r="A177" s="3"/>
      <c r="B177" s="4"/>
      <c r="C177">
        <v>4229</v>
      </c>
      <c r="D177" t="s">
        <v>952</v>
      </c>
      <c r="E177">
        <v>437</v>
      </c>
    </row>
    <row r="178" spans="1:5" ht="14.1" customHeight="1">
      <c r="A178" s="3"/>
      <c r="B178" s="4"/>
      <c r="C178">
        <v>3185</v>
      </c>
      <c r="D178" t="s">
        <v>953</v>
      </c>
      <c r="E178">
        <v>0</v>
      </c>
    </row>
    <row r="179" spans="1:5" ht="14.1" customHeight="1">
      <c r="A179" s="3"/>
      <c r="B179" s="4"/>
      <c r="C179">
        <v>2859</v>
      </c>
      <c r="D179" t="s">
        <v>954</v>
      </c>
      <c r="E179">
        <v>498</v>
      </c>
    </row>
    <row r="180" spans="1:5" ht="14.1" customHeight="1">
      <c r="A180" s="3"/>
      <c r="B180" s="4"/>
      <c r="C180">
        <v>4839</v>
      </c>
      <c r="D180" t="s">
        <v>3791</v>
      </c>
      <c r="E180">
        <v>608</v>
      </c>
    </row>
    <row r="181" spans="1:5" ht="14.1" customHeight="1">
      <c r="A181" s="3"/>
      <c r="B181" s="4"/>
      <c r="C181">
        <v>2693</v>
      </c>
      <c r="D181" t="s">
        <v>955</v>
      </c>
      <c r="E181">
        <v>557</v>
      </c>
    </row>
    <row r="182" spans="1:5" ht="14.1" customHeight="1">
      <c r="A182" s="3"/>
      <c r="B182" s="4"/>
      <c r="C182">
        <v>269</v>
      </c>
      <c r="D182" t="s">
        <v>97</v>
      </c>
      <c r="E182">
        <v>474</v>
      </c>
    </row>
    <row r="183" spans="1:5" ht="14.1" customHeight="1">
      <c r="A183" s="3"/>
      <c r="B183" s="4"/>
      <c r="C183">
        <v>1622</v>
      </c>
      <c r="D183" t="s">
        <v>956</v>
      </c>
      <c r="E183">
        <v>848</v>
      </c>
    </row>
    <row r="184" spans="1:5" ht="14.1" customHeight="1">
      <c r="A184" s="3"/>
      <c r="B184" s="4"/>
      <c r="C184">
        <v>4895</v>
      </c>
      <c r="D184" t="s">
        <v>3792</v>
      </c>
      <c r="E184">
        <v>565</v>
      </c>
    </row>
    <row r="185" spans="1:5" ht="14.1" customHeight="1">
      <c r="A185" s="3"/>
      <c r="B185" s="4"/>
      <c r="C185">
        <v>1819</v>
      </c>
      <c r="D185" t="s">
        <v>957</v>
      </c>
      <c r="E185">
        <v>536</v>
      </c>
    </row>
    <row r="186" spans="1:5" ht="14.1" customHeight="1">
      <c r="A186" s="3"/>
      <c r="B186" s="4"/>
      <c r="C186">
        <v>1794</v>
      </c>
      <c r="D186" t="s">
        <v>958</v>
      </c>
      <c r="E186">
        <v>486</v>
      </c>
    </row>
    <row r="187" spans="1:5" ht="14.1" customHeight="1">
      <c r="A187" s="3"/>
      <c r="B187" s="4"/>
      <c r="C187">
        <v>4334</v>
      </c>
      <c r="D187" t="s">
        <v>959</v>
      </c>
      <c r="E187">
        <v>692</v>
      </c>
    </row>
    <row r="188" spans="1:5" ht="14.1" customHeight="1">
      <c r="A188" s="3"/>
      <c r="B188" s="4"/>
      <c r="C188">
        <v>2911</v>
      </c>
      <c r="D188" t="s">
        <v>960</v>
      </c>
      <c r="E188">
        <v>817</v>
      </c>
    </row>
    <row r="189" spans="1:5" ht="14.1" customHeight="1">
      <c r="A189" s="3"/>
      <c r="B189" s="4"/>
      <c r="C189">
        <v>815</v>
      </c>
      <c r="D189" t="s">
        <v>314</v>
      </c>
      <c r="E189">
        <v>471</v>
      </c>
    </row>
    <row r="190" spans="1:5" ht="14.1" customHeight="1">
      <c r="A190" s="3"/>
      <c r="B190" s="4"/>
      <c r="C190">
        <v>4984</v>
      </c>
      <c r="D190" t="s">
        <v>3793</v>
      </c>
      <c r="E190">
        <v>412</v>
      </c>
    </row>
    <row r="191" spans="1:5" ht="14.1" customHeight="1">
      <c r="A191" s="3"/>
      <c r="B191" s="4"/>
      <c r="C191">
        <v>98</v>
      </c>
      <c r="D191" t="s">
        <v>315</v>
      </c>
      <c r="E191">
        <v>1175</v>
      </c>
    </row>
    <row r="192" spans="1:5" ht="14.1" customHeight="1">
      <c r="A192" s="3"/>
      <c r="B192" s="4"/>
      <c r="C192">
        <v>700</v>
      </c>
      <c r="D192" t="s">
        <v>961</v>
      </c>
      <c r="E192">
        <v>800</v>
      </c>
    </row>
    <row r="193" spans="1:5" ht="14.1" customHeight="1">
      <c r="A193" s="3"/>
      <c r="B193" s="4"/>
      <c r="C193">
        <v>2072</v>
      </c>
      <c r="D193" t="s">
        <v>962</v>
      </c>
      <c r="E193">
        <v>1107</v>
      </c>
    </row>
    <row r="194" spans="1:5" ht="14.1" customHeight="1">
      <c r="A194" s="3"/>
      <c r="B194" s="4"/>
      <c r="C194">
        <v>2971</v>
      </c>
      <c r="D194" t="s">
        <v>963</v>
      </c>
      <c r="E194">
        <v>564</v>
      </c>
    </row>
    <row r="195" spans="1:5" ht="14.1" customHeight="1">
      <c r="A195" s="3"/>
      <c r="B195" s="4"/>
      <c r="C195">
        <v>2427</v>
      </c>
      <c r="D195" t="s">
        <v>964</v>
      </c>
      <c r="E195">
        <v>824</v>
      </c>
    </row>
    <row r="196" spans="1:5" ht="14.1" customHeight="1">
      <c r="A196" s="3"/>
      <c r="B196" s="4"/>
      <c r="C196">
        <v>4951</v>
      </c>
      <c r="D196" t="s">
        <v>3794</v>
      </c>
      <c r="E196">
        <v>420</v>
      </c>
    </row>
    <row r="197" spans="1:5" ht="14.1" customHeight="1">
      <c r="A197" s="3"/>
      <c r="B197" s="4"/>
      <c r="C197">
        <v>2348</v>
      </c>
      <c r="D197" t="s">
        <v>965</v>
      </c>
      <c r="E197">
        <v>592</v>
      </c>
    </row>
    <row r="198" spans="1:5" ht="14.1" customHeight="1">
      <c r="A198" s="3"/>
      <c r="B198" s="4"/>
      <c r="C198">
        <v>2900</v>
      </c>
      <c r="D198" t="s">
        <v>966</v>
      </c>
      <c r="E198">
        <v>434</v>
      </c>
    </row>
    <row r="199" spans="1:5" ht="14.1" customHeight="1">
      <c r="A199" s="3"/>
      <c r="B199" s="4"/>
      <c r="C199">
        <v>4462</v>
      </c>
      <c r="D199" t="s">
        <v>3573</v>
      </c>
      <c r="E199">
        <v>593</v>
      </c>
    </row>
    <row r="200" spans="1:5" ht="14.1" customHeight="1">
      <c r="A200" s="3"/>
      <c r="B200" s="4"/>
      <c r="C200">
        <v>5002</v>
      </c>
      <c r="D200" t="s">
        <v>3795</v>
      </c>
      <c r="E200">
        <v>546</v>
      </c>
    </row>
    <row r="201" spans="1:5" ht="14.1" customHeight="1">
      <c r="A201" s="3"/>
      <c r="B201" s="5"/>
      <c r="C201">
        <v>4485</v>
      </c>
      <c r="D201" t="s">
        <v>3574</v>
      </c>
      <c r="E201">
        <v>364</v>
      </c>
    </row>
    <row r="202" spans="1:5" ht="14.1" customHeight="1">
      <c r="A202" s="3"/>
      <c r="B202" s="4"/>
      <c r="C202">
        <v>1679</v>
      </c>
      <c r="D202" t="s">
        <v>967</v>
      </c>
      <c r="E202">
        <v>544</v>
      </c>
    </row>
    <row r="203" spans="1:5" ht="14.1" customHeight="1">
      <c r="A203" s="3"/>
      <c r="B203" s="4"/>
      <c r="C203">
        <v>2166</v>
      </c>
      <c r="D203" t="s">
        <v>968</v>
      </c>
      <c r="E203">
        <v>436</v>
      </c>
    </row>
    <row r="204" spans="1:5" ht="14.1" customHeight="1">
      <c r="A204" s="3"/>
      <c r="B204" s="4"/>
      <c r="C204">
        <v>5093</v>
      </c>
      <c r="D204" t="s">
        <v>4204</v>
      </c>
      <c r="E204">
        <v>398</v>
      </c>
    </row>
    <row r="205" spans="1:5" ht="14.1" customHeight="1">
      <c r="A205" s="3"/>
      <c r="B205" s="4"/>
      <c r="C205">
        <v>2167</v>
      </c>
      <c r="D205" t="s">
        <v>969</v>
      </c>
      <c r="E205">
        <v>563</v>
      </c>
    </row>
    <row r="206" spans="1:5" ht="14.1" customHeight="1">
      <c r="A206" s="3"/>
      <c r="B206" s="4"/>
      <c r="C206">
        <v>409</v>
      </c>
      <c r="D206" t="s">
        <v>98</v>
      </c>
      <c r="E206">
        <v>491</v>
      </c>
    </row>
    <row r="207" spans="1:5" ht="14.1" customHeight="1">
      <c r="A207" s="3"/>
      <c r="B207" s="4"/>
      <c r="C207">
        <v>4808</v>
      </c>
      <c r="D207" t="s">
        <v>3796</v>
      </c>
      <c r="E207">
        <v>354</v>
      </c>
    </row>
    <row r="208" spans="1:5" ht="14.1" customHeight="1">
      <c r="A208" s="3"/>
      <c r="B208" s="4"/>
      <c r="C208">
        <v>4910</v>
      </c>
      <c r="D208" t="s">
        <v>3797</v>
      </c>
      <c r="E208">
        <v>413</v>
      </c>
    </row>
    <row r="209" spans="1:5" ht="14.1" customHeight="1">
      <c r="A209" s="3"/>
      <c r="B209" s="4"/>
      <c r="C209">
        <v>4228</v>
      </c>
      <c r="D209" t="s">
        <v>3798</v>
      </c>
      <c r="E209">
        <v>490</v>
      </c>
    </row>
    <row r="210" spans="1:5" ht="14.1" customHeight="1">
      <c r="A210" s="3"/>
      <c r="B210" s="4"/>
      <c r="C210">
        <v>1536</v>
      </c>
      <c r="D210" t="s">
        <v>970</v>
      </c>
      <c r="E210">
        <v>1185</v>
      </c>
    </row>
    <row r="211" spans="1:5" ht="14.1" customHeight="1">
      <c r="A211" s="3"/>
      <c r="B211" s="4"/>
      <c r="C211">
        <v>482</v>
      </c>
      <c r="D211" t="s">
        <v>316</v>
      </c>
      <c r="E211">
        <v>710</v>
      </c>
    </row>
    <row r="212" spans="1:5" ht="14.1" customHeight="1">
      <c r="A212" s="3"/>
      <c r="B212" s="4"/>
      <c r="C212">
        <v>2781</v>
      </c>
      <c r="D212" t="s">
        <v>971</v>
      </c>
      <c r="E212">
        <v>592</v>
      </c>
    </row>
    <row r="213" spans="1:5" ht="14.1" customHeight="1">
      <c r="A213" s="3"/>
      <c r="B213" s="4"/>
      <c r="C213">
        <v>1888</v>
      </c>
      <c r="D213" t="s">
        <v>972</v>
      </c>
      <c r="E213">
        <v>508</v>
      </c>
    </row>
    <row r="214" spans="1:5" ht="14.1" customHeight="1">
      <c r="A214" s="3"/>
      <c r="B214" s="4"/>
      <c r="C214">
        <v>4397</v>
      </c>
      <c r="D214" t="s">
        <v>3575</v>
      </c>
      <c r="E214">
        <v>462</v>
      </c>
    </row>
    <row r="215" spans="1:5" ht="14.1" customHeight="1">
      <c r="A215" s="3"/>
      <c r="B215" s="4"/>
      <c r="C215">
        <v>2219</v>
      </c>
      <c r="D215" t="s">
        <v>973</v>
      </c>
      <c r="E215">
        <v>470</v>
      </c>
    </row>
    <row r="216" spans="1:5" ht="14.1" customHeight="1">
      <c r="A216" s="3"/>
      <c r="B216" s="4"/>
      <c r="C216">
        <v>1841</v>
      </c>
      <c r="D216" t="s">
        <v>974</v>
      </c>
      <c r="E216">
        <v>656</v>
      </c>
    </row>
    <row r="217" spans="1:5" ht="14.1" customHeight="1">
      <c r="A217" s="3"/>
      <c r="B217" s="4"/>
      <c r="C217">
        <v>5095</v>
      </c>
      <c r="D217" t="s">
        <v>4205</v>
      </c>
      <c r="E217">
        <v>407</v>
      </c>
    </row>
    <row r="218" spans="1:5" ht="14.1" customHeight="1">
      <c r="A218" s="3"/>
      <c r="B218" s="4"/>
      <c r="C218">
        <v>742</v>
      </c>
      <c r="D218" t="s">
        <v>975</v>
      </c>
      <c r="E218">
        <v>440</v>
      </c>
    </row>
    <row r="219" spans="1:5" ht="14.1" customHeight="1">
      <c r="A219" s="3"/>
      <c r="B219" s="5"/>
      <c r="C219">
        <v>5080</v>
      </c>
      <c r="D219" t="s">
        <v>4206</v>
      </c>
      <c r="E219">
        <v>496</v>
      </c>
    </row>
    <row r="220" spans="1:5" ht="14.1" customHeight="1">
      <c r="A220" s="3"/>
      <c r="B220" s="4"/>
      <c r="C220">
        <v>2681</v>
      </c>
      <c r="D220" t="s">
        <v>976</v>
      </c>
      <c r="E220">
        <v>560</v>
      </c>
    </row>
    <row r="221" spans="1:5" ht="14.1" customHeight="1">
      <c r="A221" s="3"/>
      <c r="B221" s="4"/>
      <c r="C221">
        <v>689</v>
      </c>
      <c r="D221" t="s">
        <v>317</v>
      </c>
      <c r="E221">
        <v>393</v>
      </c>
    </row>
    <row r="222" spans="1:5" ht="14.1" customHeight="1">
      <c r="A222" s="3"/>
      <c r="B222" s="4"/>
      <c r="C222">
        <v>4473</v>
      </c>
      <c r="D222" t="s">
        <v>3576</v>
      </c>
      <c r="E222">
        <v>361</v>
      </c>
    </row>
    <row r="223" spans="1:5" ht="14.1" customHeight="1">
      <c r="A223" s="3"/>
      <c r="B223" s="4"/>
      <c r="C223">
        <v>202</v>
      </c>
      <c r="D223" t="s">
        <v>99</v>
      </c>
      <c r="E223">
        <v>670</v>
      </c>
    </row>
    <row r="224" spans="1:5" ht="14.1" customHeight="1">
      <c r="A224" s="3"/>
      <c r="B224" s="4"/>
      <c r="C224">
        <v>759</v>
      </c>
      <c r="D224" t="s">
        <v>318</v>
      </c>
      <c r="E224">
        <v>578</v>
      </c>
    </row>
    <row r="225" spans="1:5" ht="14.1" customHeight="1">
      <c r="A225" s="3"/>
      <c r="B225" s="4"/>
      <c r="C225">
        <v>1685</v>
      </c>
      <c r="D225" t="s">
        <v>977</v>
      </c>
      <c r="E225">
        <v>424</v>
      </c>
    </row>
    <row r="226" spans="1:5" ht="14.1" customHeight="1">
      <c r="A226" s="3"/>
      <c r="B226" s="4"/>
      <c r="C226">
        <v>42</v>
      </c>
      <c r="D226" t="s">
        <v>319</v>
      </c>
      <c r="E226">
        <v>496</v>
      </c>
    </row>
    <row r="227" spans="1:5" ht="14.1" customHeight="1">
      <c r="A227" s="3"/>
      <c r="B227" s="4"/>
      <c r="C227">
        <v>1684</v>
      </c>
      <c r="D227" t="s">
        <v>978</v>
      </c>
      <c r="E227">
        <v>424</v>
      </c>
    </row>
    <row r="228" spans="1:5" ht="14.1" customHeight="1">
      <c r="A228" s="3"/>
      <c r="B228" s="4"/>
      <c r="C228">
        <v>2620</v>
      </c>
      <c r="D228" t="s">
        <v>979</v>
      </c>
      <c r="E228">
        <v>388</v>
      </c>
    </row>
    <row r="229" spans="1:5" ht="14.1" customHeight="1">
      <c r="A229" s="3"/>
      <c r="B229" s="4"/>
      <c r="C229">
        <v>3248</v>
      </c>
      <c r="D229" t="s">
        <v>980</v>
      </c>
      <c r="E229">
        <v>0</v>
      </c>
    </row>
    <row r="230" spans="1:5" ht="14.1" customHeight="1">
      <c r="A230" s="3"/>
      <c r="B230" s="4"/>
      <c r="C230">
        <v>3249</v>
      </c>
      <c r="D230" t="s">
        <v>981</v>
      </c>
      <c r="E230">
        <v>0</v>
      </c>
    </row>
    <row r="231" spans="1:5" ht="14.1" customHeight="1">
      <c r="A231" s="3"/>
      <c r="B231" s="4"/>
      <c r="C231">
        <v>2262</v>
      </c>
      <c r="D231" t="s">
        <v>982</v>
      </c>
      <c r="E231">
        <v>717</v>
      </c>
    </row>
    <row r="232" spans="1:5" ht="14.1" customHeight="1">
      <c r="A232" s="3"/>
      <c r="B232" s="4"/>
      <c r="C232">
        <v>2584</v>
      </c>
      <c r="D232" t="s">
        <v>983</v>
      </c>
      <c r="E232">
        <v>0</v>
      </c>
    </row>
    <row r="233" spans="1:5" ht="14.1" customHeight="1">
      <c r="A233" s="3"/>
      <c r="B233" s="4"/>
      <c r="C233">
        <v>892</v>
      </c>
      <c r="D233" t="s">
        <v>320</v>
      </c>
      <c r="E233">
        <v>712</v>
      </c>
    </row>
    <row r="234" spans="1:5" ht="14.1" customHeight="1">
      <c r="A234" s="3"/>
      <c r="B234" s="4"/>
      <c r="C234">
        <v>2844</v>
      </c>
      <c r="D234" t="s">
        <v>984</v>
      </c>
      <c r="E234">
        <v>474</v>
      </c>
    </row>
    <row r="235" spans="1:5" ht="14.1" customHeight="1">
      <c r="A235" s="3"/>
      <c r="B235" s="4"/>
      <c r="C235">
        <v>5074</v>
      </c>
      <c r="D235" t="s">
        <v>4207</v>
      </c>
      <c r="E235">
        <v>401</v>
      </c>
    </row>
    <row r="236" spans="1:5" ht="14.1" customHeight="1">
      <c r="A236" s="3"/>
      <c r="B236" s="4"/>
      <c r="C236">
        <v>5180</v>
      </c>
      <c r="D236" t="s">
        <v>4208</v>
      </c>
      <c r="E236">
        <v>449</v>
      </c>
    </row>
    <row r="237" spans="1:5" ht="14.1" customHeight="1">
      <c r="A237" s="3"/>
      <c r="B237" s="4"/>
      <c r="C237">
        <v>2811</v>
      </c>
      <c r="D237" t="s">
        <v>985</v>
      </c>
      <c r="E237">
        <v>511</v>
      </c>
    </row>
    <row r="238" spans="1:5" ht="14.1" customHeight="1">
      <c r="A238" s="3"/>
      <c r="B238" s="4"/>
      <c r="C238">
        <v>3362</v>
      </c>
      <c r="D238" t="s">
        <v>986</v>
      </c>
      <c r="E238">
        <v>661</v>
      </c>
    </row>
    <row r="239" spans="1:5" ht="14.1" customHeight="1">
      <c r="A239" s="3"/>
      <c r="B239" s="4"/>
      <c r="C239">
        <v>4897</v>
      </c>
      <c r="D239" t="s">
        <v>3799</v>
      </c>
      <c r="E239">
        <v>422</v>
      </c>
    </row>
    <row r="240" spans="1:5" ht="14.1" customHeight="1">
      <c r="A240" s="3"/>
      <c r="B240" s="4"/>
      <c r="C240">
        <v>4111</v>
      </c>
      <c r="D240" t="s">
        <v>987</v>
      </c>
      <c r="E240">
        <v>653</v>
      </c>
    </row>
    <row r="241" spans="1:5" ht="14.1" customHeight="1">
      <c r="A241" s="3"/>
      <c r="B241" s="4"/>
      <c r="C241">
        <v>2035</v>
      </c>
      <c r="D241" t="s">
        <v>988</v>
      </c>
      <c r="E241">
        <v>993</v>
      </c>
    </row>
    <row r="242" spans="1:5" ht="14.1" customHeight="1">
      <c r="A242" s="3"/>
      <c r="B242" s="4"/>
      <c r="C242">
        <v>4840</v>
      </c>
      <c r="D242" t="s">
        <v>3800</v>
      </c>
      <c r="E242">
        <v>510</v>
      </c>
    </row>
    <row r="243" spans="1:5" ht="14.1" customHeight="1">
      <c r="A243" s="3"/>
      <c r="B243" s="4"/>
      <c r="C243">
        <v>1963</v>
      </c>
      <c r="D243" t="s">
        <v>989</v>
      </c>
      <c r="E243">
        <v>794</v>
      </c>
    </row>
    <row r="244" spans="1:5" ht="14.1" customHeight="1">
      <c r="A244" s="3"/>
      <c r="B244" s="4"/>
      <c r="C244">
        <v>825</v>
      </c>
      <c r="D244" t="s">
        <v>321</v>
      </c>
      <c r="E244">
        <v>351</v>
      </c>
    </row>
    <row r="245" spans="1:5" ht="14.1" customHeight="1">
      <c r="A245" s="3"/>
      <c r="B245" s="4"/>
      <c r="C245">
        <v>109</v>
      </c>
      <c r="D245" t="s">
        <v>322</v>
      </c>
      <c r="E245">
        <v>1098</v>
      </c>
    </row>
    <row r="246" spans="1:5" ht="14.1" customHeight="1">
      <c r="A246" s="3"/>
      <c r="B246" s="4"/>
      <c r="C246">
        <v>4688</v>
      </c>
      <c r="D246" t="s">
        <v>3801</v>
      </c>
      <c r="E246">
        <v>374</v>
      </c>
    </row>
    <row r="247" spans="1:5" ht="14.1" customHeight="1">
      <c r="A247" s="3"/>
      <c r="B247" s="4"/>
      <c r="C247">
        <v>4163</v>
      </c>
      <c r="D247" t="s">
        <v>990</v>
      </c>
      <c r="E247">
        <v>898</v>
      </c>
    </row>
    <row r="248" spans="1:5" ht="14.1" customHeight="1">
      <c r="A248" s="3"/>
      <c r="B248" s="4"/>
      <c r="C248">
        <v>1001</v>
      </c>
      <c r="D248" t="s">
        <v>991</v>
      </c>
      <c r="E248">
        <v>345</v>
      </c>
    </row>
    <row r="249" spans="1:5" ht="14.1" customHeight="1">
      <c r="A249" s="3"/>
      <c r="B249" s="4"/>
      <c r="C249">
        <v>4914</v>
      </c>
      <c r="D249" t="s">
        <v>3802</v>
      </c>
      <c r="E249">
        <v>384</v>
      </c>
    </row>
    <row r="250" spans="1:5" ht="14.1" customHeight="1">
      <c r="A250" s="3"/>
      <c r="B250" s="4"/>
      <c r="C250">
        <v>4246</v>
      </c>
      <c r="D250" t="s">
        <v>992</v>
      </c>
      <c r="E250">
        <v>294</v>
      </c>
    </row>
    <row r="251" spans="1:5" ht="14.1" customHeight="1">
      <c r="A251" s="3"/>
      <c r="B251" s="4"/>
      <c r="C251">
        <v>4667</v>
      </c>
      <c r="D251" t="s">
        <v>3803</v>
      </c>
      <c r="E251">
        <v>653</v>
      </c>
    </row>
    <row r="252" spans="1:5" ht="14.1" customHeight="1">
      <c r="A252" s="3"/>
      <c r="B252" s="5"/>
      <c r="C252">
        <v>850</v>
      </c>
      <c r="D252" t="s">
        <v>323</v>
      </c>
      <c r="E252">
        <v>690</v>
      </c>
    </row>
    <row r="253" spans="1:5" ht="14.1" customHeight="1">
      <c r="A253" s="3"/>
      <c r="B253" s="4"/>
      <c r="C253">
        <v>1952</v>
      </c>
      <c r="D253" t="s">
        <v>993</v>
      </c>
      <c r="E253">
        <v>613</v>
      </c>
    </row>
    <row r="254" spans="1:5" ht="14.1" customHeight="1">
      <c r="A254" s="3"/>
      <c r="B254" s="4"/>
      <c r="C254">
        <v>1830</v>
      </c>
      <c r="D254" t="s">
        <v>994</v>
      </c>
      <c r="E254">
        <v>345</v>
      </c>
    </row>
    <row r="255" spans="1:5" ht="14.1" customHeight="1">
      <c r="A255" s="3"/>
      <c r="B255" s="4"/>
      <c r="C255">
        <v>2396</v>
      </c>
      <c r="D255" t="s">
        <v>995</v>
      </c>
      <c r="E255">
        <v>332</v>
      </c>
    </row>
    <row r="256" spans="1:5" ht="14.1" customHeight="1">
      <c r="A256" s="3"/>
      <c r="B256" s="4"/>
      <c r="C256">
        <v>876</v>
      </c>
      <c r="D256" t="s">
        <v>324</v>
      </c>
      <c r="E256">
        <v>646</v>
      </c>
    </row>
    <row r="257" spans="1:5" ht="14.1" customHeight="1">
      <c r="A257" s="3"/>
      <c r="B257" s="4"/>
      <c r="C257">
        <v>4458</v>
      </c>
      <c r="D257" t="s">
        <v>3577</v>
      </c>
      <c r="E257">
        <v>778</v>
      </c>
    </row>
    <row r="258" spans="1:5" ht="14.1" customHeight="1">
      <c r="A258" s="3"/>
      <c r="B258" s="4"/>
      <c r="C258">
        <v>4690</v>
      </c>
      <c r="D258" t="s">
        <v>3804</v>
      </c>
      <c r="E258">
        <v>839</v>
      </c>
    </row>
    <row r="259" spans="1:5" ht="14.1" customHeight="1">
      <c r="A259" s="3"/>
      <c r="B259" s="4"/>
      <c r="C259">
        <v>603</v>
      </c>
      <c r="D259" t="s">
        <v>996</v>
      </c>
      <c r="E259">
        <v>341</v>
      </c>
    </row>
    <row r="260" spans="1:5" ht="14.1" customHeight="1">
      <c r="A260" s="3"/>
      <c r="B260" s="4"/>
      <c r="C260">
        <v>1736</v>
      </c>
      <c r="D260" t="s">
        <v>997</v>
      </c>
      <c r="E260">
        <v>640</v>
      </c>
    </row>
    <row r="261" spans="1:5" ht="14.1" customHeight="1">
      <c r="A261" s="3"/>
      <c r="B261" s="4"/>
      <c r="C261">
        <v>206</v>
      </c>
      <c r="D261" t="s">
        <v>100</v>
      </c>
      <c r="E261">
        <v>415</v>
      </c>
    </row>
    <row r="262" spans="1:5" ht="14.1" customHeight="1">
      <c r="A262" s="3"/>
      <c r="B262" s="5"/>
      <c r="C262">
        <v>2296</v>
      </c>
      <c r="D262" t="s">
        <v>998</v>
      </c>
      <c r="E262">
        <v>718</v>
      </c>
    </row>
    <row r="263" spans="1:5" ht="14.1" customHeight="1">
      <c r="A263" s="3"/>
      <c r="B263" s="4"/>
      <c r="C263">
        <v>4736</v>
      </c>
      <c r="D263" t="s">
        <v>3805</v>
      </c>
      <c r="E263">
        <v>406</v>
      </c>
    </row>
    <row r="264" spans="1:5" ht="14.1" customHeight="1">
      <c r="A264" s="3"/>
      <c r="B264" s="4"/>
      <c r="C264">
        <v>4547</v>
      </c>
      <c r="D264" t="s">
        <v>3578</v>
      </c>
      <c r="E264">
        <v>567</v>
      </c>
    </row>
    <row r="265" spans="1:5" ht="14.1" customHeight="1">
      <c r="A265" s="3"/>
      <c r="B265" s="4"/>
      <c r="C265">
        <v>4877</v>
      </c>
      <c r="D265" t="s">
        <v>3806</v>
      </c>
      <c r="E265">
        <v>574</v>
      </c>
    </row>
    <row r="266" spans="1:5" ht="14.1" customHeight="1">
      <c r="A266" s="3"/>
      <c r="B266" s="4"/>
      <c r="C266">
        <v>587</v>
      </c>
      <c r="D266" t="s">
        <v>325</v>
      </c>
      <c r="E266">
        <v>472</v>
      </c>
    </row>
    <row r="267" spans="1:5" ht="14.1" customHeight="1">
      <c r="A267" s="3"/>
      <c r="B267" s="4"/>
      <c r="C267">
        <v>915</v>
      </c>
      <c r="D267" t="s">
        <v>326</v>
      </c>
      <c r="E267">
        <v>785</v>
      </c>
    </row>
    <row r="268" spans="1:5" ht="14.1" customHeight="1">
      <c r="A268" s="3"/>
      <c r="B268" s="4"/>
      <c r="C268">
        <v>988</v>
      </c>
      <c r="D268" t="s">
        <v>999</v>
      </c>
      <c r="E268">
        <v>445</v>
      </c>
    </row>
    <row r="269" spans="1:5" ht="14.1" customHeight="1">
      <c r="A269" s="3"/>
      <c r="B269" s="4"/>
      <c r="C269">
        <v>1144</v>
      </c>
      <c r="D269" t="s">
        <v>1000</v>
      </c>
      <c r="E269">
        <v>761</v>
      </c>
    </row>
    <row r="270" spans="1:5" ht="14.1" customHeight="1">
      <c r="A270" s="3"/>
      <c r="B270" s="4"/>
      <c r="C270">
        <v>2088</v>
      </c>
      <c r="D270" t="s">
        <v>1001</v>
      </c>
      <c r="E270">
        <v>714</v>
      </c>
    </row>
    <row r="271" spans="1:5" ht="14.1" customHeight="1">
      <c r="A271" s="3"/>
      <c r="B271" s="4"/>
      <c r="C271">
        <v>4891</v>
      </c>
      <c r="D271" t="s">
        <v>3807</v>
      </c>
      <c r="E271">
        <v>0</v>
      </c>
    </row>
    <row r="272" spans="1:5" ht="14.1" customHeight="1">
      <c r="A272" s="3"/>
      <c r="B272" s="4"/>
      <c r="C272">
        <v>1798</v>
      </c>
      <c r="D272" t="s">
        <v>1002</v>
      </c>
      <c r="E272">
        <v>458</v>
      </c>
    </row>
    <row r="273" spans="1:5" ht="14.1" customHeight="1">
      <c r="A273" s="3"/>
      <c r="B273" s="4"/>
      <c r="C273">
        <v>520</v>
      </c>
      <c r="D273" t="s">
        <v>327</v>
      </c>
      <c r="E273">
        <v>426</v>
      </c>
    </row>
    <row r="274" spans="1:5" ht="14.1" customHeight="1">
      <c r="A274" s="3"/>
      <c r="B274" s="4"/>
      <c r="C274">
        <v>1403</v>
      </c>
      <c r="D274" t="s">
        <v>1003</v>
      </c>
      <c r="E274">
        <v>673</v>
      </c>
    </row>
    <row r="275" spans="1:5" ht="14.1" customHeight="1">
      <c r="A275" s="3"/>
      <c r="B275" s="4"/>
      <c r="C275">
        <v>4240</v>
      </c>
      <c r="D275" t="s">
        <v>1004</v>
      </c>
      <c r="E275">
        <v>340</v>
      </c>
    </row>
    <row r="276" spans="1:5" ht="14.1" customHeight="1">
      <c r="A276" s="3"/>
      <c r="B276" s="4"/>
      <c r="C276">
        <v>406</v>
      </c>
      <c r="D276" t="s">
        <v>1005</v>
      </c>
      <c r="E276">
        <v>561</v>
      </c>
    </row>
    <row r="277" spans="1:5" ht="14.1" customHeight="1">
      <c r="A277" s="3"/>
      <c r="B277" s="4"/>
      <c r="C277">
        <v>4490</v>
      </c>
      <c r="D277" t="s">
        <v>3579</v>
      </c>
      <c r="E277">
        <v>455</v>
      </c>
    </row>
    <row r="278" spans="1:5" ht="14.1" customHeight="1">
      <c r="A278" s="3"/>
      <c r="B278" s="4"/>
      <c r="C278">
        <v>1771</v>
      </c>
      <c r="D278" t="s">
        <v>1006</v>
      </c>
      <c r="E278">
        <v>567</v>
      </c>
    </row>
    <row r="279" spans="1:5" ht="14.1" customHeight="1">
      <c r="A279" s="3"/>
      <c r="B279" s="4"/>
      <c r="C279">
        <v>1260</v>
      </c>
      <c r="D279" t="s">
        <v>1007</v>
      </c>
      <c r="E279">
        <v>492</v>
      </c>
    </row>
    <row r="280" spans="1:5" ht="14.1" customHeight="1">
      <c r="A280" s="3"/>
      <c r="B280" s="4"/>
      <c r="C280">
        <v>2461</v>
      </c>
      <c r="D280" t="s">
        <v>1008</v>
      </c>
      <c r="E280">
        <v>648</v>
      </c>
    </row>
    <row r="281" spans="1:5" ht="14.1" customHeight="1">
      <c r="A281" s="3"/>
      <c r="B281" s="4"/>
      <c r="C281">
        <v>541</v>
      </c>
      <c r="D281" t="s">
        <v>328</v>
      </c>
      <c r="E281">
        <v>314</v>
      </c>
    </row>
    <row r="282" spans="1:5" ht="14.1" customHeight="1">
      <c r="A282" s="3"/>
      <c r="B282" s="4"/>
      <c r="C282">
        <v>2560</v>
      </c>
      <c r="D282" t="s">
        <v>1009</v>
      </c>
      <c r="E282">
        <v>814</v>
      </c>
    </row>
    <row r="283" spans="1:5" ht="14.1" customHeight="1">
      <c r="A283" s="3"/>
      <c r="B283" s="4"/>
      <c r="C283">
        <v>3282</v>
      </c>
      <c r="D283" t="s">
        <v>1010</v>
      </c>
      <c r="E283">
        <v>0</v>
      </c>
    </row>
    <row r="284" spans="1:5" ht="14.1" customHeight="1">
      <c r="A284" s="3"/>
      <c r="B284" s="4"/>
      <c r="C284">
        <v>1057</v>
      </c>
      <c r="D284" t="s">
        <v>1011</v>
      </c>
      <c r="E284">
        <v>598</v>
      </c>
    </row>
    <row r="285" spans="1:5" ht="14.1" customHeight="1">
      <c r="A285" s="3"/>
      <c r="B285" s="5"/>
      <c r="C285">
        <v>1486</v>
      </c>
      <c r="D285" t="s">
        <v>1012</v>
      </c>
      <c r="E285">
        <v>627</v>
      </c>
    </row>
    <row r="286" spans="1:5" ht="14.1" customHeight="1">
      <c r="A286" s="3"/>
      <c r="B286" s="4"/>
      <c r="C286">
        <v>1503</v>
      </c>
      <c r="D286" t="s">
        <v>1013</v>
      </c>
      <c r="E286">
        <v>727</v>
      </c>
    </row>
    <row r="287" spans="1:5" ht="14.1" customHeight="1">
      <c r="A287" s="3"/>
      <c r="B287" s="4"/>
      <c r="C287">
        <v>775</v>
      </c>
      <c r="D287" t="s">
        <v>329</v>
      </c>
      <c r="E287">
        <v>677</v>
      </c>
    </row>
    <row r="288" spans="1:5" ht="14.1" customHeight="1">
      <c r="A288" s="3"/>
      <c r="B288" s="4"/>
      <c r="C288">
        <v>46</v>
      </c>
      <c r="D288" t="s">
        <v>330</v>
      </c>
      <c r="E288">
        <v>680</v>
      </c>
    </row>
    <row r="289" spans="1:5" ht="14.1" customHeight="1">
      <c r="A289" s="3"/>
      <c r="B289" s="4"/>
      <c r="C289">
        <v>4160</v>
      </c>
      <c r="D289" t="s">
        <v>1014</v>
      </c>
      <c r="E289">
        <v>592</v>
      </c>
    </row>
    <row r="290" spans="1:5" ht="14.1" customHeight="1">
      <c r="A290" s="3"/>
      <c r="B290" s="4"/>
      <c r="C290">
        <v>4347</v>
      </c>
      <c r="D290" t="s">
        <v>1015</v>
      </c>
      <c r="E290">
        <v>425</v>
      </c>
    </row>
    <row r="291" spans="1:5" ht="14.1" customHeight="1">
      <c r="A291" s="3"/>
      <c r="B291" s="4"/>
      <c r="C291">
        <v>1809</v>
      </c>
      <c r="D291" t="s">
        <v>1016</v>
      </c>
      <c r="E291">
        <v>401</v>
      </c>
    </row>
    <row r="292" spans="1:5" ht="14.1" customHeight="1">
      <c r="A292" s="3"/>
      <c r="B292" s="5"/>
      <c r="C292">
        <v>1777</v>
      </c>
      <c r="D292" t="s">
        <v>1017</v>
      </c>
      <c r="E292">
        <v>460</v>
      </c>
    </row>
    <row r="293" spans="1:5" ht="14.1" customHeight="1">
      <c r="A293" s="3"/>
      <c r="B293" s="5"/>
      <c r="C293">
        <v>1621</v>
      </c>
      <c r="D293" t="s">
        <v>1018</v>
      </c>
      <c r="E293">
        <v>550</v>
      </c>
    </row>
    <row r="294" spans="1:5" ht="14.1" customHeight="1">
      <c r="A294" s="3"/>
      <c r="B294" s="5"/>
      <c r="C294">
        <v>924</v>
      </c>
      <c r="D294" t="s">
        <v>1019</v>
      </c>
      <c r="E294">
        <v>535</v>
      </c>
    </row>
    <row r="295" spans="1:5" ht="14.1" customHeight="1">
      <c r="A295" s="3"/>
      <c r="B295" s="5"/>
      <c r="C295">
        <v>3189</v>
      </c>
      <c r="D295" t="s">
        <v>1020</v>
      </c>
      <c r="E295">
        <v>0</v>
      </c>
    </row>
    <row r="296" spans="1:5" ht="14.1" customHeight="1">
      <c r="A296" s="3"/>
      <c r="B296" s="5"/>
      <c r="C296">
        <v>4394</v>
      </c>
      <c r="D296" t="s">
        <v>1021</v>
      </c>
      <c r="E296">
        <v>746</v>
      </c>
    </row>
    <row r="297" spans="1:5" ht="14.1" customHeight="1">
      <c r="A297" s="3"/>
      <c r="B297" s="5"/>
      <c r="C297">
        <v>2508</v>
      </c>
      <c r="D297" t="s">
        <v>1022</v>
      </c>
      <c r="E297">
        <v>411</v>
      </c>
    </row>
    <row r="298" spans="1:5" ht="14.1" customHeight="1">
      <c r="A298" s="3"/>
      <c r="B298" s="5"/>
      <c r="C298">
        <v>1240</v>
      </c>
      <c r="D298" t="s">
        <v>1023</v>
      </c>
      <c r="E298">
        <v>545</v>
      </c>
    </row>
    <row r="299" spans="1:5" ht="14.1" customHeight="1">
      <c r="A299" s="3"/>
      <c r="B299" s="5"/>
      <c r="C299">
        <v>2133</v>
      </c>
      <c r="D299" t="s">
        <v>1024</v>
      </c>
      <c r="E299">
        <v>406</v>
      </c>
    </row>
    <row r="300" spans="1:5" ht="14.1" customHeight="1">
      <c r="A300" s="3"/>
      <c r="B300" s="4"/>
      <c r="C300">
        <v>819</v>
      </c>
      <c r="D300" t="s">
        <v>331</v>
      </c>
      <c r="E300">
        <v>559</v>
      </c>
    </row>
    <row r="301" spans="1:5" ht="14.1" customHeight="1">
      <c r="A301" s="3"/>
      <c r="B301" s="5"/>
      <c r="C301">
        <v>860</v>
      </c>
      <c r="D301" t="s">
        <v>332</v>
      </c>
      <c r="E301">
        <v>888</v>
      </c>
    </row>
    <row r="302" spans="1:5" ht="14.1" customHeight="1">
      <c r="A302" s="3"/>
      <c r="B302" s="5"/>
      <c r="C302">
        <v>2740</v>
      </c>
      <c r="D302" t="s">
        <v>1025</v>
      </c>
      <c r="E302">
        <v>829</v>
      </c>
    </row>
    <row r="303" spans="1:5" ht="14.1" customHeight="1">
      <c r="A303" s="3"/>
      <c r="B303" s="5"/>
      <c r="C303">
        <v>4678</v>
      </c>
      <c r="D303" t="s">
        <v>3808</v>
      </c>
      <c r="E303">
        <v>568</v>
      </c>
    </row>
    <row r="304" spans="1:5" ht="14.1" customHeight="1">
      <c r="A304" s="3"/>
      <c r="B304" s="4"/>
      <c r="C304">
        <v>2667</v>
      </c>
      <c r="D304" t="s">
        <v>1026</v>
      </c>
      <c r="E304">
        <v>565</v>
      </c>
    </row>
    <row r="305" spans="1:5" ht="14.1" customHeight="1">
      <c r="A305" s="3"/>
      <c r="B305" s="5"/>
      <c r="C305">
        <v>1423</v>
      </c>
      <c r="D305" t="s">
        <v>1027</v>
      </c>
      <c r="E305">
        <v>628</v>
      </c>
    </row>
    <row r="306" spans="1:5" ht="14.1" customHeight="1">
      <c r="A306" s="3"/>
      <c r="B306" s="5"/>
      <c r="C306">
        <v>1331</v>
      </c>
      <c r="D306" t="s">
        <v>1028</v>
      </c>
      <c r="E306">
        <v>568</v>
      </c>
    </row>
    <row r="307" spans="1:5" ht="14.1" customHeight="1">
      <c r="A307" s="3"/>
      <c r="B307" s="5"/>
      <c r="C307">
        <v>4589</v>
      </c>
      <c r="D307" t="s">
        <v>3580</v>
      </c>
      <c r="E307">
        <v>688</v>
      </c>
    </row>
    <row r="308" spans="1:5" ht="14.1" customHeight="1">
      <c r="A308" s="3"/>
      <c r="B308" s="5"/>
      <c r="C308">
        <v>1808</v>
      </c>
      <c r="D308" t="s">
        <v>1029</v>
      </c>
      <c r="E308">
        <v>570</v>
      </c>
    </row>
    <row r="309" spans="1:5" ht="14.1" customHeight="1">
      <c r="A309" s="3"/>
      <c r="B309" s="5"/>
      <c r="C309">
        <v>1712</v>
      </c>
      <c r="D309" t="s">
        <v>1030</v>
      </c>
      <c r="E309">
        <v>405</v>
      </c>
    </row>
    <row r="310" spans="1:5" ht="14.1" customHeight="1">
      <c r="A310" s="3"/>
      <c r="B310" s="5"/>
      <c r="C310">
        <v>1587</v>
      </c>
      <c r="D310" t="s">
        <v>1031</v>
      </c>
      <c r="E310">
        <v>603</v>
      </c>
    </row>
    <row r="311" spans="1:5" ht="14.1" customHeight="1">
      <c r="A311" s="3"/>
      <c r="B311" s="5"/>
      <c r="C311">
        <v>5045</v>
      </c>
      <c r="D311" t="s">
        <v>4209</v>
      </c>
      <c r="E311">
        <v>442</v>
      </c>
    </row>
    <row r="312" spans="1:5" ht="14.1" customHeight="1">
      <c r="A312" s="3"/>
      <c r="B312" s="5"/>
      <c r="C312">
        <v>569</v>
      </c>
      <c r="D312" t="s">
        <v>333</v>
      </c>
      <c r="E312">
        <v>531</v>
      </c>
    </row>
    <row r="313" spans="1:5" ht="14.1" customHeight="1">
      <c r="A313" s="3"/>
      <c r="B313" s="5"/>
      <c r="C313">
        <v>608</v>
      </c>
      <c r="D313" t="s">
        <v>334</v>
      </c>
      <c r="E313">
        <v>363</v>
      </c>
    </row>
    <row r="314" spans="1:5" ht="14.1" customHeight="1">
      <c r="A314" s="3"/>
      <c r="B314" s="5"/>
      <c r="C314">
        <v>2946</v>
      </c>
      <c r="D314" t="s">
        <v>1032</v>
      </c>
      <c r="E314">
        <v>503</v>
      </c>
    </row>
    <row r="315" spans="1:5" ht="14.1" customHeight="1">
      <c r="A315" s="3"/>
      <c r="B315" s="5"/>
      <c r="C315">
        <v>573</v>
      </c>
      <c r="D315" t="s">
        <v>1033</v>
      </c>
      <c r="E315">
        <v>565</v>
      </c>
    </row>
    <row r="316" spans="1:5" ht="14.1" customHeight="1">
      <c r="A316" s="3"/>
      <c r="B316" s="5"/>
      <c r="C316">
        <v>574</v>
      </c>
      <c r="D316" t="s">
        <v>1034</v>
      </c>
      <c r="E316">
        <v>505</v>
      </c>
    </row>
    <row r="317" spans="1:5" ht="14.1" customHeight="1">
      <c r="A317" s="3"/>
      <c r="B317" s="5"/>
      <c r="C317">
        <v>588</v>
      </c>
      <c r="D317" t="s">
        <v>335</v>
      </c>
      <c r="E317">
        <v>447</v>
      </c>
    </row>
    <row r="318" spans="1:5" ht="14.1" customHeight="1">
      <c r="A318" s="3"/>
      <c r="B318" s="5"/>
      <c r="C318">
        <v>3187</v>
      </c>
      <c r="D318" t="s">
        <v>1035</v>
      </c>
      <c r="E318">
        <v>0</v>
      </c>
    </row>
    <row r="319" spans="1:5" ht="14.1" customHeight="1">
      <c r="A319" s="3"/>
      <c r="B319" s="5"/>
      <c r="C319">
        <v>1529</v>
      </c>
      <c r="D319" t="s">
        <v>1036</v>
      </c>
      <c r="E319">
        <v>876</v>
      </c>
    </row>
    <row r="320" spans="1:5" ht="14.1" customHeight="1">
      <c r="A320" s="3"/>
      <c r="B320" s="5"/>
      <c r="C320">
        <v>143</v>
      </c>
      <c r="D320" t="s">
        <v>336</v>
      </c>
      <c r="E320">
        <v>631</v>
      </c>
    </row>
    <row r="321" spans="1:5" ht="14.1" customHeight="1">
      <c r="A321" s="3"/>
      <c r="B321" s="5"/>
      <c r="C321">
        <v>296</v>
      </c>
      <c r="D321" t="s">
        <v>337</v>
      </c>
      <c r="E321">
        <v>843</v>
      </c>
    </row>
    <row r="322" spans="1:5" ht="14.1" customHeight="1">
      <c r="A322" s="3"/>
      <c r="B322" s="5"/>
      <c r="C322">
        <v>867</v>
      </c>
      <c r="D322" t="s">
        <v>1037</v>
      </c>
      <c r="E322">
        <v>763</v>
      </c>
    </row>
    <row r="323" spans="1:5" ht="14.1" customHeight="1">
      <c r="A323" s="3"/>
      <c r="B323" s="5"/>
      <c r="C323">
        <v>1157</v>
      </c>
      <c r="D323" t="s">
        <v>1038</v>
      </c>
      <c r="E323">
        <v>677</v>
      </c>
    </row>
    <row r="324" spans="1:5" ht="14.1" customHeight="1">
      <c r="A324" s="3"/>
      <c r="B324" s="5"/>
      <c r="C324">
        <v>2562</v>
      </c>
      <c r="D324" t="s">
        <v>1039</v>
      </c>
      <c r="E324">
        <v>697</v>
      </c>
    </row>
    <row r="325" spans="1:5" ht="14.1" customHeight="1">
      <c r="A325" s="3"/>
      <c r="B325" s="5"/>
      <c r="C325">
        <v>4479</v>
      </c>
      <c r="D325" t="s">
        <v>3581</v>
      </c>
      <c r="E325">
        <v>368</v>
      </c>
    </row>
    <row r="326" spans="1:5" ht="14.1" customHeight="1">
      <c r="A326" s="3"/>
      <c r="B326" s="5"/>
      <c r="C326">
        <v>1410</v>
      </c>
      <c r="D326" t="s">
        <v>1040</v>
      </c>
      <c r="E326">
        <v>620</v>
      </c>
    </row>
    <row r="327" spans="1:5" ht="14.1" customHeight="1">
      <c r="A327" s="3"/>
      <c r="B327" s="5"/>
      <c r="C327">
        <v>1130</v>
      </c>
      <c r="D327" t="s">
        <v>1041</v>
      </c>
      <c r="E327">
        <v>548</v>
      </c>
    </row>
    <row r="328" spans="1:5" ht="14.1" customHeight="1">
      <c r="A328" s="3"/>
      <c r="B328" s="4"/>
      <c r="C328">
        <v>126</v>
      </c>
      <c r="D328" t="s">
        <v>338</v>
      </c>
      <c r="E328">
        <v>781</v>
      </c>
    </row>
    <row r="329" spans="1:5" ht="14.1" customHeight="1">
      <c r="A329" s="3"/>
      <c r="B329" s="5"/>
      <c r="C329">
        <v>1454</v>
      </c>
      <c r="D329" t="s">
        <v>1042</v>
      </c>
      <c r="E329">
        <v>427</v>
      </c>
    </row>
    <row r="330" spans="1:5" ht="14.1" customHeight="1">
      <c r="A330" s="3"/>
      <c r="B330" s="5"/>
      <c r="C330">
        <v>1950</v>
      </c>
      <c r="D330" t="s">
        <v>1043</v>
      </c>
      <c r="E330">
        <v>839</v>
      </c>
    </row>
    <row r="331" spans="1:5" ht="14.1" customHeight="1">
      <c r="A331" s="3"/>
      <c r="B331" s="5"/>
      <c r="C331">
        <v>4126</v>
      </c>
      <c r="D331" t="s">
        <v>1044</v>
      </c>
      <c r="E331">
        <v>493</v>
      </c>
    </row>
    <row r="332" spans="1:5" ht="14.1" customHeight="1">
      <c r="A332" s="3"/>
      <c r="B332" s="5"/>
      <c r="C332">
        <v>836</v>
      </c>
      <c r="D332" t="s">
        <v>339</v>
      </c>
      <c r="E332">
        <v>667</v>
      </c>
    </row>
    <row r="333" spans="1:5" ht="14.1" customHeight="1">
      <c r="A333" s="3"/>
      <c r="B333" s="5"/>
      <c r="C333">
        <v>2533</v>
      </c>
      <c r="D333" t="s">
        <v>1045</v>
      </c>
      <c r="E333">
        <v>560</v>
      </c>
    </row>
    <row r="334" spans="1:5" ht="14.1" customHeight="1">
      <c r="A334" s="3"/>
      <c r="B334" s="5"/>
      <c r="C334">
        <v>1074</v>
      </c>
      <c r="D334" t="s">
        <v>1046</v>
      </c>
      <c r="E334">
        <v>607</v>
      </c>
    </row>
    <row r="335" spans="1:5" ht="14.1" customHeight="1">
      <c r="A335" s="3"/>
      <c r="B335" s="4"/>
      <c r="C335">
        <v>659</v>
      </c>
      <c r="D335" t="s">
        <v>340</v>
      </c>
      <c r="E335">
        <v>482</v>
      </c>
    </row>
    <row r="336" spans="1:5" ht="14.1" customHeight="1">
      <c r="A336" s="3"/>
      <c r="B336" s="5"/>
      <c r="C336">
        <v>3067</v>
      </c>
      <c r="D336" t="s">
        <v>1047</v>
      </c>
      <c r="E336">
        <v>0</v>
      </c>
    </row>
    <row r="337" spans="1:5" ht="14.1" customHeight="1">
      <c r="A337" s="3"/>
      <c r="B337" s="5"/>
      <c r="C337">
        <v>589</v>
      </c>
      <c r="D337" t="s">
        <v>341</v>
      </c>
      <c r="E337">
        <v>250</v>
      </c>
    </row>
    <row r="338" spans="1:5" ht="14.1" customHeight="1">
      <c r="A338" s="3"/>
      <c r="B338" s="5"/>
      <c r="C338">
        <v>662</v>
      </c>
      <c r="D338" t="s">
        <v>342</v>
      </c>
      <c r="E338">
        <v>435</v>
      </c>
    </row>
    <row r="339" spans="1:5" ht="14.1" customHeight="1">
      <c r="A339" s="3"/>
      <c r="B339" s="5"/>
      <c r="C339">
        <v>4882</v>
      </c>
      <c r="D339" t="s">
        <v>3809</v>
      </c>
      <c r="E339">
        <v>858</v>
      </c>
    </row>
    <row r="340" spans="1:5" ht="14.1" customHeight="1">
      <c r="A340" s="3"/>
      <c r="B340" s="5"/>
      <c r="C340">
        <v>247</v>
      </c>
      <c r="D340" t="s">
        <v>101</v>
      </c>
      <c r="E340">
        <v>285</v>
      </c>
    </row>
    <row r="341" spans="1:5" ht="14.1" customHeight="1">
      <c r="A341" s="3"/>
      <c r="B341" s="5"/>
      <c r="C341">
        <v>2854</v>
      </c>
      <c r="D341" t="s">
        <v>1048</v>
      </c>
      <c r="E341">
        <v>406</v>
      </c>
    </row>
    <row r="342" spans="1:5" ht="14.1" customHeight="1">
      <c r="A342" s="3"/>
      <c r="B342" s="5"/>
      <c r="C342">
        <v>1338</v>
      </c>
      <c r="D342" t="s">
        <v>1049</v>
      </c>
      <c r="E342">
        <v>458</v>
      </c>
    </row>
    <row r="343" spans="1:5" ht="14.1" customHeight="1">
      <c r="A343" s="3"/>
      <c r="B343" s="5"/>
      <c r="C343">
        <v>839</v>
      </c>
      <c r="D343" t="s">
        <v>343</v>
      </c>
      <c r="E343">
        <v>864</v>
      </c>
    </row>
    <row r="344" spans="1:5" ht="14.1" customHeight="1">
      <c r="A344" s="3"/>
      <c r="B344" s="5"/>
      <c r="C344">
        <v>4421</v>
      </c>
      <c r="D344" t="s">
        <v>3582</v>
      </c>
      <c r="E344">
        <v>595</v>
      </c>
    </row>
    <row r="345" spans="1:5" ht="14.1" customHeight="1">
      <c r="A345" s="3"/>
      <c r="B345" s="5"/>
      <c r="C345">
        <v>2989</v>
      </c>
      <c r="D345" t="s">
        <v>1050</v>
      </c>
      <c r="E345">
        <v>471</v>
      </c>
    </row>
    <row r="346" spans="1:5" ht="14.1" customHeight="1">
      <c r="A346" s="3"/>
      <c r="B346" s="5"/>
      <c r="C346">
        <v>2287</v>
      </c>
      <c r="D346" t="s">
        <v>1051</v>
      </c>
      <c r="E346">
        <v>586</v>
      </c>
    </row>
    <row r="347" spans="1:5" ht="14.1" customHeight="1">
      <c r="A347" s="3"/>
      <c r="B347" s="5"/>
      <c r="C347">
        <v>4884</v>
      </c>
      <c r="D347" t="s">
        <v>3810</v>
      </c>
      <c r="E347">
        <v>642</v>
      </c>
    </row>
    <row r="348" spans="1:5" ht="14.1" customHeight="1">
      <c r="A348" s="3"/>
      <c r="B348" s="5"/>
      <c r="C348">
        <v>823</v>
      </c>
      <c r="D348" t="s">
        <v>344</v>
      </c>
      <c r="E348">
        <v>687</v>
      </c>
    </row>
    <row r="349" spans="1:5" ht="14.1" customHeight="1">
      <c r="A349" s="3"/>
      <c r="B349" s="5"/>
      <c r="C349">
        <v>3134</v>
      </c>
      <c r="D349" t="s">
        <v>1052</v>
      </c>
      <c r="E349">
        <v>0</v>
      </c>
    </row>
    <row r="350" spans="1:5" ht="14.1" customHeight="1">
      <c r="A350" s="3"/>
      <c r="B350" s="5"/>
      <c r="C350">
        <v>4245</v>
      </c>
      <c r="D350" t="s">
        <v>1053</v>
      </c>
      <c r="E350">
        <v>393</v>
      </c>
    </row>
    <row r="351" spans="1:5" ht="14.1" customHeight="1">
      <c r="A351" s="3"/>
      <c r="B351" s="5"/>
      <c r="C351">
        <v>5148</v>
      </c>
      <c r="D351" t="s">
        <v>4210</v>
      </c>
      <c r="E351">
        <v>398</v>
      </c>
    </row>
    <row r="352" spans="1:5" ht="14.1" customHeight="1">
      <c r="A352" s="3"/>
      <c r="B352" s="5"/>
      <c r="C352">
        <v>4279</v>
      </c>
      <c r="D352" t="s">
        <v>1054</v>
      </c>
      <c r="E352">
        <v>482</v>
      </c>
    </row>
    <row r="353" spans="1:5" ht="14.1" customHeight="1">
      <c r="A353" s="3"/>
      <c r="B353" s="5"/>
      <c r="C353">
        <v>2963</v>
      </c>
      <c r="D353" t="s">
        <v>1055</v>
      </c>
      <c r="E353">
        <v>584</v>
      </c>
    </row>
    <row r="354" spans="1:5" ht="14.1" customHeight="1">
      <c r="A354" s="3"/>
      <c r="B354" s="5"/>
      <c r="C354">
        <v>4645</v>
      </c>
      <c r="D354" t="s">
        <v>3811</v>
      </c>
      <c r="E354">
        <v>430</v>
      </c>
    </row>
    <row r="355" spans="1:5" ht="14.1" customHeight="1">
      <c r="A355" s="3"/>
      <c r="B355" s="5"/>
      <c r="C355">
        <v>2537</v>
      </c>
      <c r="D355" t="s">
        <v>1056</v>
      </c>
      <c r="E355">
        <v>516</v>
      </c>
    </row>
    <row r="356" spans="1:5" ht="14.1" customHeight="1">
      <c r="A356" s="3"/>
      <c r="B356" s="5"/>
      <c r="C356">
        <v>770</v>
      </c>
      <c r="D356" t="s">
        <v>1057</v>
      </c>
      <c r="E356">
        <v>528</v>
      </c>
    </row>
    <row r="357" spans="1:5" ht="14.1" customHeight="1">
      <c r="A357" s="3"/>
      <c r="B357" s="5"/>
      <c r="C357">
        <v>2379</v>
      </c>
      <c r="D357" t="s">
        <v>1058</v>
      </c>
      <c r="E357">
        <v>428</v>
      </c>
    </row>
    <row r="358" spans="1:5" ht="14.1" customHeight="1">
      <c r="A358" s="3"/>
      <c r="B358" s="5"/>
      <c r="C358">
        <v>5191</v>
      </c>
      <c r="D358" t="s">
        <v>4211</v>
      </c>
      <c r="E358">
        <v>523</v>
      </c>
    </row>
    <row r="359" spans="1:5" ht="14.1" customHeight="1">
      <c r="A359" s="3"/>
      <c r="B359" s="5"/>
      <c r="C359">
        <v>5158</v>
      </c>
      <c r="D359" t="s">
        <v>4212</v>
      </c>
      <c r="E359">
        <v>463</v>
      </c>
    </row>
    <row r="360" spans="1:5" ht="14.1" customHeight="1">
      <c r="A360" s="3"/>
      <c r="B360" s="5"/>
      <c r="C360">
        <v>2140</v>
      </c>
      <c r="D360" t="s">
        <v>1059</v>
      </c>
      <c r="E360">
        <v>555</v>
      </c>
    </row>
    <row r="361" spans="1:5" ht="14.1" customHeight="1">
      <c r="A361" s="3"/>
      <c r="B361" s="4"/>
      <c r="C361">
        <v>1302</v>
      </c>
      <c r="D361" t="s">
        <v>1060</v>
      </c>
      <c r="E361">
        <v>451</v>
      </c>
    </row>
    <row r="362" spans="1:5" ht="14.1" customHeight="1">
      <c r="A362" s="3"/>
      <c r="B362" s="5"/>
      <c r="C362">
        <v>2311</v>
      </c>
      <c r="D362" t="s">
        <v>1061</v>
      </c>
      <c r="E362">
        <v>1111</v>
      </c>
    </row>
    <row r="363" spans="1:5" ht="14.1" customHeight="1">
      <c r="A363" s="3"/>
      <c r="B363" s="5"/>
      <c r="C363">
        <v>4173</v>
      </c>
      <c r="D363" t="s">
        <v>1062</v>
      </c>
      <c r="E363">
        <v>686</v>
      </c>
    </row>
    <row r="364" spans="1:5" ht="14.1" customHeight="1">
      <c r="A364" s="3"/>
      <c r="B364" s="5"/>
      <c r="C364">
        <v>4870</v>
      </c>
      <c r="D364" t="s">
        <v>3812</v>
      </c>
      <c r="E364">
        <v>595</v>
      </c>
    </row>
    <row r="365" spans="1:5" ht="14.1" customHeight="1">
      <c r="A365" s="3"/>
      <c r="B365" s="4"/>
      <c r="C365">
        <v>4549</v>
      </c>
      <c r="D365" t="s">
        <v>3583</v>
      </c>
      <c r="E365">
        <v>585</v>
      </c>
    </row>
    <row r="366" spans="1:5" ht="14.1" customHeight="1">
      <c r="A366" s="3"/>
      <c r="B366" s="5"/>
      <c r="C366">
        <v>4903</v>
      </c>
      <c r="D366" t="s">
        <v>3813</v>
      </c>
      <c r="E366">
        <v>491</v>
      </c>
    </row>
    <row r="367" spans="1:5" ht="14.1" customHeight="1">
      <c r="A367" s="3"/>
      <c r="B367" s="5"/>
      <c r="C367">
        <v>2153</v>
      </c>
      <c r="D367" t="s">
        <v>1063</v>
      </c>
      <c r="E367">
        <v>720</v>
      </c>
    </row>
    <row r="368" spans="1:5" ht="14.1" customHeight="1">
      <c r="A368" s="3"/>
      <c r="B368" s="5"/>
      <c r="C368">
        <v>2268</v>
      </c>
      <c r="D368" t="s">
        <v>1064</v>
      </c>
      <c r="E368">
        <v>524</v>
      </c>
    </row>
    <row r="369" spans="1:5" ht="14.1" customHeight="1">
      <c r="A369" s="3"/>
      <c r="B369" s="5"/>
      <c r="C369">
        <v>4494</v>
      </c>
      <c r="D369" t="s">
        <v>3584</v>
      </c>
      <c r="E369">
        <v>778</v>
      </c>
    </row>
    <row r="370" spans="1:5" ht="14.1" customHeight="1">
      <c r="A370" s="3"/>
      <c r="B370" s="5"/>
      <c r="C370">
        <v>666</v>
      </c>
      <c r="D370" t="s">
        <v>345</v>
      </c>
      <c r="E370">
        <v>588</v>
      </c>
    </row>
    <row r="371" spans="1:5" ht="14.1" customHeight="1">
      <c r="A371" s="3"/>
      <c r="B371" s="5"/>
      <c r="C371">
        <v>3055</v>
      </c>
      <c r="D371" t="s">
        <v>1065</v>
      </c>
      <c r="E371">
        <v>0</v>
      </c>
    </row>
    <row r="372" spans="1:5" ht="14.1" customHeight="1">
      <c r="A372" s="3"/>
      <c r="B372" s="5"/>
      <c r="C372">
        <v>72</v>
      </c>
      <c r="D372" t="s">
        <v>346</v>
      </c>
      <c r="E372">
        <v>653</v>
      </c>
    </row>
    <row r="373" spans="1:5" ht="14.1" customHeight="1">
      <c r="A373" s="3"/>
      <c r="B373" s="5"/>
      <c r="C373">
        <v>2056</v>
      </c>
      <c r="D373" t="s">
        <v>1066</v>
      </c>
      <c r="E373">
        <v>579</v>
      </c>
    </row>
    <row r="374" spans="1:5" ht="14.1" customHeight="1">
      <c r="A374" s="3"/>
      <c r="B374" s="5"/>
      <c r="C374">
        <v>1905</v>
      </c>
      <c r="D374" t="s">
        <v>1067</v>
      </c>
      <c r="E374">
        <v>430</v>
      </c>
    </row>
    <row r="375" spans="1:5" ht="14.1" customHeight="1">
      <c r="A375" s="3"/>
      <c r="B375" s="5"/>
      <c r="C375">
        <v>3232</v>
      </c>
      <c r="D375" t="s">
        <v>1068</v>
      </c>
      <c r="E375">
        <v>0</v>
      </c>
    </row>
    <row r="376" spans="1:5" ht="14.1" customHeight="1">
      <c r="A376" s="3"/>
      <c r="B376" s="5"/>
      <c r="C376">
        <v>1404</v>
      </c>
      <c r="D376" t="s">
        <v>1069</v>
      </c>
      <c r="E376">
        <v>614</v>
      </c>
    </row>
    <row r="377" spans="1:5" ht="14.1" customHeight="1">
      <c r="A377" s="3"/>
      <c r="B377" s="5"/>
      <c r="C377">
        <v>626</v>
      </c>
      <c r="D377" t="s">
        <v>1070</v>
      </c>
      <c r="E377">
        <v>569</v>
      </c>
    </row>
    <row r="378" spans="1:5" ht="14.1" customHeight="1">
      <c r="A378" s="3"/>
      <c r="B378" s="5"/>
      <c r="C378">
        <v>4927</v>
      </c>
      <c r="D378" t="s">
        <v>3814</v>
      </c>
      <c r="E378">
        <v>526</v>
      </c>
    </row>
    <row r="379" spans="1:5" ht="14.1" customHeight="1">
      <c r="A379" s="3"/>
      <c r="B379" s="5"/>
      <c r="C379">
        <v>4580</v>
      </c>
      <c r="D379" t="s">
        <v>3585</v>
      </c>
      <c r="E379">
        <v>0</v>
      </c>
    </row>
    <row r="380" spans="1:5" ht="14.1" customHeight="1">
      <c r="A380" s="3"/>
      <c r="B380" s="5"/>
      <c r="C380">
        <v>2306</v>
      </c>
      <c r="D380" t="s">
        <v>1071</v>
      </c>
      <c r="E380">
        <v>704</v>
      </c>
    </row>
    <row r="381" spans="1:5" ht="14.1" customHeight="1">
      <c r="A381" s="3"/>
      <c r="B381" s="5"/>
      <c r="C381">
        <v>1958</v>
      </c>
      <c r="D381" t="s">
        <v>1072</v>
      </c>
      <c r="E381">
        <v>878</v>
      </c>
    </row>
    <row r="382" spans="1:5" ht="14.1" customHeight="1">
      <c r="A382" s="3"/>
      <c r="B382" s="5"/>
      <c r="C382">
        <v>4197</v>
      </c>
      <c r="D382" t="s">
        <v>1073</v>
      </c>
      <c r="E382">
        <v>459</v>
      </c>
    </row>
    <row r="383" spans="1:5" ht="14.1" customHeight="1">
      <c r="A383" s="3"/>
      <c r="B383" s="5"/>
      <c r="C383">
        <v>4226</v>
      </c>
      <c r="D383" t="s">
        <v>1074</v>
      </c>
      <c r="E383">
        <v>477</v>
      </c>
    </row>
    <row r="384" spans="1:5" ht="14.1" customHeight="1">
      <c r="A384" s="3"/>
      <c r="B384" s="5"/>
      <c r="C384">
        <v>1792</v>
      </c>
      <c r="D384" t="s">
        <v>1075</v>
      </c>
      <c r="E384">
        <v>649</v>
      </c>
    </row>
    <row r="385" spans="1:5" ht="14.1" customHeight="1">
      <c r="A385" s="3"/>
      <c r="B385" s="5"/>
      <c r="C385">
        <v>4623</v>
      </c>
      <c r="D385" t="s">
        <v>3815</v>
      </c>
      <c r="E385">
        <v>0</v>
      </c>
    </row>
    <row r="386" spans="1:5" ht="14.1" customHeight="1">
      <c r="A386" s="3"/>
      <c r="B386" s="4"/>
      <c r="C386">
        <v>1118</v>
      </c>
      <c r="D386" t="s">
        <v>1076</v>
      </c>
      <c r="E386">
        <v>638</v>
      </c>
    </row>
    <row r="387" spans="1:5" ht="14.1" customHeight="1">
      <c r="A387" s="3"/>
      <c r="B387" s="5"/>
      <c r="C387">
        <v>4227</v>
      </c>
      <c r="D387" t="s">
        <v>1077</v>
      </c>
      <c r="E387">
        <v>524</v>
      </c>
    </row>
    <row r="388" spans="1:5" ht="14.1" customHeight="1">
      <c r="A388" s="3"/>
      <c r="B388" s="5"/>
      <c r="C388">
        <v>4172</v>
      </c>
      <c r="D388" t="s">
        <v>1078</v>
      </c>
      <c r="E388">
        <v>821</v>
      </c>
    </row>
    <row r="389" spans="1:5" ht="14.1" customHeight="1">
      <c r="A389" s="3"/>
      <c r="B389" s="5"/>
      <c r="C389">
        <v>4934</v>
      </c>
      <c r="D389" t="s">
        <v>3816</v>
      </c>
      <c r="E389">
        <v>579</v>
      </c>
    </row>
    <row r="390" spans="1:5" ht="14.1" customHeight="1">
      <c r="A390" s="3"/>
      <c r="B390" s="5"/>
      <c r="C390">
        <v>1346</v>
      </c>
      <c r="D390" t="s">
        <v>1079</v>
      </c>
      <c r="E390">
        <v>606</v>
      </c>
    </row>
    <row r="391" spans="1:5" ht="14.1" customHeight="1">
      <c r="A391" s="3"/>
      <c r="B391" s="4"/>
      <c r="C391">
        <v>4966</v>
      </c>
      <c r="D391" t="s">
        <v>3817</v>
      </c>
      <c r="E391">
        <v>712</v>
      </c>
    </row>
    <row r="392" spans="1:5" ht="14.1" customHeight="1">
      <c r="A392" s="3"/>
      <c r="B392" s="5"/>
      <c r="C392">
        <v>4908</v>
      </c>
      <c r="D392" t="s">
        <v>3818</v>
      </c>
      <c r="E392">
        <v>412</v>
      </c>
    </row>
    <row r="393" spans="1:5" ht="14.1" customHeight="1">
      <c r="A393" s="3"/>
      <c r="B393" s="4"/>
      <c r="C393">
        <v>609</v>
      </c>
      <c r="D393" t="s">
        <v>347</v>
      </c>
      <c r="E393">
        <v>363</v>
      </c>
    </row>
    <row r="394" spans="1:5" ht="14.1" customHeight="1">
      <c r="A394" s="3"/>
      <c r="B394" s="5"/>
      <c r="C394">
        <v>350</v>
      </c>
      <c r="D394" t="s">
        <v>348</v>
      </c>
      <c r="E394">
        <v>720</v>
      </c>
    </row>
    <row r="395" spans="1:5" ht="14.1" customHeight="1">
      <c r="A395" s="3"/>
      <c r="B395" s="5"/>
      <c r="C395">
        <v>4811</v>
      </c>
      <c r="D395" t="s">
        <v>3819</v>
      </c>
      <c r="E395">
        <v>323</v>
      </c>
    </row>
    <row r="396" spans="1:5" ht="14.1" customHeight="1">
      <c r="A396" s="3"/>
      <c r="B396" s="5"/>
      <c r="C396">
        <v>4649</v>
      </c>
      <c r="D396" t="s">
        <v>3820</v>
      </c>
      <c r="E396">
        <v>579</v>
      </c>
    </row>
    <row r="397" spans="1:5" ht="14.1" customHeight="1">
      <c r="A397" s="3"/>
      <c r="B397" s="5"/>
      <c r="C397">
        <v>2582</v>
      </c>
      <c r="D397" t="s">
        <v>1080</v>
      </c>
      <c r="E397">
        <v>0</v>
      </c>
    </row>
    <row r="398" spans="1:5" ht="14.1" customHeight="1">
      <c r="A398" s="3"/>
      <c r="B398" s="5"/>
      <c r="C398">
        <v>1314</v>
      </c>
      <c r="D398" t="s">
        <v>1081</v>
      </c>
      <c r="E398">
        <v>570</v>
      </c>
    </row>
    <row r="399" spans="1:5" ht="14.1" customHeight="1">
      <c r="A399" s="3"/>
      <c r="B399" s="5"/>
      <c r="C399">
        <v>591</v>
      </c>
      <c r="D399" t="s">
        <v>349</v>
      </c>
      <c r="E399">
        <v>383</v>
      </c>
    </row>
    <row r="400" spans="1:5" ht="14.1" customHeight="1">
      <c r="A400" s="3"/>
      <c r="B400" s="4"/>
      <c r="C400">
        <v>564</v>
      </c>
      <c r="D400" t="s">
        <v>1082</v>
      </c>
      <c r="E400">
        <v>964</v>
      </c>
    </row>
    <row r="401" spans="1:5" ht="14.1" customHeight="1">
      <c r="A401" s="3"/>
      <c r="B401" s="5"/>
      <c r="C401">
        <v>1135</v>
      </c>
      <c r="D401" t="s">
        <v>1083</v>
      </c>
      <c r="E401">
        <v>565</v>
      </c>
    </row>
    <row r="402" spans="1:5" ht="14.1" customHeight="1">
      <c r="A402" s="3"/>
      <c r="B402" s="5"/>
      <c r="C402">
        <v>1137</v>
      </c>
      <c r="D402" t="s">
        <v>1084</v>
      </c>
      <c r="E402">
        <v>916</v>
      </c>
    </row>
    <row r="403" spans="1:5" ht="14.1" customHeight="1">
      <c r="A403" s="3"/>
      <c r="B403" s="5"/>
      <c r="C403">
        <v>4773</v>
      </c>
      <c r="D403" t="s">
        <v>3821</v>
      </c>
      <c r="E403">
        <v>589</v>
      </c>
    </row>
    <row r="404" spans="1:5" ht="14.1" customHeight="1">
      <c r="A404" s="3"/>
      <c r="B404" s="5"/>
      <c r="C404">
        <v>4260</v>
      </c>
      <c r="D404" t="s">
        <v>1085</v>
      </c>
      <c r="E404">
        <v>436</v>
      </c>
    </row>
    <row r="405" spans="1:5" ht="14.1" customHeight="1">
      <c r="A405" s="3"/>
      <c r="B405" s="5"/>
      <c r="C405">
        <v>3291</v>
      </c>
      <c r="D405" t="s">
        <v>1086</v>
      </c>
      <c r="E405">
        <v>0</v>
      </c>
    </row>
    <row r="406" spans="1:5" ht="14.1" customHeight="1">
      <c r="A406" s="3"/>
      <c r="B406" s="5"/>
      <c r="C406">
        <v>3236</v>
      </c>
      <c r="D406" t="s">
        <v>1087</v>
      </c>
      <c r="E406">
        <v>0</v>
      </c>
    </row>
    <row r="407" spans="1:5" ht="14.1" customHeight="1">
      <c r="A407" s="3"/>
      <c r="B407" s="5"/>
      <c r="C407">
        <v>3238</v>
      </c>
      <c r="D407" t="s">
        <v>1088</v>
      </c>
      <c r="E407">
        <v>0</v>
      </c>
    </row>
    <row r="408" spans="1:5" ht="14.1" customHeight="1">
      <c r="A408" s="3"/>
      <c r="B408" s="5"/>
      <c r="C408">
        <v>1162</v>
      </c>
      <c r="D408" t="s">
        <v>1089</v>
      </c>
      <c r="E408">
        <v>844</v>
      </c>
    </row>
    <row r="409" spans="1:5" ht="14.1" customHeight="1">
      <c r="A409" s="3"/>
      <c r="B409" s="5"/>
      <c r="C409">
        <v>2020</v>
      </c>
      <c r="D409" t="s">
        <v>1090</v>
      </c>
      <c r="E409">
        <v>474</v>
      </c>
    </row>
    <row r="410" spans="1:5" ht="14.1" customHeight="1">
      <c r="A410" s="3"/>
      <c r="B410" s="5"/>
      <c r="C410">
        <v>5028</v>
      </c>
      <c r="D410" t="s">
        <v>4213</v>
      </c>
      <c r="E410">
        <v>434</v>
      </c>
    </row>
    <row r="411" spans="1:5" ht="14.1" customHeight="1">
      <c r="A411" s="3"/>
      <c r="B411" s="5"/>
      <c r="C411">
        <v>4174</v>
      </c>
      <c r="D411" t="s">
        <v>1091</v>
      </c>
      <c r="E411">
        <v>686</v>
      </c>
    </row>
    <row r="412" spans="1:5" ht="14.1" customHeight="1">
      <c r="A412" s="3"/>
      <c r="B412" s="5"/>
      <c r="C412">
        <v>1073</v>
      </c>
      <c r="D412" t="s">
        <v>1092</v>
      </c>
      <c r="E412">
        <v>570</v>
      </c>
    </row>
    <row r="413" spans="1:5" ht="14.1" customHeight="1">
      <c r="A413" s="3"/>
      <c r="B413" s="5"/>
      <c r="C413">
        <v>4780</v>
      </c>
      <c r="D413" t="s">
        <v>3822</v>
      </c>
      <c r="E413">
        <v>801</v>
      </c>
    </row>
    <row r="414" spans="1:5" ht="14.1" customHeight="1">
      <c r="A414" s="3"/>
      <c r="B414" s="5"/>
      <c r="C414">
        <v>5110</v>
      </c>
      <c r="D414" t="s">
        <v>4214</v>
      </c>
      <c r="E414">
        <v>259</v>
      </c>
    </row>
    <row r="415" spans="1:5" ht="14.1" customHeight="1">
      <c r="A415" s="3"/>
      <c r="B415" s="5"/>
      <c r="C415">
        <v>1530</v>
      </c>
      <c r="D415" t="s">
        <v>1093</v>
      </c>
      <c r="E415">
        <v>1141</v>
      </c>
    </row>
    <row r="416" spans="1:5" ht="14.1" customHeight="1">
      <c r="A416" s="3"/>
      <c r="B416" s="5"/>
      <c r="C416">
        <v>4524</v>
      </c>
      <c r="D416" t="s">
        <v>3586</v>
      </c>
      <c r="E416">
        <v>754</v>
      </c>
    </row>
    <row r="417" spans="1:5" ht="14.1" customHeight="1">
      <c r="A417" s="3"/>
      <c r="B417" s="5"/>
      <c r="C417">
        <v>2691</v>
      </c>
      <c r="D417" t="s">
        <v>1094</v>
      </c>
      <c r="E417">
        <v>640</v>
      </c>
    </row>
    <row r="418" spans="1:5" ht="14.1" customHeight="1">
      <c r="A418" s="3"/>
      <c r="B418" s="5"/>
      <c r="C418">
        <v>896</v>
      </c>
      <c r="D418" t="s">
        <v>350</v>
      </c>
      <c r="E418">
        <v>663</v>
      </c>
    </row>
    <row r="419" spans="1:5" ht="14.1" customHeight="1">
      <c r="A419" s="3"/>
      <c r="B419" s="5"/>
      <c r="C419">
        <v>560</v>
      </c>
      <c r="D419" t="s">
        <v>351</v>
      </c>
      <c r="E419">
        <v>858</v>
      </c>
    </row>
    <row r="420" spans="1:5" ht="14.1" customHeight="1">
      <c r="A420" s="3"/>
      <c r="B420" s="5"/>
      <c r="C420">
        <v>2175</v>
      </c>
      <c r="D420" t="s">
        <v>1095</v>
      </c>
      <c r="E420">
        <v>295</v>
      </c>
    </row>
    <row r="421" spans="1:5" ht="14.1" customHeight="1">
      <c r="A421" s="3"/>
      <c r="B421" s="5"/>
      <c r="C421">
        <v>3366</v>
      </c>
      <c r="D421" t="s">
        <v>1096</v>
      </c>
      <c r="E421">
        <v>398</v>
      </c>
    </row>
    <row r="422" spans="1:5" ht="14.1" customHeight="1">
      <c r="A422" s="3"/>
      <c r="B422" s="5"/>
      <c r="C422">
        <v>3367</v>
      </c>
      <c r="D422" t="s">
        <v>1097</v>
      </c>
      <c r="E422">
        <v>398</v>
      </c>
    </row>
    <row r="423" spans="1:5" ht="14.1" customHeight="1">
      <c r="A423" s="3"/>
      <c r="B423" s="5"/>
      <c r="C423">
        <v>2075</v>
      </c>
      <c r="D423" t="s">
        <v>1098</v>
      </c>
      <c r="E423">
        <v>732</v>
      </c>
    </row>
    <row r="424" spans="1:5" ht="14.1" customHeight="1">
      <c r="A424" s="3"/>
      <c r="B424" s="5"/>
      <c r="C424">
        <v>1</v>
      </c>
      <c r="D424" t="s">
        <v>352</v>
      </c>
      <c r="E424">
        <v>1075</v>
      </c>
    </row>
    <row r="425" spans="1:5" ht="14.1" customHeight="1">
      <c r="A425" s="3"/>
      <c r="B425" s="5"/>
      <c r="C425">
        <v>128</v>
      </c>
      <c r="D425" t="s">
        <v>353</v>
      </c>
      <c r="E425">
        <v>850</v>
      </c>
    </row>
    <row r="426" spans="1:5" ht="14.1" customHeight="1">
      <c r="A426" s="3"/>
      <c r="B426" s="5"/>
      <c r="C426">
        <v>517</v>
      </c>
      <c r="D426" t="s">
        <v>1099</v>
      </c>
      <c r="E426">
        <v>706</v>
      </c>
    </row>
    <row r="427" spans="1:5" ht="14.1" customHeight="1">
      <c r="A427" s="3"/>
      <c r="B427" s="4"/>
      <c r="C427">
        <v>1972</v>
      </c>
      <c r="D427" t="s">
        <v>1100</v>
      </c>
      <c r="E427">
        <v>589</v>
      </c>
    </row>
    <row r="428" spans="1:5" ht="14.1" customHeight="1">
      <c r="A428" s="3"/>
      <c r="B428" s="5"/>
      <c r="C428">
        <v>1108</v>
      </c>
      <c r="D428" t="s">
        <v>1101</v>
      </c>
      <c r="E428">
        <v>566</v>
      </c>
    </row>
    <row r="429" spans="1:5" ht="14.1" customHeight="1">
      <c r="A429" s="3"/>
      <c r="B429" s="5"/>
      <c r="C429">
        <v>169</v>
      </c>
      <c r="D429" t="s">
        <v>102</v>
      </c>
      <c r="E429">
        <v>780</v>
      </c>
    </row>
    <row r="430" spans="1:5" ht="14.1" customHeight="1">
      <c r="A430" s="3"/>
      <c r="B430" s="5"/>
      <c r="C430">
        <v>2137</v>
      </c>
      <c r="D430" t="s">
        <v>1102</v>
      </c>
      <c r="E430">
        <v>428</v>
      </c>
    </row>
    <row r="431" spans="1:5" ht="14.1" customHeight="1">
      <c r="A431" s="3"/>
      <c r="B431" s="5"/>
      <c r="C431">
        <v>1448</v>
      </c>
      <c r="D431" t="s">
        <v>1103</v>
      </c>
      <c r="E431">
        <v>571</v>
      </c>
    </row>
    <row r="432" spans="1:5" ht="14.1" customHeight="1">
      <c r="A432" s="3"/>
      <c r="B432" s="5"/>
      <c r="C432">
        <v>4762</v>
      </c>
      <c r="D432" t="s">
        <v>3823</v>
      </c>
      <c r="E432">
        <v>573</v>
      </c>
    </row>
    <row r="433" spans="1:5" ht="14.1" customHeight="1">
      <c r="A433" s="3"/>
      <c r="B433" s="5"/>
      <c r="C433">
        <v>1884</v>
      </c>
      <c r="D433" t="s">
        <v>1104</v>
      </c>
      <c r="E433">
        <v>448</v>
      </c>
    </row>
    <row r="434" spans="1:5" ht="14.1" customHeight="1">
      <c r="A434" s="3"/>
      <c r="B434" s="5"/>
      <c r="C434">
        <v>5022</v>
      </c>
      <c r="D434" t="s">
        <v>3824</v>
      </c>
      <c r="E434">
        <v>386</v>
      </c>
    </row>
    <row r="435" spans="1:5" ht="14.1" customHeight="1">
      <c r="A435" s="3"/>
      <c r="B435" s="5"/>
      <c r="C435">
        <v>3312</v>
      </c>
      <c r="D435" t="s">
        <v>1105</v>
      </c>
      <c r="E435">
        <v>470</v>
      </c>
    </row>
    <row r="436" spans="1:5" ht="14.1" customHeight="1">
      <c r="A436" s="3"/>
      <c r="B436" s="5"/>
      <c r="C436">
        <v>4448</v>
      </c>
      <c r="D436" t="s">
        <v>3587</v>
      </c>
      <c r="E436">
        <v>427</v>
      </c>
    </row>
    <row r="437" spans="1:5" ht="14.1" customHeight="1">
      <c r="A437" s="3"/>
      <c r="B437" s="5"/>
      <c r="C437">
        <v>1457</v>
      </c>
      <c r="D437" t="s">
        <v>1106</v>
      </c>
      <c r="E437">
        <v>431</v>
      </c>
    </row>
    <row r="438" spans="1:5" ht="14.1" customHeight="1">
      <c r="A438" s="3"/>
      <c r="B438" s="5"/>
      <c r="C438">
        <v>3148</v>
      </c>
      <c r="D438" t="s">
        <v>1107</v>
      </c>
      <c r="E438">
        <v>0</v>
      </c>
    </row>
    <row r="439" spans="1:5" ht="14.1" customHeight="1">
      <c r="A439" s="3"/>
      <c r="B439" s="5"/>
      <c r="C439">
        <v>1316</v>
      </c>
      <c r="D439" t="s">
        <v>1108</v>
      </c>
      <c r="E439">
        <v>564</v>
      </c>
    </row>
    <row r="440" spans="1:5" ht="14.1" customHeight="1">
      <c r="A440" s="3"/>
      <c r="B440" s="5"/>
      <c r="C440">
        <v>4857</v>
      </c>
      <c r="D440" t="s">
        <v>3825</v>
      </c>
      <c r="E440">
        <v>0</v>
      </c>
    </row>
    <row r="441" spans="1:5" ht="14.1" customHeight="1">
      <c r="A441" s="3"/>
      <c r="B441" s="4"/>
      <c r="C441">
        <v>5087</v>
      </c>
      <c r="D441" t="s">
        <v>4215</v>
      </c>
      <c r="E441">
        <v>407</v>
      </c>
    </row>
    <row r="442" spans="1:5" ht="14.1" customHeight="1">
      <c r="A442" s="3"/>
      <c r="B442" s="5"/>
      <c r="C442">
        <v>5086</v>
      </c>
      <c r="D442" t="s">
        <v>4216</v>
      </c>
      <c r="E442">
        <v>407</v>
      </c>
    </row>
    <row r="443" spans="1:5" ht="14.1" customHeight="1">
      <c r="A443" s="3"/>
      <c r="B443" s="5"/>
      <c r="C443">
        <v>5007</v>
      </c>
      <c r="D443" t="s">
        <v>3826</v>
      </c>
      <c r="E443">
        <v>427</v>
      </c>
    </row>
    <row r="444" spans="1:5" ht="14.1" customHeight="1">
      <c r="A444" s="3"/>
      <c r="B444" s="5"/>
      <c r="C444">
        <v>4680</v>
      </c>
      <c r="D444" t="s">
        <v>3827</v>
      </c>
      <c r="E444">
        <v>578</v>
      </c>
    </row>
    <row r="445" spans="1:5" ht="14.1" customHeight="1">
      <c r="A445" s="3"/>
      <c r="B445" s="5"/>
      <c r="C445">
        <v>4749</v>
      </c>
      <c r="D445" t="s">
        <v>3828</v>
      </c>
      <c r="E445">
        <v>581</v>
      </c>
    </row>
    <row r="446" spans="1:5" ht="14.1" customHeight="1">
      <c r="A446" s="3"/>
      <c r="B446" s="5"/>
      <c r="C446">
        <v>4335</v>
      </c>
      <c r="D446" t="s">
        <v>1109</v>
      </c>
      <c r="E446">
        <v>614</v>
      </c>
    </row>
    <row r="447" spans="1:5" ht="14.1" customHeight="1">
      <c r="A447" s="3"/>
      <c r="B447" s="5"/>
      <c r="C447">
        <v>2006</v>
      </c>
      <c r="D447" t="s">
        <v>1110</v>
      </c>
      <c r="E447">
        <v>522</v>
      </c>
    </row>
    <row r="448" spans="1:5" ht="14.1" customHeight="1">
      <c r="A448" s="3"/>
      <c r="B448" s="5"/>
      <c r="C448">
        <v>2124</v>
      </c>
      <c r="D448" t="s">
        <v>1111</v>
      </c>
      <c r="E448">
        <v>542</v>
      </c>
    </row>
    <row r="449" spans="1:5" ht="14.1" customHeight="1">
      <c r="A449" s="3"/>
      <c r="B449" s="5"/>
      <c r="C449">
        <v>1987</v>
      </c>
      <c r="D449" t="s">
        <v>1112</v>
      </c>
      <c r="E449">
        <v>427</v>
      </c>
    </row>
    <row r="450" spans="1:5" ht="14.1" customHeight="1">
      <c r="A450" s="3"/>
      <c r="B450" s="5"/>
      <c r="C450">
        <v>1790</v>
      </c>
      <c r="D450" t="s">
        <v>1113</v>
      </c>
      <c r="E450">
        <v>456</v>
      </c>
    </row>
    <row r="451" spans="1:5" ht="14.1" customHeight="1">
      <c r="A451" s="3"/>
      <c r="B451" s="5"/>
      <c r="C451">
        <v>2880</v>
      </c>
      <c r="D451" t="s">
        <v>1114</v>
      </c>
      <c r="E451">
        <v>363</v>
      </c>
    </row>
    <row r="452" spans="1:5" ht="14.1" customHeight="1">
      <c r="A452" s="3"/>
      <c r="B452" s="4"/>
      <c r="C452">
        <v>5155</v>
      </c>
      <c r="D452" t="s">
        <v>4217</v>
      </c>
      <c r="E452">
        <v>532</v>
      </c>
    </row>
    <row r="453" spans="1:5" ht="14.1" customHeight="1">
      <c r="A453" s="3"/>
      <c r="B453" s="5"/>
      <c r="C453">
        <v>5159</v>
      </c>
      <c r="D453" t="s">
        <v>4218</v>
      </c>
      <c r="E453">
        <v>0</v>
      </c>
    </row>
    <row r="454" spans="1:5" ht="14.1" customHeight="1">
      <c r="A454" s="3"/>
      <c r="B454" s="5"/>
      <c r="C454">
        <v>3099</v>
      </c>
      <c r="D454" t="s">
        <v>1115</v>
      </c>
      <c r="E454">
        <v>0</v>
      </c>
    </row>
    <row r="455" spans="1:5" ht="14.1" customHeight="1">
      <c r="A455" s="3"/>
      <c r="B455" s="5"/>
      <c r="C455">
        <v>424</v>
      </c>
      <c r="D455" t="s">
        <v>103</v>
      </c>
      <c r="E455">
        <v>585</v>
      </c>
    </row>
    <row r="456" spans="1:5" ht="14.1" customHeight="1">
      <c r="A456" s="3"/>
      <c r="B456" s="4"/>
      <c r="C456">
        <v>1670</v>
      </c>
      <c r="D456" t="s">
        <v>1116</v>
      </c>
      <c r="E456">
        <v>869</v>
      </c>
    </row>
    <row r="457" spans="1:5" ht="14.1" customHeight="1">
      <c r="A457" s="3"/>
      <c r="B457" s="5"/>
      <c r="C457">
        <v>4311</v>
      </c>
      <c r="D457" t="s">
        <v>1117</v>
      </c>
      <c r="E457">
        <v>474</v>
      </c>
    </row>
    <row r="458" spans="1:5" ht="14.1" customHeight="1">
      <c r="A458" s="3"/>
      <c r="B458" s="5"/>
      <c r="C458">
        <v>2941</v>
      </c>
      <c r="D458" t="s">
        <v>1118</v>
      </c>
      <c r="E458">
        <v>542</v>
      </c>
    </row>
    <row r="459" spans="1:5" ht="14.1" customHeight="1">
      <c r="A459" s="3"/>
      <c r="B459" s="5"/>
      <c r="C459">
        <v>2285</v>
      </c>
      <c r="D459" t="s">
        <v>1119</v>
      </c>
      <c r="E459">
        <v>531</v>
      </c>
    </row>
    <row r="460" spans="1:5" ht="14.1" customHeight="1">
      <c r="A460" s="3"/>
      <c r="B460" s="5"/>
      <c r="C460">
        <v>2207</v>
      </c>
      <c r="D460" t="s">
        <v>1120</v>
      </c>
      <c r="E460">
        <v>500</v>
      </c>
    </row>
    <row r="461" spans="1:5" ht="14.1" customHeight="1">
      <c r="A461" s="3"/>
      <c r="B461" s="5"/>
      <c r="C461">
        <v>1730</v>
      </c>
      <c r="D461" t="s">
        <v>1121</v>
      </c>
      <c r="E461">
        <v>805</v>
      </c>
    </row>
    <row r="462" spans="1:5" ht="14.1" customHeight="1">
      <c r="A462" s="3"/>
      <c r="B462" s="5"/>
      <c r="C462">
        <v>2973</v>
      </c>
      <c r="D462" t="s">
        <v>1122</v>
      </c>
      <c r="E462">
        <v>522</v>
      </c>
    </row>
    <row r="463" spans="1:5" ht="14.1" customHeight="1">
      <c r="A463" s="3"/>
      <c r="B463" s="5"/>
      <c r="C463">
        <v>682</v>
      </c>
      <c r="D463" t="s">
        <v>354</v>
      </c>
      <c r="E463">
        <v>685</v>
      </c>
    </row>
    <row r="464" spans="1:5" ht="14.1" customHeight="1">
      <c r="A464" s="3"/>
      <c r="B464" s="4"/>
      <c r="C464">
        <v>230</v>
      </c>
      <c r="D464" t="s">
        <v>104</v>
      </c>
      <c r="E464">
        <v>275</v>
      </c>
    </row>
    <row r="465" spans="1:5" ht="14.1" customHeight="1">
      <c r="A465" s="3"/>
      <c r="B465" s="5"/>
      <c r="C465">
        <v>1989</v>
      </c>
      <c r="D465" t="s">
        <v>1123</v>
      </c>
      <c r="E465">
        <v>441</v>
      </c>
    </row>
    <row r="466" spans="1:5" ht="14.1" customHeight="1">
      <c r="A466" s="3"/>
      <c r="B466" s="5"/>
      <c r="C466">
        <v>1991</v>
      </c>
      <c r="D466" t="s">
        <v>1124</v>
      </c>
      <c r="E466">
        <v>457</v>
      </c>
    </row>
    <row r="467" spans="1:5" ht="14.1" customHeight="1">
      <c r="A467" s="3"/>
      <c r="B467" s="5"/>
      <c r="C467">
        <v>4904</v>
      </c>
      <c r="D467" t="s">
        <v>3829</v>
      </c>
      <c r="E467">
        <v>476</v>
      </c>
    </row>
    <row r="468" spans="1:5" ht="14.1" customHeight="1">
      <c r="A468" s="3"/>
      <c r="B468" s="5"/>
      <c r="C468">
        <v>383</v>
      </c>
      <c r="D468" t="s">
        <v>105</v>
      </c>
      <c r="E468">
        <v>545</v>
      </c>
    </row>
    <row r="469" spans="1:5" ht="14.1" customHeight="1">
      <c r="A469" s="3"/>
      <c r="B469" s="5"/>
      <c r="C469">
        <v>5118</v>
      </c>
      <c r="D469" t="s">
        <v>4219</v>
      </c>
      <c r="E469">
        <v>427</v>
      </c>
    </row>
    <row r="470" spans="1:5" ht="14.1" customHeight="1">
      <c r="A470" s="3"/>
      <c r="B470" s="5"/>
      <c r="C470">
        <v>4167</v>
      </c>
      <c r="D470" t="s">
        <v>1125</v>
      </c>
      <c r="E470">
        <v>927</v>
      </c>
    </row>
    <row r="471" spans="1:5" ht="14.1" customHeight="1">
      <c r="A471" s="3"/>
      <c r="B471" s="5"/>
      <c r="C471">
        <v>2303</v>
      </c>
      <c r="D471" t="s">
        <v>1126</v>
      </c>
      <c r="E471">
        <v>916</v>
      </c>
    </row>
    <row r="472" spans="1:5" ht="14.1" customHeight="1">
      <c r="A472" s="3"/>
      <c r="B472" s="5"/>
      <c r="C472">
        <v>287</v>
      </c>
      <c r="D472" t="s">
        <v>106</v>
      </c>
      <c r="E472">
        <v>484</v>
      </c>
    </row>
    <row r="473" spans="1:5" ht="14.1" customHeight="1">
      <c r="A473" s="3"/>
      <c r="B473" s="5"/>
      <c r="C473">
        <v>1691</v>
      </c>
      <c r="D473" t="s">
        <v>1127</v>
      </c>
      <c r="E473">
        <v>684</v>
      </c>
    </row>
    <row r="474" spans="1:5" ht="14.1" customHeight="1">
      <c r="A474" s="3"/>
      <c r="B474" s="5"/>
      <c r="C474">
        <v>1134</v>
      </c>
      <c r="D474" t="s">
        <v>1128</v>
      </c>
      <c r="E474">
        <v>578</v>
      </c>
    </row>
    <row r="475" spans="1:5" ht="14.1" customHeight="1">
      <c r="A475" s="3"/>
      <c r="B475" s="5"/>
      <c r="C475">
        <v>1557</v>
      </c>
      <c r="D475" t="s">
        <v>1129</v>
      </c>
      <c r="E475">
        <v>567</v>
      </c>
    </row>
    <row r="476" spans="1:5" ht="14.1" customHeight="1">
      <c r="A476" s="3"/>
      <c r="B476" s="5"/>
      <c r="C476">
        <v>2145</v>
      </c>
      <c r="D476" t="s">
        <v>1130</v>
      </c>
      <c r="E476">
        <v>855</v>
      </c>
    </row>
    <row r="477" spans="1:5" ht="14.1" customHeight="1">
      <c r="A477" s="3"/>
      <c r="B477" s="5"/>
      <c r="C477">
        <v>2650</v>
      </c>
      <c r="D477" t="s">
        <v>1131</v>
      </c>
      <c r="E477">
        <v>555</v>
      </c>
    </row>
    <row r="478" spans="1:5" ht="14.1" customHeight="1">
      <c r="A478" s="3"/>
      <c r="B478" s="5"/>
      <c r="C478">
        <v>2267</v>
      </c>
      <c r="D478" t="s">
        <v>1132</v>
      </c>
      <c r="E478">
        <v>513</v>
      </c>
    </row>
    <row r="479" spans="1:5" ht="14.1" customHeight="1">
      <c r="A479" s="3"/>
      <c r="B479" s="4"/>
      <c r="C479">
        <v>21</v>
      </c>
      <c r="D479" t="s">
        <v>107</v>
      </c>
      <c r="E479">
        <v>718</v>
      </c>
    </row>
    <row r="480" spans="1:5" ht="14.1" customHeight="1">
      <c r="A480" s="3"/>
      <c r="B480" s="5"/>
      <c r="C480">
        <v>2722</v>
      </c>
      <c r="D480" t="s">
        <v>1133</v>
      </c>
      <c r="E480">
        <v>464</v>
      </c>
    </row>
    <row r="481" spans="1:5" ht="14.1" customHeight="1">
      <c r="A481" s="3"/>
      <c r="B481" s="5"/>
      <c r="C481">
        <v>53</v>
      </c>
      <c r="D481" t="s">
        <v>355</v>
      </c>
      <c r="E481">
        <v>867</v>
      </c>
    </row>
    <row r="482" spans="1:5" ht="14.1" customHeight="1">
      <c r="A482" s="3"/>
      <c r="B482" s="5"/>
      <c r="C482">
        <v>5037</v>
      </c>
      <c r="D482" t="s">
        <v>4220</v>
      </c>
      <c r="E482">
        <v>792</v>
      </c>
    </row>
    <row r="483" spans="1:5" ht="14.1" customHeight="1">
      <c r="A483" s="3"/>
      <c r="B483" s="5"/>
      <c r="C483">
        <v>4945</v>
      </c>
      <c r="D483" t="s">
        <v>3830</v>
      </c>
      <c r="E483">
        <v>387</v>
      </c>
    </row>
    <row r="484" spans="1:5" ht="14.1" customHeight="1">
      <c r="A484" s="3"/>
      <c r="B484" s="5"/>
      <c r="C484">
        <v>471</v>
      </c>
      <c r="D484" t="s">
        <v>356</v>
      </c>
      <c r="E484">
        <v>800</v>
      </c>
    </row>
    <row r="485" spans="1:5" ht="14.1" customHeight="1">
      <c r="A485" s="3"/>
      <c r="B485" s="5"/>
      <c r="C485">
        <v>3085</v>
      </c>
      <c r="D485" t="s">
        <v>1134</v>
      </c>
      <c r="E485">
        <v>0</v>
      </c>
    </row>
    <row r="486" spans="1:5" ht="14.1" customHeight="1">
      <c r="A486" s="3"/>
      <c r="B486" s="5"/>
      <c r="C486">
        <v>1500</v>
      </c>
      <c r="D486" t="s">
        <v>1135</v>
      </c>
      <c r="E486">
        <v>754</v>
      </c>
    </row>
    <row r="487" spans="1:5" ht="14.1" customHeight="1">
      <c r="A487" s="3"/>
      <c r="B487" s="5"/>
      <c r="C487">
        <v>5177</v>
      </c>
      <c r="D487" t="s">
        <v>4221</v>
      </c>
      <c r="E487">
        <v>0</v>
      </c>
    </row>
    <row r="488" spans="1:5" ht="14.1" customHeight="1">
      <c r="A488" s="3"/>
      <c r="B488" s="5"/>
      <c r="C488">
        <v>3156</v>
      </c>
      <c r="D488" t="s">
        <v>1136</v>
      </c>
      <c r="E488">
        <v>0</v>
      </c>
    </row>
    <row r="489" spans="1:5" ht="14.1" customHeight="1">
      <c r="A489" s="3"/>
      <c r="B489" s="5"/>
      <c r="C489">
        <v>2940</v>
      </c>
      <c r="D489" t="s">
        <v>1137</v>
      </c>
      <c r="E489">
        <v>685</v>
      </c>
    </row>
    <row r="490" spans="1:5" ht="14.1" customHeight="1">
      <c r="A490" s="3"/>
      <c r="B490" s="5"/>
      <c r="C490">
        <v>15</v>
      </c>
      <c r="D490" t="s">
        <v>357</v>
      </c>
      <c r="E490">
        <v>682</v>
      </c>
    </row>
    <row r="491" spans="1:5" ht="14.1" customHeight="1">
      <c r="A491" s="3"/>
      <c r="B491" s="5"/>
      <c r="C491">
        <v>2258</v>
      </c>
      <c r="D491" t="s">
        <v>1138</v>
      </c>
      <c r="E491">
        <v>938</v>
      </c>
    </row>
    <row r="492" spans="1:5" ht="14.1" customHeight="1">
      <c r="A492" s="3"/>
      <c r="B492" s="5"/>
      <c r="C492">
        <v>273</v>
      </c>
      <c r="D492" t="s">
        <v>108</v>
      </c>
      <c r="E492">
        <v>370</v>
      </c>
    </row>
    <row r="493" spans="1:5" ht="14.1" customHeight="1">
      <c r="A493" s="3"/>
      <c r="B493" s="5"/>
      <c r="C493">
        <v>3141</v>
      </c>
      <c r="D493" t="s">
        <v>1139</v>
      </c>
      <c r="E493">
        <v>0</v>
      </c>
    </row>
    <row r="494" spans="1:5" ht="14.1" customHeight="1">
      <c r="A494" s="3"/>
      <c r="B494" s="5"/>
      <c r="C494">
        <v>1328</v>
      </c>
      <c r="D494" t="s">
        <v>1140</v>
      </c>
      <c r="E494">
        <v>752</v>
      </c>
    </row>
    <row r="495" spans="1:5" ht="14.1" customHeight="1">
      <c r="A495" s="3"/>
      <c r="B495" s="5"/>
      <c r="C495">
        <v>4183</v>
      </c>
      <c r="D495" t="s">
        <v>1141</v>
      </c>
      <c r="E495">
        <v>471</v>
      </c>
    </row>
    <row r="496" spans="1:5" ht="14.1" customHeight="1">
      <c r="A496" s="3"/>
      <c r="B496" s="4"/>
      <c r="C496">
        <v>5038</v>
      </c>
      <c r="D496" t="s">
        <v>4222</v>
      </c>
      <c r="E496">
        <v>848</v>
      </c>
    </row>
    <row r="497" spans="1:5" ht="14.1" customHeight="1">
      <c r="A497" s="3"/>
      <c r="B497" s="5"/>
      <c r="C497">
        <v>2787</v>
      </c>
      <c r="D497" t="s">
        <v>1142</v>
      </c>
      <c r="E497">
        <v>775</v>
      </c>
    </row>
    <row r="498" spans="1:5" ht="14.1" customHeight="1">
      <c r="A498" s="3"/>
      <c r="B498" s="5"/>
      <c r="C498">
        <v>3329</v>
      </c>
      <c r="D498" t="s">
        <v>1143</v>
      </c>
      <c r="E498">
        <v>0</v>
      </c>
    </row>
    <row r="499" spans="1:5" ht="14.1" customHeight="1">
      <c r="A499" s="3"/>
      <c r="B499" s="5"/>
      <c r="C499">
        <v>2980</v>
      </c>
      <c r="D499" t="s">
        <v>1144</v>
      </c>
      <c r="E499">
        <v>586</v>
      </c>
    </row>
    <row r="500" spans="1:5" ht="14.1" customHeight="1">
      <c r="A500" s="3"/>
      <c r="B500" s="5"/>
      <c r="C500">
        <v>1637</v>
      </c>
      <c r="D500" t="s">
        <v>1145</v>
      </c>
      <c r="E500">
        <v>448</v>
      </c>
    </row>
    <row r="501" spans="1:5" ht="14.1" customHeight="1">
      <c r="A501" s="3"/>
      <c r="B501" s="5"/>
      <c r="C501">
        <v>3250</v>
      </c>
      <c r="D501" t="s">
        <v>1146</v>
      </c>
      <c r="E501">
        <v>444</v>
      </c>
    </row>
    <row r="502" spans="1:5" ht="14.1" customHeight="1">
      <c r="A502" s="3"/>
      <c r="B502" s="4"/>
      <c r="C502">
        <v>5034</v>
      </c>
      <c r="D502" t="s">
        <v>4223</v>
      </c>
      <c r="E502">
        <v>867</v>
      </c>
    </row>
    <row r="503" spans="1:5" ht="14.1" customHeight="1">
      <c r="A503" s="3"/>
      <c r="B503" s="5"/>
      <c r="C503">
        <v>4586</v>
      </c>
      <c r="D503" t="s">
        <v>1147</v>
      </c>
      <c r="E503">
        <v>611</v>
      </c>
    </row>
    <row r="504" spans="1:5" ht="14.1" customHeight="1">
      <c r="A504" s="3"/>
      <c r="B504" s="5"/>
      <c r="C504">
        <v>781</v>
      </c>
      <c r="D504" t="s">
        <v>358</v>
      </c>
      <c r="E504">
        <v>709</v>
      </c>
    </row>
    <row r="505" spans="1:5" ht="14.1" customHeight="1">
      <c r="A505" s="3"/>
      <c r="B505" s="5"/>
      <c r="C505">
        <v>1393</v>
      </c>
      <c r="D505" t="s">
        <v>1148</v>
      </c>
      <c r="E505">
        <v>871</v>
      </c>
    </row>
    <row r="506" spans="1:5" ht="14.1" customHeight="1">
      <c r="A506" s="3"/>
      <c r="B506" s="4"/>
      <c r="C506">
        <v>4526</v>
      </c>
      <c r="D506" t="s">
        <v>3588</v>
      </c>
      <c r="E506">
        <v>667</v>
      </c>
    </row>
    <row r="507" spans="1:5" ht="14.1" customHeight="1">
      <c r="A507" s="3"/>
      <c r="B507" s="5"/>
      <c r="C507">
        <v>3033</v>
      </c>
      <c r="D507" t="s">
        <v>1149</v>
      </c>
      <c r="E507">
        <v>0</v>
      </c>
    </row>
    <row r="508" spans="1:5" ht="14.1" customHeight="1">
      <c r="A508" s="3"/>
      <c r="B508" s="5"/>
      <c r="C508">
        <v>494</v>
      </c>
      <c r="D508" t="s">
        <v>359</v>
      </c>
      <c r="E508">
        <v>605</v>
      </c>
    </row>
    <row r="509" spans="1:5" ht="14.1" customHeight="1">
      <c r="A509" s="3"/>
      <c r="B509" s="5"/>
      <c r="C509">
        <v>4544</v>
      </c>
      <c r="D509" t="s">
        <v>3589</v>
      </c>
      <c r="E509">
        <v>598</v>
      </c>
    </row>
    <row r="510" spans="1:5" ht="14.1" customHeight="1">
      <c r="A510" s="3"/>
      <c r="B510" s="5"/>
      <c r="C510">
        <v>857</v>
      </c>
      <c r="D510" t="s">
        <v>360</v>
      </c>
      <c r="E510">
        <v>991</v>
      </c>
    </row>
    <row r="511" spans="1:5" ht="14.1" customHeight="1">
      <c r="A511" s="3"/>
      <c r="B511" s="5"/>
      <c r="C511">
        <v>2927</v>
      </c>
      <c r="D511" t="s">
        <v>1150</v>
      </c>
      <c r="E511">
        <v>638</v>
      </c>
    </row>
    <row r="512" spans="1:5" ht="14.1" customHeight="1">
      <c r="A512" s="3"/>
      <c r="B512" s="5"/>
      <c r="C512">
        <v>793</v>
      </c>
      <c r="D512" t="s">
        <v>1151</v>
      </c>
      <c r="E512">
        <v>506</v>
      </c>
    </row>
    <row r="513" spans="1:5" ht="14.1" customHeight="1">
      <c r="A513" s="3"/>
      <c r="B513" s="5"/>
      <c r="C513">
        <v>3111</v>
      </c>
      <c r="D513" t="s">
        <v>1152</v>
      </c>
      <c r="E513">
        <v>0</v>
      </c>
    </row>
    <row r="514" spans="1:5" ht="14.1" customHeight="1">
      <c r="A514" s="3"/>
      <c r="B514" s="5"/>
      <c r="C514">
        <v>4218</v>
      </c>
      <c r="D514" t="s">
        <v>1153</v>
      </c>
      <c r="E514">
        <v>505</v>
      </c>
    </row>
    <row r="515" spans="1:5" ht="14.1" customHeight="1">
      <c r="A515" s="3"/>
      <c r="B515" s="5"/>
      <c r="C515">
        <v>2917</v>
      </c>
      <c r="D515" t="s">
        <v>1154</v>
      </c>
      <c r="E515">
        <v>773</v>
      </c>
    </row>
    <row r="516" spans="1:5" ht="14.1" customHeight="1">
      <c r="A516" s="3"/>
      <c r="B516" s="4"/>
      <c r="C516">
        <v>1669</v>
      </c>
      <c r="D516" t="s">
        <v>1155</v>
      </c>
      <c r="E516">
        <v>963</v>
      </c>
    </row>
    <row r="517" spans="1:5" ht="14.1" customHeight="1">
      <c r="A517" s="3"/>
      <c r="B517" s="5"/>
      <c r="C517">
        <v>2993</v>
      </c>
      <c r="D517" t="s">
        <v>1156</v>
      </c>
      <c r="E517">
        <v>0</v>
      </c>
    </row>
    <row r="518" spans="1:5" ht="14.1" customHeight="1">
      <c r="A518" s="3"/>
      <c r="B518" s="5"/>
      <c r="C518">
        <v>1574</v>
      </c>
      <c r="D518" t="s">
        <v>1157</v>
      </c>
      <c r="E518">
        <v>619</v>
      </c>
    </row>
    <row r="519" spans="1:5" ht="14.1" customHeight="1">
      <c r="A519" s="3"/>
      <c r="B519" s="5"/>
      <c r="C519">
        <v>4559</v>
      </c>
      <c r="D519" t="s">
        <v>3590</v>
      </c>
      <c r="E519">
        <v>410</v>
      </c>
    </row>
    <row r="520" spans="1:5" ht="14.1" customHeight="1">
      <c r="A520" s="3"/>
      <c r="B520" s="4"/>
      <c r="C520">
        <v>2871</v>
      </c>
      <c r="D520" t="s">
        <v>1158</v>
      </c>
      <c r="E520">
        <v>408</v>
      </c>
    </row>
    <row r="521" spans="1:5" ht="14.1" customHeight="1">
      <c r="A521" s="3"/>
      <c r="B521" s="4"/>
      <c r="C521">
        <v>1013</v>
      </c>
      <c r="D521" t="s">
        <v>1159</v>
      </c>
      <c r="E521">
        <v>414</v>
      </c>
    </row>
    <row r="522" spans="1:5" ht="14.1" customHeight="1">
      <c r="A522" s="3"/>
      <c r="B522" s="5"/>
      <c r="C522">
        <v>811</v>
      </c>
      <c r="D522" t="s">
        <v>361</v>
      </c>
      <c r="E522">
        <v>429</v>
      </c>
    </row>
    <row r="523" spans="1:5" ht="14.1" customHeight="1">
      <c r="A523" s="3"/>
      <c r="B523" s="5"/>
      <c r="C523">
        <v>323</v>
      </c>
      <c r="D523" t="s">
        <v>109</v>
      </c>
      <c r="E523">
        <v>620</v>
      </c>
    </row>
    <row r="524" spans="1:5" ht="14.1" customHeight="1">
      <c r="A524" s="3"/>
      <c r="B524" s="4"/>
      <c r="C524">
        <v>4576</v>
      </c>
      <c r="D524" t="s">
        <v>3591</v>
      </c>
      <c r="E524">
        <v>431</v>
      </c>
    </row>
    <row r="525" spans="1:5" ht="14.1" customHeight="1">
      <c r="A525" s="3"/>
      <c r="B525" s="5"/>
      <c r="C525">
        <v>3146</v>
      </c>
      <c r="D525" t="s">
        <v>1160</v>
      </c>
      <c r="E525">
        <v>0</v>
      </c>
    </row>
    <row r="526" spans="1:5" ht="14.1" customHeight="1">
      <c r="A526" s="3"/>
      <c r="B526" s="5"/>
      <c r="C526">
        <v>4830</v>
      </c>
      <c r="D526" t="s">
        <v>3831</v>
      </c>
      <c r="E526">
        <v>613</v>
      </c>
    </row>
    <row r="527" spans="1:5" ht="14.1" customHeight="1">
      <c r="A527" s="3"/>
      <c r="B527" s="5"/>
      <c r="C527">
        <v>1062</v>
      </c>
      <c r="D527" t="s">
        <v>1161</v>
      </c>
      <c r="E527">
        <v>806</v>
      </c>
    </row>
    <row r="528" spans="1:5" ht="14.1" customHeight="1">
      <c r="A528" s="3"/>
      <c r="B528" s="5"/>
      <c r="C528">
        <v>767</v>
      </c>
      <c r="D528" t="s">
        <v>362</v>
      </c>
      <c r="E528">
        <v>511</v>
      </c>
    </row>
    <row r="529" spans="1:5" ht="14.1" customHeight="1">
      <c r="A529" s="3"/>
      <c r="B529" s="5"/>
      <c r="C529">
        <v>768</v>
      </c>
      <c r="D529" t="s">
        <v>363</v>
      </c>
      <c r="E529">
        <v>411</v>
      </c>
    </row>
    <row r="530" spans="1:5" ht="14.1" customHeight="1">
      <c r="A530" s="3"/>
      <c r="B530" s="5"/>
      <c r="C530">
        <v>1965</v>
      </c>
      <c r="D530" t="s">
        <v>1162</v>
      </c>
      <c r="E530">
        <v>553</v>
      </c>
    </row>
    <row r="531" spans="1:5" ht="14.1" customHeight="1">
      <c r="A531" s="3"/>
      <c r="B531" s="5"/>
      <c r="C531">
        <v>2797</v>
      </c>
      <c r="D531" t="s">
        <v>1163</v>
      </c>
      <c r="E531">
        <v>469</v>
      </c>
    </row>
    <row r="532" spans="1:5" ht="14.1" customHeight="1">
      <c r="A532" s="3"/>
      <c r="B532" s="5"/>
      <c r="C532">
        <v>1504</v>
      </c>
      <c r="D532" t="s">
        <v>1164</v>
      </c>
      <c r="E532">
        <v>706</v>
      </c>
    </row>
    <row r="533" spans="1:5" ht="14.1" customHeight="1">
      <c r="A533" s="3"/>
      <c r="B533" s="5"/>
      <c r="C533">
        <v>69</v>
      </c>
      <c r="D533" t="s">
        <v>110</v>
      </c>
      <c r="E533">
        <v>540</v>
      </c>
    </row>
    <row r="534" spans="1:5" ht="14.1" customHeight="1">
      <c r="A534" s="3"/>
      <c r="B534" s="5"/>
      <c r="C534">
        <v>827</v>
      </c>
      <c r="D534" t="s">
        <v>1165</v>
      </c>
      <c r="E534">
        <v>483</v>
      </c>
    </row>
    <row r="535" spans="1:5" ht="14.1" customHeight="1">
      <c r="A535" s="3"/>
      <c r="B535" s="5"/>
      <c r="C535">
        <v>4896</v>
      </c>
      <c r="D535" t="s">
        <v>3832</v>
      </c>
      <c r="E535">
        <v>0</v>
      </c>
    </row>
    <row r="536" spans="1:5" ht="14.1" customHeight="1">
      <c r="A536" s="3"/>
      <c r="B536" s="5"/>
      <c r="C536">
        <v>361</v>
      </c>
      <c r="D536" t="s">
        <v>111</v>
      </c>
      <c r="E536">
        <v>650</v>
      </c>
    </row>
    <row r="537" spans="1:5" ht="14.1" customHeight="1">
      <c r="A537" s="3"/>
      <c r="B537" s="5"/>
      <c r="C537">
        <v>258</v>
      </c>
      <c r="D537" t="s">
        <v>1166</v>
      </c>
      <c r="E537">
        <v>343</v>
      </c>
    </row>
    <row r="538" spans="1:5" ht="14.1" customHeight="1">
      <c r="A538" s="3"/>
      <c r="B538" s="5"/>
      <c r="C538">
        <v>5</v>
      </c>
      <c r="D538" t="s">
        <v>364</v>
      </c>
      <c r="E538">
        <v>665</v>
      </c>
    </row>
    <row r="539" spans="1:5" ht="14.1" customHeight="1">
      <c r="A539" s="3"/>
      <c r="B539" s="5"/>
      <c r="C539">
        <v>3315</v>
      </c>
      <c r="D539" t="s">
        <v>1167</v>
      </c>
      <c r="E539">
        <v>0</v>
      </c>
    </row>
    <row r="540" spans="1:5" ht="14.1" customHeight="1">
      <c r="A540" s="3"/>
      <c r="B540" s="5"/>
      <c r="C540">
        <v>933</v>
      </c>
      <c r="D540" t="s">
        <v>1168</v>
      </c>
      <c r="E540">
        <v>531</v>
      </c>
    </row>
    <row r="541" spans="1:5" ht="14.1" customHeight="1">
      <c r="A541" s="3"/>
      <c r="B541" s="5"/>
      <c r="C541">
        <v>498</v>
      </c>
      <c r="D541" t="s">
        <v>365</v>
      </c>
      <c r="E541">
        <v>503</v>
      </c>
    </row>
    <row r="542" spans="1:5" ht="14.1" customHeight="1">
      <c r="A542" s="3"/>
      <c r="B542" s="5"/>
      <c r="C542">
        <v>5020</v>
      </c>
      <c r="D542" t="s">
        <v>3833</v>
      </c>
      <c r="E542">
        <v>950</v>
      </c>
    </row>
    <row r="543" spans="1:5" ht="14.1" customHeight="1">
      <c r="A543" s="3"/>
      <c r="B543" s="5"/>
      <c r="C543">
        <v>1469</v>
      </c>
      <c r="D543" t="s">
        <v>1169</v>
      </c>
      <c r="E543">
        <v>573</v>
      </c>
    </row>
    <row r="544" spans="1:5" ht="14.1" customHeight="1">
      <c r="A544" s="3"/>
      <c r="B544" s="5"/>
      <c r="C544">
        <v>2067</v>
      </c>
      <c r="D544" t="s">
        <v>1170</v>
      </c>
      <c r="E544">
        <v>1107</v>
      </c>
    </row>
    <row r="545" spans="1:5" ht="14.1" customHeight="1">
      <c r="A545" s="3"/>
      <c r="B545" s="5"/>
      <c r="C545">
        <v>2857</v>
      </c>
      <c r="D545" t="s">
        <v>1171</v>
      </c>
      <c r="E545">
        <v>386</v>
      </c>
    </row>
    <row r="546" spans="1:5" ht="14.1" customHeight="1">
      <c r="A546" s="3"/>
      <c r="B546" s="5"/>
      <c r="C546">
        <v>4698</v>
      </c>
      <c r="D546" t="s">
        <v>3834</v>
      </c>
      <c r="E546">
        <v>537</v>
      </c>
    </row>
    <row r="547" spans="1:5" ht="14.1" customHeight="1">
      <c r="A547" s="3"/>
      <c r="B547" s="5"/>
      <c r="C547">
        <v>4593</v>
      </c>
      <c r="D547" t="s">
        <v>3592</v>
      </c>
      <c r="E547">
        <v>0</v>
      </c>
    </row>
    <row r="548" spans="1:5" ht="14.1" customHeight="1">
      <c r="A548" s="3"/>
      <c r="B548" s="5"/>
      <c r="C548">
        <v>2395</v>
      </c>
      <c r="D548" t="s">
        <v>1172</v>
      </c>
      <c r="E548">
        <v>447</v>
      </c>
    </row>
    <row r="549" spans="1:5" ht="14.1" customHeight="1">
      <c r="A549" s="3"/>
      <c r="B549" s="5"/>
      <c r="C549">
        <v>4516</v>
      </c>
      <c r="D549" t="s">
        <v>3593</v>
      </c>
      <c r="E549">
        <v>741</v>
      </c>
    </row>
    <row r="550" spans="1:5" ht="14.1" customHeight="1">
      <c r="A550" s="3"/>
      <c r="B550" s="5"/>
      <c r="C550">
        <v>2320</v>
      </c>
      <c r="D550" t="s">
        <v>1173</v>
      </c>
      <c r="E550">
        <v>582</v>
      </c>
    </row>
    <row r="551" spans="1:5" ht="14.1" customHeight="1">
      <c r="A551" s="3"/>
      <c r="B551" s="5"/>
      <c r="C551">
        <v>7</v>
      </c>
      <c r="D551" t="s">
        <v>366</v>
      </c>
      <c r="E551">
        <v>1102</v>
      </c>
    </row>
    <row r="552" spans="1:5" ht="14.1" customHeight="1">
      <c r="A552" s="3"/>
      <c r="B552" s="5"/>
      <c r="C552">
        <v>8</v>
      </c>
      <c r="D552" t="s">
        <v>367</v>
      </c>
      <c r="E552">
        <v>1084</v>
      </c>
    </row>
    <row r="553" spans="1:5" ht="14.1" customHeight="1">
      <c r="A553" s="3"/>
      <c r="B553" s="5"/>
      <c r="C553">
        <v>4578</v>
      </c>
      <c r="D553" t="s">
        <v>3594</v>
      </c>
      <c r="E553">
        <v>421</v>
      </c>
    </row>
    <row r="554" spans="1:5" ht="14.1" customHeight="1">
      <c r="A554" s="3"/>
      <c r="B554" s="5"/>
      <c r="C554">
        <v>2745</v>
      </c>
      <c r="D554" t="s">
        <v>1174</v>
      </c>
      <c r="E554">
        <v>830</v>
      </c>
    </row>
    <row r="555" spans="1:5" ht="14.1" customHeight="1">
      <c r="A555" s="3"/>
      <c r="B555" s="5"/>
      <c r="C555">
        <v>1153</v>
      </c>
      <c r="D555" t="s">
        <v>1175</v>
      </c>
      <c r="E555">
        <v>577</v>
      </c>
    </row>
    <row r="556" spans="1:5" ht="14.1" customHeight="1">
      <c r="A556" s="3"/>
      <c r="B556" s="5"/>
      <c r="C556">
        <v>1780</v>
      </c>
      <c r="D556" t="s">
        <v>1176</v>
      </c>
      <c r="E556">
        <v>489</v>
      </c>
    </row>
    <row r="557" spans="1:5" ht="14.1" customHeight="1">
      <c r="A557" s="3"/>
      <c r="B557" s="5"/>
      <c r="C557">
        <v>4766</v>
      </c>
      <c r="D557" t="s">
        <v>3835</v>
      </c>
      <c r="E557">
        <v>589</v>
      </c>
    </row>
    <row r="558" spans="1:5" ht="14.1" customHeight="1">
      <c r="A558" s="3"/>
      <c r="B558" s="4"/>
      <c r="C558">
        <v>1786</v>
      </c>
      <c r="D558" t="s">
        <v>1177</v>
      </c>
      <c r="E558">
        <v>449</v>
      </c>
    </row>
    <row r="559" spans="1:5" ht="14.1" customHeight="1">
      <c r="A559" s="3"/>
      <c r="B559" s="5"/>
      <c r="C559">
        <v>4729</v>
      </c>
      <c r="D559" t="s">
        <v>3836</v>
      </c>
      <c r="E559">
        <v>494</v>
      </c>
    </row>
    <row r="560" spans="1:5" ht="14.1" customHeight="1">
      <c r="A560" s="3"/>
      <c r="B560" s="5"/>
      <c r="C560">
        <v>1817</v>
      </c>
      <c r="D560" t="s">
        <v>1178</v>
      </c>
      <c r="E560">
        <v>388</v>
      </c>
    </row>
    <row r="561" spans="1:5" ht="14.1" customHeight="1">
      <c r="A561" s="3"/>
      <c r="B561" s="5"/>
      <c r="C561">
        <v>1897</v>
      </c>
      <c r="D561" t="s">
        <v>1179</v>
      </c>
      <c r="E561">
        <v>570</v>
      </c>
    </row>
    <row r="562" spans="1:5" ht="14.1" customHeight="1">
      <c r="A562" s="3"/>
      <c r="B562" s="5"/>
      <c r="C562">
        <v>2511</v>
      </c>
      <c r="D562" t="s">
        <v>1180</v>
      </c>
      <c r="E562">
        <v>397</v>
      </c>
    </row>
    <row r="563" spans="1:5" ht="14.1" customHeight="1">
      <c r="A563" s="3"/>
      <c r="B563" s="5"/>
      <c r="C563">
        <v>2567</v>
      </c>
      <c r="D563" t="s">
        <v>368</v>
      </c>
      <c r="E563">
        <v>0</v>
      </c>
    </row>
    <row r="564" spans="1:5" ht="14.1" customHeight="1">
      <c r="A564" s="3"/>
      <c r="B564" s="5"/>
      <c r="C564">
        <v>809</v>
      </c>
      <c r="D564" t="s">
        <v>369</v>
      </c>
      <c r="E564">
        <v>496</v>
      </c>
    </row>
    <row r="565" spans="1:5" ht="14.1" customHeight="1">
      <c r="A565" s="3"/>
      <c r="B565" s="5"/>
      <c r="C565">
        <v>2147</v>
      </c>
      <c r="D565" t="s">
        <v>1181</v>
      </c>
      <c r="E565">
        <v>584</v>
      </c>
    </row>
    <row r="566" spans="1:5" ht="14.1" customHeight="1">
      <c r="A566" s="3"/>
      <c r="B566" s="5"/>
      <c r="C566">
        <v>366</v>
      </c>
      <c r="D566" t="s">
        <v>370</v>
      </c>
      <c r="E566">
        <v>587</v>
      </c>
    </row>
    <row r="567" spans="1:5" ht="14.1" customHeight="1">
      <c r="A567" s="3"/>
      <c r="B567" s="5"/>
      <c r="C567">
        <v>1020</v>
      </c>
      <c r="D567" t="s">
        <v>1182</v>
      </c>
      <c r="E567">
        <v>767</v>
      </c>
    </row>
    <row r="568" spans="1:5" ht="14.1" customHeight="1">
      <c r="A568" s="3"/>
      <c r="B568" s="5"/>
      <c r="C568">
        <v>1522</v>
      </c>
      <c r="D568" t="s">
        <v>1183</v>
      </c>
      <c r="E568">
        <v>756</v>
      </c>
    </row>
    <row r="569" spans="1:5" ht="14.1" customHeight="1">
      <c r="A569" s="3"/>
      <c r="B569" s="5"/>
      <c r="C569">
        <v>2896</v>
      </c>
      <c r="D569" t="s">
        <v>1184</v>
      </c>
      <c r="E569">
        <v>509</v>
      </c>
    </row>
    <row r="570" spans="1:5" ht="14.1" customHeight="1">
      <c r="A570" s="3"/>
      <c r="B570" s="5"/>
      <c r="C570">
        <v>4190</v>
      </c>
      <c r="D570" t="s">
        <v>1185</v>
      </c>
      <c r="E570">
        <v>501</v>
      </c>
    </row>
    <row r="571" spans="1:5" ht="14.1" customHeight="1">
      <c r="A571" s="3"/>
      <c r="B571" s="5"/>
      <c r="C571">
        <v>444</v>
      </c>
      <c r="D571" t="s">
        <v>269</v>
      </c>
      <c r="E571">
        <v>547</v>
      </c>
    </row>
    <row r="572" spans="1:5" ht="14.1" customHeight="1">
      <c r="A572" s="3"/>
      <c r="B572" s="5"/>
      <c r="C572">
        <v>884</v>
      </c>
      <c r="D572" t="s">
        <v>371</v>
      </c>
      <c r="E572">
        <v>705</v>
      </c>
    </row>
    <row r="573" spans="1:5" ht="14.1" customHeight="1">
      <c r="A573" s="3"/>
      <c r="B573" s="5"/>
      <c r="C573">
        <v>4346</v>
      </c>
      <c r="D573" t="s">
        <v>372</v>
      </c>
      <c r="E573">
        <v>776</v>
      </c>
    </row>
    <row r="574" spans="1:5" ht="14.1" customHeight="1">
      <c r="A574" s="3"/>
      <c r="B574" s="5"/>
      <c r="C574">
        <v>1681</v>
      </c>
      <c r="D574" t="s">
        <v>1186</v>
      </c>
      <c r="E574">
        <v>976</v>
      </c>
    </row>
    <row r="575" spans="1:5" ht="14.1" customHeight="1">
      <c r="A575" s="3"/>
      <c r="B575" s="5"/>
      <c r="C575">
        <v>2318</v>
      </c>
      <c r="D575" t="s">
        <v>1187</v>
      </c>
      <c r="E575">
        <v>671</v>
      </c>
    </row>
    <row r="576" spans="1:5" ht="14.1" customHeight="1">
      <c r="A576" s="3"/>
      <c r="B576" s="5"/>
      <c r="C576">
        <v>2173</v>
      </c>
      <c r="D576" t="s">
        <v>1188</v>
      </c>
      <c r="E576">
        <v>865</v>
      </c>
    </row>
    <row r="577" spans="1:5" ht="14.1" customHeight="1">
      <c r="A577" s="3"/>
      <c r="B577" s="5"/>
      <c r="C577">
        <v>774</v>
      </c>
      <c r="D577" t="s">
        <v>373</v>
      </c>
      <c r="E577">
        <v>550</v>
      </c>
    </row>
    <row r="578" spans="1:5" ht="14.1" customHeight="1">
      <c r="A578" s="3"/>
      <c r="B578" s="5"/>
      <c r="C578">
        <v>716</v>
      </c>
      <c r="D578" t="s">
        <v>374</v>
      </c>
      <c r="E578">
        <v>661</v>
      </c>
    </row>
    <row r="579" spans="1:5" ht="14.1" customHeight="1">
      <c r="A579" s="3"/>
      <c r="B579" s="5"/>
      <c r="C579">
        <v>3038</v>
      </c>
      <c r="D579" t="s">
        <v>1189</v>
      </c>
      <c r="E579">
        <v>0</v>
      </c>
    </row>
    <row r="580" spans="1:5" ht="14.1" customHeight="1">
      <c r="A580" s="3"/>
      <c r="B580" s="5"/>
      <c r="C580">
        <v>5193</v>
      </c>
      <c r="D580" t="s">
        <v>4224</v>
      </c>
      <c r="E580">
        <v>612</v>
      </c>
    </row>
    <row r="581" spans="1:5" ht="14.1" customHeight="1">
      <c r="A581" s="3"/>
      <c r="B581" s="5"/>
      <c r="C581">
        <v>4288</v>
      </c>
      <c r="D581" t="s">
        <v>1190</v>
      </c>
      <c r="E581">
        <v>514</v>
      </c>
    </row>
    <row r="582" spans="1:5" ht="14.1" customHeight="1">
      <c r="A582" s="3"/>
      <c r="B582" s="5"/>
      <c r="C582">
        <v>501</v>
      </c>
      <c r="D582" t="s">
        <v>375</v>
      </c>
      <c r="E582">
        <v>686</v>
      </c>
    </row>
    <row r="583" spans="1:5" ht="14.1" customHeight="1">
      <c r="A583" s="3"/>
      <c r="B583" s="5"/>
      <c r="C583">
        <v>2749</v>
      </c>
      <c r="D583" t="s">
        <v>1191</v>
      </c>
      <c r="E583">
        <v>713</v>
      </c>
    </row>
    <row r="584" spans="1:5" ht="14.1" customHeight="1">
      <c r="A584" s="3"/>
      <c r="B584" s="5"/>
      <c r="C584">
        <v>607</v>
      </c>
      <c r="D584" t="s">
        <v>1192</v>
      </c>
      <c r="E584">
        <v>392</v>
      </c>
    </row>
    <row r="585" spans="1:5" ht="14.1" customHeight="1">
      <c r="A585" s="3"/>
      <c r="B585" s="5"/>
      <c r="C585">
        <v>598</v>
      </c>
      <c r="D585" t="s">
        <v>1193</v>
      </c>
      <c r="E585">
        <v>473</v>
      </c>
    </row>
    <row r="586" spans="1:5" ht="14.1" customHeight="1">
      <c r="A586" s="3"/>
      <c r="B586" s="5"/>
      <c r="C586">
        <v>597</v>
      </c>
      <c r="D586" t="s">
        <v>1194</v>
      </c>
      <c r="E586">
        <v>601</v>
      </c>
    </row>
    <row r="587" spans="1:5" ht="14.1" customHeight="1">
      <c r="A587" s="3"/>
      <c r="B587" s="5"/>
      <c r="C587">
        <v>1227</v>
      </c>
      <c r="D587" t="s">
        <v>1195</v>
      </c>
      <c r="E587">
        <v>636</v>
      </c>
    </row>
    <row r="588" spans="1:5" ht="14.1" customHeight="1">
      <c r="A588" s="3"/>
      <c r="B588" s="5"/>
      <c r="C588">
        <v>66</v>
      </c>
      <c r="D588" t="s">
        <v>112</v>
      </c>
      <c r="E588">
        <v>601</v>
      </c>
    </row>
    <row r="589" spans="1:5" ht="14.1" customHeight="1">
      <c r="A589" s="3"/>
      <c r="B589" s="5"/>
      <c r="C589">
        <v>4958</v>
      </c>
      <c r="D589" t="s">
        <v>3837</v>
      </c>
      <c r="E589">
        <v>390</v>
      </c>
    </row>
    <row r="590" spans="1:5" ht="14.1" customHeight="1">
      <c r="A590" s="3"/>
      <c r="B590" s="5"/>
      <c r="C590">
        <v>4244</v>
      </c>
      <c r="D590" t="s">
        <v>1196</v>
      </c>
      <c r="E590">
        <v>393</v>
      </c>
    </row>
    <row r="591" spans="1:5" ht="14.1" customHeight="1">
      <c r="A591" s="3"/>
      <c r="B591" s="5"/>
      <c r="C591">
        <v>1608</v>
      </c>
      <c r="D591" t="s">
        <v>1197</v>
      </c>
      <c r="E591">
        <v>472</v>
      </c>
    </row>
    <row r="592" spans="1:5" ht="14.1" customHeight="1">
      <c r="A592" s="3"/>
      <c r="B592" s="5"/>
      <c r="C592">
        <v>4263</v>
      </c>
      <c r="D592" t="s">
        <v>1198</v>
      </c>
      <c r="E592">
        <v>397</v>
      </c>
    </row>
    <row r="593" spans="1:5" ht="14.1" customHeight="1">
      <c r="A593" s="3"/>
      <c r="B593" s="5"/>
      <c r="C593">
        <v>3285</v>
      </c>
      <c r="D593" t="s">
        <v>1199</v>
      </c>
      <c r="E593">
        <v>0</v>
      </c>
    </row>
    <row r="594" spans="1:5" ht="14.1" customHeight="1">
      <c r="A594" s="3"/>
      <c r="B594" s="5"/>
      <c r="C594">
        <v>2520</v>
      </c>
      <c r="D594" t="s">
        <v>1200</v>
      </c>
      <c r="E594">
        <v>434</v>
      </c>
    </row>
    <row r="595" spans="1:5" ht="14.1" customHeight="1">
      <c r="A595" s="3"/>
      <c r="B595" s="5"/>
      <c r="C595">
        <v>4564</v>
      </c>
      <c r="D595" t="s">
        <v>3595</v>
      </c>
      <c r="E595">
        <v>550</v>
      </c>
    </row>
    <row r="596" spans="1:5" ht="14.1" customHeight="1">
      <c r="A596" s="3"/>
      <c r="B596" s="5"/>
      <c r="C596">
        <v>3083</v>
      </c>
      <c r="D596" t="s">
        <v>376</v>
      </c>
      <c r="E596">
        <v>0</v>
      </c>
    </row>
    <row r="597" spans="1:5" ht="14.1" customHeight="1">
      <c r="A597" s="3"/>
      <c r="B597" s="4"/>
      <c r="C597">
        <v>728</v>
      </c>
      <c r="D597" t="s">
        <v>1201</v>
      </c>
      <c r="E597">
        <v>708</v>
      </c>
    </row>
    <row r="598" spans="1:5" ht="14.1" customHeight="1">
      <c r="A598" s="3"/>
      <c r="B598" s="5"/>
      <c r="C598">
        <v>4527</v>
      </c>
      <c r="D598" t="s">
        <v>3596</v>
      </c>
      <c r="E598">
        <v>646</v>
      </c>
    </row>
    <row r="599" spans="1:5" ht="14.1" customHeight="1">
      <c r="A599" s="3"/>
      <c r="B599" s="5"/>
      <c r="C599">
        <v>2975</v>
      </c>
      <c r="D599" t="s">
        <v>1202</v>
      </c>
      <c r="E599">
        <v>365</v>
      </c>
    </row>
    <row r="600" spans="1:5" ht="14.1" customHeight="1">
      <c r="A600" s="3"/>
      <c r="B600" s="5"/>
      <c r="C600">
        <v>656</v>
      </c>
      <c r="D600" t="s">
        <v>377</v>
      </c>
      <c r="E600">
        <v>443</v>
      </c>
    </row>
    <row r="601" spans="1:5" ht="14.1" customHeight="1">
      <c r="A601" s="3"/>
      <c r="B601" s="5"/>
      <c r="C601">
        <v>3263</v>
      </c>
      <c r="D601" t="s">
        <v>1203</v>
      </c>
      <c r="E601">
        <v>0</v>
      </c>
    </row>
    <row r="602" spans="1:5" ht="14.1" customHeight="1">
      <c r="A602" s="3"/>
      <c r="B602" s="5"/>
      <c r="C602">
        <v>336</v>
      </c>
      <c r="D602" t="s">
        <v>113</v>
      </c>
      <c r="E602">
        <v>559</v>
      </c>
    </row>
    <row r="603" spans="1:5" ht="14.1" customHeight="1">
      <c r="A603" s="3"/>
      <c r="B603" s="5"/>
      <c r="C603">
        <v>2037</v>
      </c>
      <c r="D603" t="s">
        <v>1204</v>
      </c>
      <c r="E603">
        <v>643</v>
      </c>
    </row>
    <row r="604" spans="1:5" ht="14.1" customHeight="1">
      <c r="A604" s="3"/>
      <c r="B604" s="5"/>
      <c r="C604">
        <v>947</v>
      </c>
      <c r="D604" t="s">
        <v>1205</v>
      </c>
      <c r="E604">
        <v>685</v>
      </c>
    </row>
    <row r="605" spans="1:5" ht="14.1" customHeight="1">
      <c r="A605" s="3"/>
      <c r="B605" s="5"/>
      <c r="C605">
        <v>84</v>
      </c>
      <c r="D605" t="s">
        <v>114</v>
      </c>
      <c r="E605">
        <v>634</v>
      </c>
    </row>
    <row r="606" spans="1:5" ht="14.1" customHeight="1">
      <c r="A606" s="3"/>
      <c r="B606" s="5"/>
      <c r="C606">
        <v>3239</v>
      </c>
      <c r="D606" t="s">
        <v>1206</v>
      </c>
      <c r="E606">
        <v>0</v>
      </c>
    </row>
    <row r="607" spans="1:5" ht="14.1" customHeight="1">
      <c r="A607" s="3"/>
      <c r="B607" s="4"/>
      <c r="C607">
        <v>5014</v>
      </c>
      <c r="D607" t="s">
        <v>3838</v>
      </c>
      <c r="E607">
        <v>566</v>
      </c>
    </row>
    <row r="608" spans="1:5" ht="14.1" customHeight="1">
      <c r="A608" s="3"/>
      <c r="B608" s="5"/>
      <c r="C608">
        <v>95</v>
      </c>
      <c r="D608" t="s">
        <v>1207</v>
      </c>
      <c r="E608">
        <v>447</v>
      </c>
    </row>
    <row r="609" spans="1:5" ht="14.1" customHeight="1">
      <c r="A609" s="3"/>
      <c r="B609" s="5"/>
      <c r="C609">
        <v>2868</v>
      </c>
      <c r="D609" t="s">
        <v>1208</v>
      </c>
      <c r="E609">
        <v>332</v>
      </c>
    </row>
    <row r="610" spans="1:5" ht="14.1" customHeight="1">
      <c r="A610" s="3"/>
      <c r="B610" s="5"/>
      <c r="C610">
        <v>969</v>
      </c>
      <c r="D610" t="s">
        <v>1209</v>
      </c>
      <c r="E610">
        <v>433</v>
      </c>
    </row>
    <row r="611" spans="1:5" ht="14.1" customHeight="1">
      <c r="A611" s="3"/>
      <c r="B611" s="5"/>
      <c r="C611">
        <v>2074</v>
      </c>
      <c r="D611" t="s">
        <v>1210</v>
      </c>
      <c r="E611">
        <v>767</v>
      </c>
    </row>
    <row r="612" spans="1:5" ht="14.1" customHeight="1">
      <c r="A612" s="3"/>
      <c r="B612" s="5"/>
      <c r="C612">
        <v>4573</v>
      </c>
      <c r="D612" t="s">
        <v>3597</v>
      </c>
      <c r="E612">
        <v>539</v>
      </c>
    </row>
    <row r="613" spans="1:5" ht="14.1" customHeight="1">
      <c r="A613" s="3"/>
      <c r="B613" s="5"/>
      <c r="C613">
        <v>1648</v>
      </c>
      <c r="D613" t="s">
        <v>1211</v>
      </c>
      <c r="E613">
        <v>557</v>
      </c>
    </row>
    <row r="614" spans="1:5" ht="14.1" customHeight="1">
      <c r="A614" s="3"/>
      <c r="B614" s="4"/>
      <c r="C614">
        <v>3052</v>
      </c>
      <c r="D614" t="s">
        <v>1212</v>
      </c>
      <c r="E614">
        <v>729</v>
      </c>
    </row>
    <row r="615" spans="1:5" ht="14.1" customHeight="1">
      <c r="A615" s="3"/>
      <c r="B615" s="5"/>
      <c r="C615">
        <v>5107</v>
      </c>
      <c r="D615" t="s">
        <v>4225</v>
      </c>
      <c r="E615">
        <v>240</v>
      </c>
    </row>
    <row r="616" spans="1:5" ht="14.1" customHeight="1">
      <c r="A616" s="3"/>
      <c r="B616" s="5"/>
      <c r="C616">
        <v>4471</v>
      </c>
      <c r="D616" t="s">
        <v>3598</v>
      </c>
      <c r="E616">
        <v>369</v>
      </c>
    </row>
    <row r="617" spans="1:5" ht="14.1" customHeight="1">
      <c r="A617" s="3"/>
      <c r="B617" s="5"/>
      <c r="C617">
        <v>3101</v>
      </c>
      <c r="D617" t="s">
        <v>1213</v>
      </c>
      <c r="E617">
        <v>0</v>
      </c>
    </row>
    <row r="618" spans="1:5" ht="14.1" customHeight="1">
      <c r="A618" s="3"/>
      <c r="B618" s="5"/>
      <c r="C618">
        <v>930</v>
      </c>
      <c r="D618" t="s">
        <v>1214</v>
      </c>
      <c r="E618">
        <v>810</v>
      </c>
    </row>
    <row r="619" spans="1:5" ht="14.1" customHeight="1">
      <c r="A619" s="3"/>
      <c r="B619" s="5"/>
      <c r="C619">
        <v>1287</v>
      </c>
      <c r="D619" t="s">
        <v>1215</v>
      </c>
      <c r="E619">
        <v>424</v>
      </c>
    </row>
    <row r="620" spans="1:5" ht="14.1" customHeight="1">
      <c r="A620" s="3"/>
      <c r="B620" s="5"/>
      <c r="C620">
        <v>1554</v>
      </c>
      <c r="D620" t="s">
        <v>1216</v>
      </c>
      <c r="E620">
        <v>614</v>
      </c>
    </row>
    <row r="621" spans="1:5" ht="14.1" customHeight="1">
      <c r="A621" s="3"/>
      <c r="B621" s="5"/>
      <c r="C621">
        <v>4318</v>
      </c>
      <c r="D621" t="s">
        <v>1217</v>
      </c>
      <c r="E621">
        <v>619</v>
      </c>
    </row>
    <row r="622" spans="1:5" ht="14.1" customHeight="1">
      <c r="A622" s="3"/>
      <c r="B622" s="5"/>
      <c r="C622">
        <v>2469</v>
      </c>
      <c r="D622" t="s">
        <v>1218</v>
      </c>
      <c r="E622">
        <v>320</v>
      </c>
    </row>
    <row r="623" spans="1:5" ht="14.1" customHeight="1">
      <c r="A623" s="3"/>
      <c r="B623" s="5"/>
      <c r="C623">
        <v>225</v>
      </c>
      <c r="D623" t="s">
        <v>378</v>
      </c>
      <c r="E623">
        <v>766</v>
      </c>
    </row>
    <row r="624" spans="1:5" ht="14.1" customHeight="1">
      <c r="A624" s="3"/>
      <c r="B624" s="5"/>
      <c r="C624">
        <v>2196</v>
      </c>
      <c r="D624" t="s">
        <v>1219</v>
      </c>
      <c r="E624">
        <v>521</v>
      </c>
    </row>
    <row r="625" spans="1:5" ht="14.1" customHeight="1">
      <c r="A625" s="3"/>
      <c r="B625" s="5"/>
      <c r="C625">
        <v>3326</v>
      </c>
      <c r="D625" t="s">
        <v>1220</v>
      </c>
      <c r="E625">
        <v>0</v>
      </c>
    </row>
    <row r="626" spans="1:5" ht="14.1" customHeight="1">
      <c r="A626" s="3"/>
      <c r="B626" s="5"/>
      <c r="C626">
        <v>3072</v>
      </c>
      <c r="D626" t="s">
        <v>1221</v>
      </c>
      <c r="E626">
        <v>0</v>
      </c>
    </row>
    <row r="627" spans="1:5" ht="14.1" customHeight="1">
      <c r="A627" s="3"/>
      <c r="B627" s="5"/>
      <c r="C627">
        <v>4754</v>
      </c>
      <c r="D627" t="s">
        <v>3839</v>
      </c>
      <c r="E627">
        <v>577</v>
      </c>
    </row>
    <row r="628" spans="1:5" ht="14.1" customHeight="1">
      <c r="A628" s="3"/>
      <c r="B628" s="5"/>
      <c r="C628">
        <v>4418</v>
      </c>
      <c r="D628" t="s">
        <v>3599</v>
      </c>
      <c r="E628">
        <v>594</v>
      </c>
    </row>
    <row r="629" spans="1:5" ht="14.1" customHeight="1">
      <c r="A629" s="3"/>
      <c r="B629" s="5"/>
      <c r="C629">
        <v>2967</v>
      </c>
      <c r="D629" t="s">
        <v>1222</v>
      </c>
      <c r="E629">
        <v>748</v>
      </c>
    </row>
    <row r="630" spans="1:5" ht="14.1" customHeight="1">
      <c r="A630" s="3"/>
      <c r="B630" s="5"/>
      <c r="C630">
        <v>4313</v>
      </c>
      <c r="D630" t="s">
        <v>1223</v>
      </c>
      <c r="E630">
        <v>495</v>
      </c>
    </row>
    <row r="631" spans="1:5" ht="14.1" customHeight="1">
      <c r="A631" s="3"/>
      <c r="B631" s="5"/>
      <c r="C631">
        <v>1624</v>
      </c>
      <c r="D631" t="s">
        <v>1224</v>
      </c>
      <c r="E631">
        <v>538</v>
      </c>
    </row>
    <row r="632" spans="1:5" ht="14.1" customHeight="1">
      <c r="A632" s="3"/>
      <c r="B632" s="5"/>
      <c r="C632">
        <v>449</v>
      </c>
      <c r="D632" t="s">
        <v>270</v>
      </c>
      <c r="E632">
        <v>460</v>
      </c>
    </row>
    <row r="633" spans="1:5" ht="14.1" customHeight="1">
      <c r="A633" s="3"/>
      <c r="B633" s="5"/>
      <c r="C633">
        <v>1151</v>
      </c>
      <c r="D633" t="s">
        <v>1225</v>
      </c>
      <c r="E633">
        <v>617</v>
      </c>
    </row>
    <row r="634" spans="1:5" ht="14.1" customHeight="1">
      <c r="A634" s="3"/>
      <c r="B634" s="5"/>
      <c r="C634">
        <v>2528</v>
      </c>
      <c r="D634" t="s">
        <v>1226</v>
      </c>
      <c r="E634">
        <v>550</v>
      </c>
    </row>
    <row r="635" spans="1:5" ht="14.1" customHeight="1">
      <c r="A635" s="3"/>
      <c r="B635" s="5"/>
      <c r="C635">
        <v>2391</v>
      </c>
      <c r="D635" t="s">
        <v>1227</v>
      </c>
      <c r="E635">
        <v>351</v>
      </c>
    </row>
    <row r="636" spans="1:5" ht="14.1" customHeight="1">
      <c r="A636" s="3"/>
      <c r="B636" s="5"/>
      <c r="C636">
        <v>2389</v>
      </c>
      <c r="D636" t="s">
        <v>1228</v>
      </c>
      <c r="E636">
        <v>356</v>
      </c>
    </row>
    <row r="637" spans="1:5" ht="14.1" customHeight="1">
      <c r="A637" s="3"/>
      <c r="B637" s="5"/>
      <c r="C637">
        <v>1605</v>
      </c>
      <c r="D637" t="s">
        <v>1229</v>
      </c>
      <c r="E637">
        <v>568</v>
      </c>
    </row>
    <row r="638" spans="1:5" ht="14.1" customHeight="1">
      <c r="A638" s="3"/>
      <c r="B638" s="5"/>
      <c r="C638">
        <v>4922</v>
      </c>
      <c r="D638" t="s">
        <v>3840</v>
      </c>
      <c r="E638">
        <v>521</v>
      </c>
    </row>
    <row r="639" spans="1:5" ht="14.1" customHeight="1">
      <c r="A639" s="3"/>
      <c r="B639" s="5"/>
      <c r="C639">
        <v>2430</v>
      </c>
      <c r="D639" t="s">
        <v>1230</v>
      </c>
      <c r="E639">
        <v>859</v>
      </c>
    </row>
    <row r="640" spans="1:5" ht="14.1" customHeight="1">
      <c r="A640" s="3"/>
      <c r="B640" s="5"/>
      <c r="C640">
        <v>1060</v>
      </c>
      <c r="D640" t="s">
        <v>1231</v>
      </c>
      <c r="E640">
        <v>670</v>
      </c>
    </row>
    <row r="641" spans="1:5" ht="14.1" customHeight="1">
      <c r="A641" s="3"/>
      <c r="B641" s="5"/>
      <c r="C641">
        <v>882</v>
      </c>
      <c r="D641" t="s">
        <v>379</v>
      </c>
      <c r="E641">
        <v>377</v>
      </c>
    </row>
    <row r="642" spans="1:5" ht="14.1" customHeight="1">
      <c r="A642" s="3"/>
      <c r="B642" s="5"/>
      <c r="C642">
        <v>737</v>
      </c>
      <c r="D642" t="s">
        <v>380</v>
      </c>
      <c r="E642">
        <v>606</v>
      </c>
    </row>
    <row r="643" spans="1:5" ht="14.1" customHeight="1">
      <c r="A643" s="3"/>
      <c r="B643" s="5"/>
      <c r="C643">
        <v>5030</v>
      </c>
      <c r="D643" t="s">
        <v>4226</v>
      </c>
      <c r="E643">
        <v>367</v>
      </c>
    </row>
    <row r="644" spans="1:5" ht="14.1" customHeight="1">
      <c r="A644" s="3"/>
      <c r="B644" s="5"/>
      <c r="C644">
        <v>2661</v>
      </c>
      <c r="D644" t="s">
        <v>1232</v>
      </c>
      <c r="E644">
        <v>622</v>
      </c>
    </row>
    <row r="645" spans="1:5" ht="14.1" customHeight="1">
      <c r="A645" s="3"/>
      <c r="B645" s="5"/>
      <c r="C645">
        <v>5066</v>
      </c>
      <c r="D645" t="s">
        <v>4227</v>
      </c>
      <c r="E645">
        <v>508</v>
      </c>
    </row>
    <row r="646" spans="1:5" ht="14.1" customHeight="1">
      <c r="A646" s="3"/>
      <c r="B646" s="5"/>
      <c r="C646">
        <v>5013</v>
      </c>
      <c r="D646" t="s">
        <v>3841</v>
      </c>
      <c r="E646">
        <v>641</v>
      </c>
    </row>
    <row r="647" spans="1:5" ht="14.1" customHeight="1">
      <c r="A647" s="3"/>
      <c r="B647" s="5"/>
      <c r="C647">
        <v>3180</v>
      </c>
      <c r="D647" t="s">
        <v>1233</v>
      </c>
      <c r="E647">
        <v>0</v>
      </c>
    </row>
    <row r="648" spans="1:5" ht="14.1" customHeight="1">
      <c r="A648" s="3"/>
      <c r="B648" s="5"/>
      <c r="C648">
        <v>1497</v>
      </c>
      <c r="D648" t="s">
        <v>1234</v>
      </c>
      <c r="E648">
        <v>762</v>
      </c>
    </row>
    <row r="649" spans="1:5" ht="14.1" customHeight="1">
      <c r="A649" s="3"/>
      <c r="B649" s="5"/>
      <c r="C649">
        <v>1922</v>
      </c>
      <c r="D649" t="s">
        <v>1235</v>
      </c>
      <c r="E649">
        <v>584</v>
      </c>
    </row>
    <row r="650" spans="1:5" ht="14.1" customHeight="1">
      <c r="A650" s="3"/>
      <c r="B650" s="5"/>
      <c r="C650">
        <v>5059</v>
      </c>
      <c r="D650" t="s">
        <v>4228</v>
      </c>
      <c r="E650">
        <v>543</v>
      </c>
    </row>
    <row r="651" spans="1:5" ht="14.1" customHeight="1">
      <c r="A651" s="3"/>
      <c r="B651" s="4"/>
      <c r="C651">
        <v>4628</v>
      </c>
      <c r="D651" t="s">
        <v>3842</v>
      </c>
      <c r="E651">
        <v>423</v>
      </c>
    </row>
    <row r="652" spans="1:5" ht="14.1" customHeight="1">
      <c r="A652" s="3"/>
      <c r="B652" s="5"/>
      <c r="C652">
        <v>100</v>
      </c>
      <c r="D652" t="s">
        <v>115</v>
      </c>
      <c r="E652">
        <v>971</v>
      </c>
    </row>
    <row r="653" spans="1:5" ht="14.1" customHeight="1">
      <c r="A653" s="3"/>
      <c r="B653" s="5"/>
      <c r="C653">
        <v>1105</v>
      </c>
      <c r="D653" t="s">
        <v>1236</v>
      </c>
      <c r="E653">
        <v>728</v>
      </c>
    </row>
    <row r="654" spans="1:5" ht="14.1" customHeight="1">
      <c r="A654" s="3"/>
      <c r="B654" s="4"/>
      <c r="C654">
        <v>2071</v>
      </c>
      <c r="D654" t="s">
        <v>1237</v>
      </c>
      <c r="E654">
        <v>1031</v>
      </c>
    </row>
    <row r="655" spans="1:5" ht="14.1" customHeight="1">
      <c r="A655" s="3"/>
      <c r="B655" s="4"/>
      <c r="C655">
        <v>1084</v>
      </c>
      <c r="D655" t="s">
        <v>1238</v>
      </c>
      <c r="E655">
        <v>481</v>
      </c>
    </row>
    <row r="656" spans="1:5" ht="14.1" customHeight="1">
      <c r="A656" s="3"/>
      <c r="B656" s="5"/>
      <c r="C656">
        <v>873</v>
      </c>
      <c r="D656" t="s">
        <v>381</v>
      </c>
      <c r="E656">
        <v>519</v>
      </c>
    </row>
    <row r="657" spans="1:5" ht="14.1" customHeight="1">
      <c r="A657" s="3"/>
      <c r="B657" s="5"/>
      <c r="C657">
        <v>763</v>
      </c>
      <c r="D657" t="s">
        <v>382</v>
      </c>
      <c r="E657">
        <v>439</v>
      </c>
    </row>
    <row r="658" spans="1:5" ht="14.1" customHeight="1">
      <c r="A658" s="3"/>
      <c r="B658" s="5"/>
      <c r="C658">
        <v>4389</v>
      </c>
      <c r="D658" t="s">
        <v>3600</v>
      </c>
      <c r="E658">
        <v>485</v>
      </c>
    </row>
    <row r="659" spans="1:5" ht="14.1" customHeight="1">
      <c r="A659" s="3"/>
      <c r="B659" s="5"/>
      <c r="C659">
        <v>1409</v>
      </c>
      <c r="D659" t="s">
        <v>1239</v>
      </c>
      <c r="E659">
        <v>616</v>
      </c>
    </row>
    <row r="660" spans="1:5" ht="14.1" customHeight="1">
      <c r="A660" s="3"/>
      <c r="B660" s="5"/>
      <c r="C660">
        <v>2439</v>
      </c>
      <c r="D660" t="s">
        <v>1240</v>
      </c>
      <c r="E660">
        <v>836</v>
      </c>
    </row>
    <row r="661" spans="1:5" ht="14.1" customHeight="1">
      <c r="A661" s="3"/>
      <c r="B661" s="5"/>
      <c r="C661">
        <v>4292</v>
      </c>
      <c r="D661" t="s">
        <v>1241</v>
      </c>
      <c r="E661">
        <v>499</v>
      </c>
    </row>
    <row r="662" spans="1:5" ht="14.1" customHeight="1">
      <c r="A662" s="3"/>
      <c r="B662" s="5"/>
      <c r="C662">
        <v>5050</v>
      </c>
      <c r="D662" t="s">
        <v>4229</v>
      </c>
      <c r="E662">
        <v>413</v>
      </c>
    </row>
    <row r="663" spans="1:5" ht="14.1" customHeight="1">
      <c r="A663" s="3"/>
      <c r="B663" s="5"/>
      <c r="C663">
        <v>1782</v>
      </c>
      <c r="D663" t="s">
        <v>1242</v>
      </c>
      <c r="E663">
        <v>472</v>
      </c>
    </row>
    <row r="664" spans="1:5" ht="14.1" customHeight="1">
      <c r="A664" s="3"/>
      <c r="B664" s="4"/>
      <c r="C664">
        <v>1948</v>
      </c>
      <c r="D664" t="s">
        <v>1243</v>
      </c>
      <c r="E664">
        <v>471</v>
      </c>
    </row>
    <row r="665" spans="1:5" ht="14.1" customHeight="1">
      <c r="A665" s="3"/>
      <c r="B665" s="5"/>
      <c r="C665">
        <v>2894</v>
      </c>
      <c r="D665" t="s">
        <v>1244</v>
      </c>
      <c r="E665">
        <v>520</v>
      </c>
    </row>
    <row r="666" spans="1:5" ht="14.1" customHeight="1">
      <c r="A666" s="3"/>
      <c r="B666" s="5"/>
      <c r="C666">
        <v>194</v>
      </c>
      <c r="D666" t="s">
        <v>116</v>
      </c>
      <c r="E666">
        <v>397</v>
      </c>
    </row>
    <row r="667" spans="1:5" ht="14.1" customHeight="1">
      <c r="A667" s="3"/>
      <c r="B667" s="5"/>
      <c r="C667">
        <v>4954</v>
      </c>
      <c r="D667" t="s">
        <v>3843</v>
      </c>
      <c r="E667">
        <v>400</v>
      </c>
    </row>
    <row r="668" spans="1:5" ht="14.1" customHeight="1">
      <c r="A668" s="3"/>
      <c r="B668" s="5"/>
      <c r="C668">
        <v>4726</v>
      </c>
      <c r="D668" t="s">
        <v>3844</v>
      </c>
      <c r="E668">
        <v>401</v>
      </c>
    </row>
    <row r="669" spans="1:5" ht="14.1" customHeight="1">
      <c r="A669" s="3"/>
      <c r="B669" s="5"/>
      <c r="C669">
        <v>4572</v>
      </c>
      <c r="D669" t="s">
        <v>3601</v>
      </c>
      <c r="E669">
        <v>495</v>
      </c>
    </row>
    <row r="670" spans="1:5" ht="14.1" customHeight="1">
      <c r="A670" s="3"/>
      <c r="B670" s="5"/>
      <c r="C670">
        <v>2142</v>
      </c>
      <c r="D670" t="s">
        <v>1245</v>
      </c>
      <c r="E670">
        <v>649</v>
      </c>
    </row>
    <row r="671" spans="1:5" ht="14.1" customHeight="1">
      <c r="A671" s="3"/>
      <c r="B671" s="5"/>
      <c r="C671">
        <v>36</v>
      </c>
      <c r="D671" t="s">
        <v>383</v>
      </c>
      <c r="E671">
        <v>834</v>
      </c>
    </row>
    <row r="672" spans="1:5" ht="14.1" customHeight="1">
      <c r="A672" s="3"/>
      <c r="B672" s="5"/>
      <c r="C672">
        <v>4416</v>
      </c>
      <c r="D672" t="s">
        <v>3602</v>
      </c>
      <c r="E672">
        <v>583</v>
      </c>
    </row>
    <row r="673" spans="1:5" ht="14.1" customHeight="1">
      <c r="A673" s="3"/>
      <c r="B673" s="5"/>
      <c r="C673">
        <v>62</v>
      </c>
      <c r="D673" t="s">
        <v>384</v>
      </c>
      <c r="E673">
        <v>400</v>
      </c>
    </row>
    <row r="674" spans="1:5" ht="14.1" customHeight="1">
      <c r="A674" s="3"/>
      <c r="B674" s="5"/>
      <c r="C674">
        <v>4557</v>
      </c>
      <c r="D674" t="s">
        <v>3603</v>
      </c>
      <c r="E674">
        <v>401</v>
      </c>
    </row>
    <row r="675" spans="1:5" ht="14.1" customHeight="1">
      <c r="A675" s="3"/>
      <c r="B675" s="5"/>
      <c r="C675">
        <v>376</v>
      </c>
      <c r="D675" t="s">
        <v>385</v>
      </c>
      <c r="E675">
        <v>450</v>
      </c>
    </row>
    <row r="676" spans="1:5" ht="14.1" customHeight="1">
      <c r="A676" s="3"/>
      <c r="B676" s="5"/>
      <c r="C676">
        <v>3200</v>
      </c>
      <c r="D676" t="s">
        <v>1246</v>
      </c>
      <c r="E676">
        <v>512</v>
      </c>
    </row>
    <row r="677" spans="1:5" ht="14.1" customHeight="1">
      <c r="A677" s="3"/>
      <c r="B677" s="5"/>
      <c r="C677">
        <v>3126</v>
      </c>
      <c r="D677" t="s">
        <v>1247</v>
      </c>
      <c r="E677">
        <v>0</v>
      </c>
    </row>
    <row r="678" spans="1:5" ht="14.1" customHeight="1">
      <c r="A678" s="3"/>
      <c r="B678" s="5"/>
      <c r="C678">
        <v>5184</v>
      </c>
      <c r="D678" t="s">
        <v>4230</v>
      </c>
      <c r="E678">
        <v>500</v>
      </c>
    </row>
    <row r="679" spans="1:5" ht="14.1" customHeight="1">
      <c r="A679" s="3"/>
      <c r="B679" s="5"/>
      <c r="C679">
        <v>3133</v>
      </c>
      <c r="D679" t="s">
        <v>1248</v>
      </c>
      <c r="E679">
        <v>0</v>
      </c>
    </row>
    <row r="680" spans="1:5" ht="14.1" customHeight="1">
      <c r="A680" s="3"/>
      <c r="B680" s="5"/>
      <c r="C680">
        <v>832</v>
      </c>
      <c r="D680" t="s">
        <v>386</v>
      </c>
      <c r="E680">
        <v>477</v>
      </c>
    </row>
    <row r="681" spans="1:5" ht="14.1" customHeight="1">
      <c r="A681" s="3"/>
      <c r="B681" s="5"/>
      <c r="C681">
        <v>2098</v>
      </c>
      <c r="D681" t="s">
        <v>1249</v>
      </c>
      <c r="E681">
        <v>608</v>
      </c>
    </row>
    <row r="682" spans="1:5" ht="14.1" customHeight="1">
      <c r="A682" s="3"/>
      <c r="B682" s="5"/>
      <c r="C682">
        <v>4196</v>
      </c>
      <c r="D682" t="s">
        <v>1250</v>
      </c>
      <c r="E682">
        <v>459</v>
      </c>
    </row>
    <row r="683" spans="1:5" ht="14.1" customHeight="1">
      <c r="A683" s="3"/>
      <c r="B683" s="5"/>
      <c r="C683">
        <v>918</v>
      </c>
      <c r="D683" t="s">
        <v>387</v>
      </c>
      <c r="E683">
        <v>626</v>
      </c>
    </row>
    <row r="684" spans="1:5" ht="14.1" customHeight="1">
      <c r="A684" s="3"/>
      <c r="B684" s="5"/>
      <c r="C684">
        <v>4643</v>
      </c>
      <c r="D684" t="s">
        <v>3845</v>
      </c>
      <c r="E684">
        <v>0</v>
      </c>
    </row>
    <row r="685" spans="1:5" ht="14.1" customHeight="1">
      <c r="A685" s="3"/>
      <c r="B685" s="5"/>
      <c r="C685">
        <v>1439</v>
      </c>
      <c r="D685" t="s">
        <v>1251</v>
      </c>
      <c r="E685">
        <v>748</v>
      </c>
    </row>
    <row r="686" spans="1:5" ht="14.1" customHeight="1">
      <c r="A686" s="3"/>
      <c r="B686" s="5"/>
      <c r="C686">
        <v>1449</v>
      </c>
      <c r="D686" t="s">
        <v>1252</v>
      </c>
      <c r="E686">
        <v>451</v>
      </c>
    </row>
    <row r="687" spans="1:5" ht="14.1" customHeight="1">
      <c r="A687" s="3"/>
      <c r="B687" s="5"/>
      <c r="C687">
        <v>2527</v>
      </c>
      <c r="D687" t="s">
        <v>1253</v>
      </c>
      <c r="E687">
        <v>550</v>
      </c>
    </row>
    <row r="688" spans="1:5" ht="14.1" customHeight="1">
      <c r="A688" s="3"/>
      <c r="B688" s="5"/>
      <c r="C688">
        <v>4505</v>
      </c>
      <c r="D688" t="s">
        <v>3604</v>
      </c>
      <c r="E688">
        <v>661</v>
      </c>
    </row>
    <row r="689" spans="1:5" ht="14.1" customHeight="1">
      <c r="A689" s="3"/>
      <c r="B689" s="5"/>
      <c r="C689">
        <v>2523</v>
      </c>
      <c r="D689" t="s">
        <v>1254</v>
      </c>
      <c r="E689">
        <v>418</v>
      </c>
    </row>
    <row r="690" spans="1:5" ht="14.1" customHeight="1">
      <c r="A690" s="3"/>
      <c r="B690" s="5"/>
      <c r="C690">
        <v>1293</v>
      </c>
      <c r="D690" t="s">
        <v>1255</v>
      </c>
      <c r="E690">
        <v>410</v>
      </c>
    </row>
    <row r="691" spans="1:5" ht="14.1" customHeight="1">
      <c r="A691" s="3"/>
      <c r="B691" s="5"/>
      <c r="C691">
        <v>3212</v>
      </c>
      <c r="D691" t="s">
        <v>1256</v>
      </c>
      <c r="E691">
        <v>0</v>
      </c>
    </row>
    <row r="692" spans="1:5" ht="14.1" customHeight="1">
      <c r="A692" s="3"/>
      <c r="B692" s="5"/>
      <c r="C692">
        <v>983</v>
      </c>
      <c r="D692" t="s">
        <v>1257</v>
      </c>
      <c r="E692">
        <v>394</v>
      </c>
    </row>
    <row r="693" spans="1:5" ht="14.1" customHeight="1">
      <c r="A693" s="3"/>
      <c r="B693" s="5"/>
      <c r="C693">
        <v>1067</v>
      </c>
      <c r="D693" t="s">
        <v>1258</v>
      </c>
      <c r="E693">
        <v>799</v>
      </c>
    </row>
    <row r="694" spans="1:5" ht="14.1" customHeight="1">
      <c r="A694" s="3"/>
      <c r="B694" s="5"/>
      <c r="C694">
        <v>745</v>
      </c>
      <c r="D694" t="s">
        <v>388</v>
      </c>
      <c r="E694">
        <v>749</v>
      </c>
    </row>
    <row r="695" spans="1:5" ht="14.1" customHeight="1">
      <c r="A695" s="3"/>
      <c r="B695" s="5"/>
      <c r="C695">
        <v>430</v>
      </c>
      <c r="D695" t="s">
        <v>389</v>
      </c>
      <c r="E695">
        <v>758</v>
      </c>
    </row>
    <row r="696" spans="1:5" ht="14.1" customHeight="1">
      <c r="A696" s="3"/>
      <c r="B696" s="5"/>
      <c r="C696">
        <v>555</v>
      </c>
      <c r="D696" t="s">
        <v>1259</v>
      </c>
      <c r="E696">
        <v>754</v>
      </c>
    </row>
    <row r="697" spans="1:5" ht="14.1" customHeight="1">
      <c r="A697" s="3"/>
      <c r="B697" s="4"/>
      <c r="C697">
        <v>5067</v>
      </c>
      <c r="D697" t="s">
        <v>4191</v>
      </c>
      <c r="E697">
        <v>588</v>
      </c>
    </row>
    <row r="698" spans="1:5" ht="14.1" customHeight="1">
      <c r="A698" s="3"/>
      <c r="B698" s="5"/>
      <c r="C698">
        <v>2706</v>
      </c>
      <c r="D698" t="s">
        <v>1260</v>
      </c>
      <c r="E698">
        <v>512</v>
      </c>
    </row>
    <row r="699" spans="1:5" ht="14.1" customHeight="1">
      <c r="A699" s="3"/>
      <c r="B699" s="5"/>
      <c r="C699">
        <v>1821</v>
      </c>
      <c r="D699" t="s">
        <v>1261</v>
      </c>
      <c r="E699">
        <v>534</v>
      </c>
    </row>
    <row r="700" spans="1:5" ht="14.1" customHeight="1">
      <c r="A700" s="3"/>
      <c r="B700" s="5"/>
      <c r="C700">
        <v>1953</v>
      </c>
      <c r="D700" t="s">
        <v>1262</v>
      </c>
      <c r="E700">
        <v>492</v>
      </c>
    </row>
    <row r="701" spans="1:5" ht="14.1" customHeight="1">
      <c r="A701" s="3"/>
      <c r="B701" s="5"/>
      <c r="C701">
        <v>124</v>
      </c>
      <c r="D701" t="s">
        <v>1263</v>
      </c>
      <c r="E701">
        <v>771</v>
      </c>
    </row>
    <row r="702" spans="1:5" ht="14.1" customHeight="1">
      <c r="A702" s="3"/>
      <c r="B702" s="5"/>
      <c r="C702">
        <v>1303</v>
      </c>
      <c r="D702" t="s">
        <v>1264</v>
      </c>
      <c r="E702">
        <v>452</v>
      </c>
    </row>
    <row r="703" spans="1:5" ht="14.1" customHeight="1">
      <c r="A703" s="3"/>
      <c r="B703" s="5"/>
      <c r="C703">
        <v>2374</v>
      </c>
      <c r="D703" t="s">
        <v>1265</v>
      </c>
      <c r="E703">
        <v>409</v>
      </c>
    </row>
    <row r="704" spans="1:5" ht="14.1" customHeight="1">
      <c r="A704" s="3"/>
      <c r="B704" s="5"/>
      <c r="C704">
        <v>4383</v>
      </c>
      <c r="D704" t="s">
        <v>3605</v>
      </c>
      <c r="E704">
        <v>491</v>
      </c>
    </row>
    <row r="705" spans="1:5" ht="14.1" customHeight="1">
      <c r="A705" s="3"/>
      <c r="B705" s="5"/>
      <c r="C705">
        <v>5072</v>
      </c>
      <c r="D705" t="s">
        <v>4231</v>
      </c>
      <c r="E705">
        <v>431</v>
      </c>
    </row>
    <row r="706" spans="1:5" ht="14.1" customHeight="1">
      <c r="A706" s="3"/>
      <c r="B706" s="5"/>
      <c r="C706">
        <v>2399</v>
      </c>
      <c r="D706" t="s">
        <v>1266</v>
      </c>
      <c r="E706">
        <v>344</v>
      </c>
    </row>
    <row r="707" spans="1:5" ht="14.1" customHeight="1">
      <c r="A707" s="3"/>
      <c r="B707" s="5"/>
      <c r="C707">
        <v>89</v>
      </c>
      <c r="D707" t="s">
        <v>117</v>
      </c>
      <c r="E707">
        <v>407</v>
      </c>
    </row>
    <row r="708" spans="1:5" ht="14.1" customHeight="1">
      <c r="A708" s="3"/>
      <c r="B708" s="5"/>
      <c r="C708">
        <v>324</v>
      </c>
      <c r="D708" t="s">
        <v>1267</v>
      </c>
      <c r="E708">
        <v>794</v>
      </c>
    </row>
    <row r="709" spans="1:5" ht="14.1" customHeight="1">
      <c r="A709" s="3"/>
      <c r="B709" s="5"/>
      <c r="C709">
        <v>4906</v>
      </c>
      <c r="D709" t="s">
        <v>3846</v>
      </c>
      <c r="E709">
        <v>469</v>
      </c>
    </row>
    <row r="710" spans="1:5" ht="14.1" customHeight="1">
      <c r="A710" s="3"/>
      <c r="B710" s="5"/>
      <c r="C710">
        <v>85</v>
      </c>
      <c r="D710" t="s">
        <v>118</v>
      </c>
      <c r="E710">
        <v>620</v>
      </c>
    </row>
    <row r="711" spans="1:5" ht="14.1" customHeight="1">
      <c r="A711" s="3"/>
      <c r="B711" s="5"/>
      <c r="C711">
        <v>3100</v>
      </c>
      <c r="D711" t="s">
        <v>1268</v>
      </c>
      <c r="E711">
        <v>0</v>
      </c>
    </row>
    <row r="712" spans="1:5" ht="14.1" customHeight="1">
      <c r="A712" s="3"/>
      <c r="B712" s="5"/>
      <c r="C712">
        <v>2559</v>
      </c>
      <c r="D712" t="s">
        <v>1269</v>
      </c>
      <c r="E712">
        <v>550</v>
      </c>
    </row>
    <row r="713" spans="1:5" ht="14.1" customHeight="1">
      <c r="A713" s="3"/>
      <c r="B713" s="5"/>
      <c r="C713">
        <v>3334</v>
      </c>
      <c r="D713" t="s">
        <v>1270</v>
      </c>
      <c r="E713">
        <v>0</v>
      </c>
    </row>
    <row r="714" spans="1:5" ht="14.1" customHeight="1">
      <c r="A714" s="3"/>
      <c r="B714" s="4"/>
      <c r="C714">
        <v>1701</v>
      </c>
      <c r="D714" t="s">
        <v>3847</v>
      </c>
      <c r="E714">
        <v>632</v>
      </c>
    </row>
    <row r="715" spans="1:5" ht="14.1" customHeight="1">
      <c r="A715" s="3"/>
      <c r="B715" s="5"/>
      <c r="C715">
        <v>4503</v>
      </c>
      <c r="D715" t="s">
        <v>3606</v>
      </c>
      <c r="E715">
        <v>818</v>
      </c>
    </row>
    <row r="716" spans="1:5" ht="14.1" customHeight="1">
      <c r="A716" s="3"/>
      <c r="B716" s="5"/>
      <c r="C716">
        <v>2951</v>
      </c>
      <c r="D716" t="s">
        <v>1271</v>
      </c>
      <c r="E716">
        <v>735</v>
      </c>
    </row>
    <row r="717" spans="1:5" ht="14.1" customHeight="1">
      <c r="A717" s="3"/>
      <c r="B717" s="5"/>
      <c r="C717">
        <v>648</v>
      </c>
      <c r="D717" t="s">
        <v>390</v>
      </c>
      <c r="E717">
        <v>702</v>
      </c>
    </row>
    <row r="718" spans="1:5" ht="14.1" customHeight="1">
      <c r="A718" s="3"/>
      <c r="B718" s="5"/>
      <c r="C718">
        <v>3056</v>
      </c>
      <c r="D718" t="s">
        <v>1272</v>
      </c>
      <c r="E718">
        <v>0</v>
      </c>
    </row>
    <row r="719" spans="1:5" ht="14.1" customHeight="1">
      <c r="A719" s="3"/>
      <c r="B719" s="5"/>
      <c r="C719">
        <v>4569</v>
      </c>
      <c r="D719" t="s">
        <v>3607</v>
      </c>
      <c r="E719">
        <v>435</v>
      </c>
    </row>
    <row r="720" spans="1:5" ht="14.1" customHeight="1">
      <c r="A720" s="3"/>
      <c r="B720" s="5"/>
      <c r="C720">
        <v>1483</v>
      </c>
      <c r="D720" t="s">
        <v>1273</v>
      </c>
      <c r="E720">
        <v>683</v>
      </c>
    </row>
    <row r="721" spans="1:5" ht="14.1" customHeight="1">
      <c r="A721" s="3"/>
      <c r="B721" s="5"/>
      <c r="C721">
        <v>4905</v>
      </c>
      <c r="D721" t="s">
        <v>3848</v>
      </c>
      <c r="E721">
        <v>486</v>
      </c>
    </row>
    <row r="722" spans="1:5" ht="14.1" customHeight="1">
      <c r="A722" s="3"/>
      <c r="B722" s="5"/>
      <c r="C722">
        <v>5025</v>
      </c>
      <c r="D722" t="s">
        <v>3849</v>
      </c>
      <c r="E722">
        <v>0</v>
      </c>
    </row>
    <row r="723" spans="1:5" ht="14.1" customHeight="1">
      <c r="A723" s="3"/>
      <c r="B723" s="5"/>
      <c r="C723">
        <v>2484</v>
      </c>
      <c r="D723" t="s">
        <v>1274</v>
      </c>
      <c r="E723">
        <v>708</v>
      </c>
    </row>
    <row r="724" spans="1:5" ht="14.1" customHeight="1">
      <c r="A724" s="3"/>
      <c r="B724" s="5"/>
      <c r="C724">
        <v>1501</v>
      </c>
      <c r="D724" t="s">
        <v>1275</v>
      </c>
      <c r="E724">
        <v>762</v>
      </c>
    </row>
    <row r="725" spans="1:5" ht="14.1" customHeight="1">
      <c r="A725" s="3"/>
      <c r="B725" s="5"/>
      <c r="C725">
        <v>1898</v>
      </c>
      <c r="D725" t="s">
        <v>1276</v>
      </c>
      <c r="E725">
        <v>611</v>
      </c>
    </row>
    <row r="726" spans="1:5" ht="14.1" customHeight="1">
      <c r="A726" s="3"/>
      <c r="B726" s="5"/>
      <c r="C726">
        <v>4368</v>
      </c>
      <c r="D726" t="s">
        <v>3608</v>
      </c>
      <c r="E726">
        <v>385</v>
      </c>
    </row>
    <row r="727" spans="1:5" ht="14.1" customHeight="1">
      <c r="A727" s="3"/>
      <c r="B727" s="5"/>
      <c r="C727">
        <v>1453</v>
      </c>
      <c r="D727" t="s">
        <v>1277</v>
      </c>
      <c r="E727">
        <v>441</v>
      </c>
    </row>
    <row r="728" spans="1:5" ht="14.1" customHeight="1">
      <c r="A728" s="3"/>
      <c r="B728" s="5"/>
      <c r="C728">
        <v>4684</v>
      </c>
      <c r="D728" t="s">
        <v>3850</v>
      </c>
      <c r="E728">
        <v>918</v>
      </c>
    </row>
    <row r="729" spans="1:5" ht="14.1" customHeight="1">
      <c r="A729" s="3"/>
      <c r="B729" s="5"/>
      <c r="C729">
        <v>4530</v>
      </c>
      <c r="D729" t="s">
        <v>3609</v>
      </c>
      <c r="E729">
        <v>613</v>
      </c>
    </row>
    <row r="730" spans="1:5" ht="14.1" customHeight="1">
      <c r="A730" s="3"/>
      <c r="B730" s="5"/>
      <c r="C730">
        <v>276</v>
      </c>
      <c r="D730" t="s">
        <v>119</v>
      </c>
      <c r="E730">
        <v>400</v>
      </c>
    </row>
    <row r="731" spans="1:5" ht="14.1" customHeight="1">
      <c r="A731" s="3"/>
      <c r="B731" s="5"/>
      <c r="C731">
        <v>2522</v>
      </c>
      <c r="D731" t="s">
        <v>1278</v>
      </c>
      <c r="E731">
        <v>393</v>
      </c>
    </row>
    <row r="732" spans="1:5" ht="14.1" customHeight="1">
      <c r="A732" s="3"/>
      <c r="B732" s="5"/>
      <c r="C732">
        <v>1228</v>
      </c>
      <c r="D732" t="s">
        <v>1279</v>
      </c>
      <c r="E732">
        <v>649</v>
      </c>
    </row>
    <row r="733" spans="1:5" ht="14.1" customHeight="1">
      <c r="A733" s="3"/>
      <c r="B733" s="5"/>
      <c r="C733">
        <v>4182</v>
      </c>
      <c r="D733" t="s">
        <v>1280</v>
      </c>
      <c r="E733">
        <v>471</v>
      </c>
    </row>
    <row r="734" spans="1:5" ht="14.1" customHeight="1">
      <c r="A734" s="3"/>
      <c r="B734" s="5"/>
      <c r="C734">
        <v>1997</v>
      </c>
      <c r="D734" t="s">
        <v>1281</v>
      </c>
      <c r="E734">
        <v>392</v>
      </c>
    </row>
    <row r="735" spans="1:5" ht="14.1" customHeight="1">
      <c r="A735" s="3"/>
      <c r="B735" s="5"/>
      <c r="C735">
        <v>1009</v>
      </c>
      <c r="D735" t="s">
        <v>1282</v>
      </c>
      <c r="E735">
        <v>536</v>
      </c>
    </row>
    <row r="736" spans="1:5" ht="14.1" customHeight="1">
      <c r="A736" s="3"/>
      <c r="B736" s="5"/>
      <c r="C736">
        <v>1012</v>
      </c>
      <c r="D736" t="s">
        <v>1283</v>
      </c>
      <c r="E736">
        <v>414</v>
      </c>
    </row>
    <row r="737" spans="1:5" ht="14.1" customHeight="1">
      <c r="A737" s="3"/>
      <c r="B737" s="5"/>
      <c r="C737">
        <v>991</v>
      </c>
      <c r="D737" t="s">
        <v>1284</v>
      </c>
      <c r="E737">
        <v>525</v>
      </c>
    </row>
    <row r="738" spans="1:5" ht="14.1" customHeight="1">
      <c r="A738" s="3"/>
      <c r="B738" s="5"/>
      <c r="C738">
        <v>2958</v>
      </c>
      <c r="D738" t="s">
        <v>1285</v>
      </c>
      <c r="E738">
        <v>606</v>
      </c>
    </row>
    <row r="739" spans="1:5" ht="14.1" customHeight="1">
      <c r="A739" s="3"/>
      <c r="B739" s="5"/>
      <c r="C739">
        <v>4417</v>
      </c>
      <c r="D739" t="s">
        <v>3610</v>
      </c>
      <c r="E739">
        <v>594</v>
      </c>
    </row>
    <row r="740" spans="1:5" ht="14.1" customHeight="1">
      <c r="A740" s="3"/>
      <c r="B740" s="5"/>
      <c r="C740">
        <v>1299</v>
      </c>
      <c r="D740" t="s">
        <v>1286</v>
      </c>
      <c r="E740">
        <v>460</v>
      </c>
    </row>
    <row r="741" spans="1:5" ht="14.1" customHeight="1">
      <c r="A741" s="3"/>
      <c r="B741" s="5"/>
      <c r="C741">
        <v>1367</v>
      </c>
      <c r="D741" t="s">
        <v>1287</v>
      </c>
      <c r="E741">
        <v>704</v>
      </c>
    </row>
    <row r="742" spans="1:5" ht="14.1" customHeight="1">
      <c r="A742" s="3"/>
      <c r="B742" s="5"/>
      <c r="C742">
        <v>196</v>
      </c>
      <c r="D742" t="s">
        <v>120</v>
      </c>
      <c r="E742">
        <v>530</v>
      </c>
    </row>
    <row r="743" spans="1:5" ht="14.1" customHeight="1">
      <c r="A743" s="3"/>
      <c r="B743" s="5"/>
      <c r="C743">
        <v>2633</v>
      </c>
      <c r="D743" t="s">
        <v>1288</v>
      </c>
      <c r="E743">
        <v>372</v>
      </c>
    </row>
    <row r="744" spans="1:5" ht="14.1" customHeight="1">
      <c r="A744" s="3"/>
      <c r="B744" s="5"/>
      <c r="C744">
        <v>248</v>
      </c>
      <c r="D744" t="s">
        <v>1289</v>
      </c>
      <c r="E744">
        <v>703</v>
      </c>
    </row>
    <row r="745" spans="1:5" ht="14.1" customHeight="1">
      <c r="A745" s="3"/>
      <c r="B745" s="5"/>
      <c r="C745">
        <v>4894</v>
      </c>
      <c r="D745" t="s">
        <v>3851</v>
      </c>
      <c r="E745">
        <v>0</v>
      </c>
    </row>
    <row r="746" spans="1:5" ht="14.1" customHeight="1">
      <c r="A746" s="3"/>
      <c r="B746" s="5"/>
      <c r="C746">
        <v>2493</v>
      </c>
      <c r="D746" t="s">
        <v>1290</v>
      </c>
      <c r="E746">
        <v>688</v>
      </c>
    </row>
    <row r="747" spans="1:5" ht="14.1" customHeight="1">
      <c r="A747" s="3"/>
      <c r="B747" s="5"/>
      <c r="C747">
        <v>2906</v>
      </c>
      <c r="D747" t="s">
        <v>1291</v>
      </c>
      <c r="E747">
        <v>454</v>
      </c>
    </row>
    <row r="748" spans="1:5" ht="14.1" customHeight="1">
      <c r="A748" s="3"/>
      <c r="B748" s="5"/>
      <c r="C748">
        <v>1470</v>
      </c>
      <c r="D748" t="s">
        <v>1292</v>
      </c>
      <c r="E748">
        <v>515</v>
      </c>
    </row>
    <row r="749" spans="1:5" ht="14.1" customHeight="1">
      <c r="A749" s="3"/>
      <c r="B749" s="5"/>
      <c r="C749">
        <v>3108</v>
      </c>
      <c r="D749" t="s">
        <v>1293</v>
      </c>
      <c r="E749">
        <v>0</v>
      </c>
    </row>
    <row r="750" spans="1:5" ht="14.1" customHeight="1">
      <c r="A750" s="3"/>
      <c r="B750" s="5"/>
      <c r="C750">
        <v>2518</v>
      </c>
      <c r="D750" t="s">
        <v>1294</v>
      </c>
      <c r="E750">
        <v>366</v>
      </c>
    </row>
    <row r="751" spans="1:5" ht="14.1" customHeight="1">
      <c r="A751" s="3"/>
      <c r="B751" s="5"/>
      <c r="C751">
        <v>2824</v>
      </c>
      <c r="D751" t="s">
        <v>1295</v>
      </c>
      <c r="E751">
        <v>491</v>
      </c>
    </row>
    <row r="752" spans="1:5" ht="14.1" customHeight="1">
      <c r="A752" s="3"/>
      <c r="B752" s="5"/>
      <c r="C752">
        <v>3221</v>
      </c>
      <c r="D752" t="s">
        <v>1296</v>
      </c>
      <c r="E752">
        <v>0</v>
      </c>
    </row>
    <row r="753" spans="1:5" ht="14.1" customHeight="1">
      <c r="A753" s="3"/>
      <c r="B753" s="5"/>
      <c r="C753">
        <v>4792</v>
      </c>
      <c r="D753" t="s">
        <v>3852</v>
      </c>
      <c r="E753">
        <v>431</v>
      </c>
    </row>
    <row r="754" spans="1:5" ht="14.1" customHeight="1">
      <c r="A754" s="3"/>
      <c r="B754" s="5"/>
      <c r="C754">
        <v>1509</v>
      </c>
      <c r="D754" t="s">
        <v>1297</v>
      </c>
      <c r="E754">
        <v>716</v>
      </c>
    </row>
    <row r="755" spans="1:5" ht="14.1" customHeight="1">
      <c r="A755" s="3"/>
      <c r="B755" s="5"/>
      <c r="C755">
        <v>476</v>
      </c>
      <c r="D755" t="s">
        <v>391</v>
      </c>
      <c r="E755">
        <v>747</v>
      </c>
    </row>
    <row r="756" spans="1:5" ht="14.1" customHeight="1">
      <c r="A756" s="3"/>
      <c r="B756" s="5"/>
      <c r="C756">
        <v>4931</v>
      </c>
      <c r="D756" t="s">
        <v>3853</v>
      </c>
      <c r="E756">
        <v>499</v>
      </c>
    </row>
    <row r="757" spans="1:5" ht="14.1" customHeight="1">
      <c r="A757" s="3"/>
      <c r="B757" s="5"/>
      <c r="C757">
        <v>4973</v>
      </c>
      <c r="D757" t="s">
        <v>3854</v>
      </c>
      <c r="E757">
        <v>641</v>
      </c>
    </row>
    <row r="758" spans="1:5" ht="14.1" customHeight="1">
      <c r="A758" s="3"/>
      <c r="B758" s="5"/>
      <c r="C758">
        <v>77</v>
      </c>
      <c r="D758" t="s">
        <v>392</v>
      </c>
      <c r="E758">
        <v>688</v>
      </c>
    </row>
    <row r="759" spans="1:5" ht="14.1" customHeight="1">
      <c r="A759" s="3"/>
      <c r="B759" s="5"/>
      <c r="C759">
        <v>2725</v>
      </c>
      <c r="D759" t="s">
        <v>1298</v>
      </c>
      <c r="E759">
        <v>437</v>
      </c>
    </row>
    <row r="760" spans="1:5" ht="14.1" customHeight="1">
      <c r="A760" s="3"/>
      <c r="B760" s="5"/>
      <c r="C760">
        <v>3086</v>
      </c>
      <c r="D760" t="s">
        <v>1299</v>
      </c>
      <c r="E760">
        <v>0</v>
      </c>
    </row>
    <row r="761" spans="1:5" ht="14.1" customHeight="1">
      <c r="A761" s="3"/>
      <c r="B761" s="5"/>
      <c r="C761">
        <v>4290</v>
      </c>
      <c r="D761" t="s">
        <v>1300</v>
      </c>
      <c r="E761">
        <v>461</v>
      </c>
    </row>
    <row r="762" spans="1:5" ht="14.1" customHeight="1">
      <c r="A762" s="3"/>
      <c r="B762" s="5"/>
      <c r="C762">
        <v>4333</v>
      </c>
      <c r="D762" t="s">
        <v>1301</v>
      </c>
      <c r="E762">
        <v>692</v>
      </c>
    </row>
    <row r="763" spans="1:5" ht="14.1" customHeight="1">
      <c r="A763" s="3"/>
      <c r="B763" s="5"/>
      <c r="C763">
        <v>2204</v>
      </c>
      <c r="D763" t="s">
        <v>1302</v>
      </c>
      <c r="E763">
        <v>495</v>
      </c>
    </row>
    <row r="764" spans="1:5" ht="14.1" customHeight="1">
      <c r="A764" s="3"/>
      <c r="B764" s="5"/>
      <c r="C764">
        <v>1708</v>
      </c>
      <c r="D764" t="s">
        <v>1303</v>
      </c>
      <c r="E764">
        <v>0</v>
      </c>
    </row>
    <row r="765" spans="1:5" ht="14.1" customHeight="1">
      <c r="A765" s="3"/>
      <c r="B765" s="5"/>
      <c r="C765">
        <v>964</v>
      </c>
      <c r="D765" t="s">
        <v>1304</v>
      </c>
      <c r="E765">
        <v>882</v>
      </c>
    </row>
    <row r="766" spans="1:5" ht="14.1" customHeight="1">
      <c r="A766" s="3"/>
      <c r="B766" s="5"/>
      <c r="C766">
        <v>386</v>
      </c>
      <c r="D766" t="s">
        <v>121</v>
      </c>
      <c r="E766">
        <v>500</v>
      </c>
    </row>
    <row r="767" spans="1:5" ht="14.1" customHeight="1">
      <c r="A767" s="3"/>
      <c r="B767" s="5"/>
      <c r="C767">
        <v>359</v>
      </c>
      <c r="D767" t="s">
        <v>122</v>
      </c>
      <c r="E767">
        <v>642</v>
      </c>
    </row>
    <row r="768" spans="1:5" ht="14.1" customHeight="1">
      <c r="A768" s="3"/>
      <c r="B768" s="5"/>
      <c r="C768">
        <v>4179</v>
      </c>
      <c r="D768" t="s">
        <v>1305</v>
      </c>
      <c r="E768">
        <v>500</v>
      </c>
    </row>
    <row r="769" spans="1:5" ht="14.1" customHeight="1">
      <c r="A769" s="3"/>
      <c r="C769">
        <v>936</v>
      </c>
      <c r="D769" t="s">
        <v>1306</v>
      </c>
      <c r="E769">
        <v>448</v>
      </c>
    </row>
    <row r="770" spans="1:5" ht="14.1" customHeight="1">
      <c r="A770" s="3"/>
      <c r="C770">
        <v>4584</v>
      </c>
      <c r="D770" t="s">
        <v>3611</v>
      </c>
      <c r="E770">
        <v>0</v>
      </c>
    </row>
    <row r="771" spans="1:5" ht="14.1" customHeight="1">
      <c r="A771" s="3"/>
      <c r="C771">
        <v>5125</v>
      </c>
      <c r="D771" t="s">
        <v>1307</v>
      </c>
      <c r="E771">
        <v>543</v>
      </c>
    </row>
    <row r="772" spans="1:5" ht="14.1" customHeight="1">
      <c r="A772" s="3"/>
      <c r="C772">
        <v>2092</v>
      </c>
      <c r="D772" t="s">
        <v>1308</v>
      </c>
      <c r="E772">
        <v>423</v>
      </c>
    </row>
    <row r="773" spans="1:5" ht="14.1" customHeight="1">
      <c r="A773" s="3"/>
      <c r="C773">
        <v>2495</v>
      </c>
      <c r="D773" t="s">
        <v>1309</v>
      </c>
      <c r="E773">
        <v>710</v>
      </c>
    </row>
    <row r="774" spans="1:5" ht="14.1" customHeight="1">
      <c r="A774" s="3"/>
      <c r="C774">
        <v>4820</v>
      </c>
      <c r="D774" t="s">
        <v>3855</v>
      </c>
      <c r="E774">
        <v>619</v>
      </c>
    </row>
    <row r="775" spans="1:5" ht="14.1" customHeight="1">
      <c r="A775" s="3"/>
      <c r="C775">
        <v>216</v>
      </c>
      <c r="D775" t="s">
        <v>123</v>
      </c>
      <c r="E775">
        <v>553</v>
      </c>
    </row>
    <row r="776" spans="1:5" ht="14.1" customHeight="1">
      <c r="A776" s="3"/>
      <c r="C776">
        <v>2049</v>
      </c>
      <c r="D776" t="s">
        <v>1310</v>
      </c>
      <c r="E776">
        <v>607</v>
      </c>
    </row>
    <row r="777" spans="1:5" ht="14.1" customHeight="1">
      <c r="A777" s="3"/>
      <c r="C777">
        <v>751</v>
      </c>
      <c r="D777" t="s">
        <v>393</v>
      </c>
      <c r="E777">
        <v>570</v>
      </c>
    </row>
    <row r="778" spans="1:5" ht="14.1" customHeight="1">
      <c r="A778" s="3"/>
      <c r="C778">
        <v>4620</v>
      </c>
      <c r="D778" t="s">
        <v>3856</v>
      </c>
      <c r="E778">
        <v>408</v>
      </c>
    </row>
    <row r="779" spans="1:5" ht="14.1" customHeight="1">
      <c r="A779" s="3"/>
      <c r="C779">
        <v>454</v>
      </c>
      <c r="D779" t="s">
        <v>394</v>
      </c>
      <c r="E779">
        <v>725</v>
      </c>
    </row>
    <row r="780" spans="1:5" ht="14.1" customHeight="1">
      <c r="A780" s="3"/>
      <c r="C780">
        <v>2455</v>
      </c>
      <c r="D780" t="s">
        <v>1311</v>
      </c>
      <c r="E780">
        <v>700</v>
      </c>
    </row>
    <row r="781" spans="1:5" ht="14.1" customHeight="1">
      <c r="A781" s="3"/>
      <c r="C781">
        <v>400</v>
      </c>
      <c r="D781" t="s">
        <v>395</v>
      </c>
      <c r="E781">
        <v>923</v>
      </c>
    </row>
    <row r="782" spans="1:5" ht="14.1" customHeight="1">
      <c r="A782" s="3"/>
      <c r="C782">
        <v>2526</v>
      </c>
      <c r="D782" t="s">
        <v>1312</v>
      </c>
      <c r="E782">
        <v>493</v>
      </c>
    </row>
    <row r="783" spans="1:5" ht="14.1" customHeight="1">
      <c r="A783" s="3"/>
      <c r="C783">
        <v>2703</v>
      </c>
      <c r="D783" t="s">
        <v>1313</v>
      </c>
      <c r="E783">
        <v>489</v>
      </c>
    </row>
    <row r="784" spans="1:5" ht="14.1" customHeight="1">
      <c r="A784" s="3"/>
      <c r="C784">
        <v>1779</v>
      </c>
      <c r="D784" t="s">
        <v>1314</v>
      </c>
      <c r="E784">
        <v>614</v>
      </c>
    </row>
    <row r="785" spans="1:5" ht="14.1" customHeight="1">
      <c r="A785" s="3"/>
      <c r="C785">
        <v>4152</v>
      </c>
      <c r="D785" t="s">
        <v>1315</v>
      </c>
      <c r="E785">
        <v>551</v>
      </c>
    </row>
    <row r="786" spans="1:5" ht="14.1" customHeight="1">
      <c r="A786" s="3"/>
      <c r="C786">
        <v>5197</v>
      </c>
      <c r="D786" t="s">
        <v>4232</v>
      </c>
      <c r="E786">
        <v>574</v>
      </c>
    </row>
    <row r="787" spans="1:5" ht="14.1" customHeight="1">
      <c r="A787" s="3"/>
      <c r="C787">
        <v>2378</v>
      </c>
      <c r="D787" t="s">
        <v>1316</v>
      </c>
      <c r="E787">
        <v>368</v>
      </c>
    </row>
    <row r="788" spans="1:5" ht="14.1" customHeight="1">
      <c r="A788" s="3"/>
      <c r="C788">
        <v>2874</v>
      </c>
      <c r="D788" t="s">
        <v>1317</v>
      </c>
      <c r="E788">
        <v>361</v>
      </c>
    </row>
    <row r="789" spans="1:5" ht="14.1" customHeight="1">
      <c r="A789" s="3"/>
      <c r="C789">
        <v>4382</v>
      </c>
      <c r="D789" t="s">
        <v>3857</v>
      </c>
      <c r="E789">
        <v>517</v>
      </c>
    </row>
    <row r="790" spans="1:5" ht="14.1" customHeight="1">
      <c r="A790" s="3"/>
      <c r="C790">
        <v>4630</v>
      </c>
      <c r="D790" t="s">
        <v>3858</v>
      </c>
      <c r="E790">
        <v>436</v>
      </c>
    </row>
    <row r="791" spans="1:5" ht="14.1" customHeight="1">
      <c r="A791" s="3"/>
      <c r="C791">
        <v>1170</v>
      </c>
      <c r="D791" t="s">
        <v>1318</v>
      </c>
      <c r="E791">
        <v>634</v>
      </c>
    </row>
    <row r="792" spans="1:5" ht="14.1" customHeight="1">
      <c r="A792" s="3"/>
      <c r="C792">
        <v>1251</v>
      </c>
      <c r="D792" t="s">
        <v>1319</v>
      </c>
      <c r="E792">
        <v>502</v>
      </c>
    </row>
    <row r="793" spans="1:5" ht="14.1" customHeight="1">
      <c r="A793" s="3"/>
      <c r="C793">
        <v>4381</v>
      </c>
      <c r="D793" t="s">
        <v>1320</v>
      </c>
      <c r="E793">
        <v>506</v>
      </c>
    </row>
    <row r="794" spans="1:5" ht="14.1" customHeight="1">
      <c r="A794" s="3"/>
      <c r="C794">
        <v>2016</v>
      </c>
      <c r="D794" t="s">
        <v>1321</v>
      </c>
      <c r="E794">
        <v>433</v>
      </c>
    </row>
    <row r="795" spans="1:5" ht="14.1" customHeight="1">
      <c r="A795" s="3"/>
      <c r="C795">
        <v>1996</v>
      </c>
      <c r="D795" t="s">
        <v>1322</v>
      </c>
      <c r="E795">
        <v>354</v>
      </c>
    </row>
    <row r="796" spans="1:5" ht="14.1" customHeight="1">
      <c r="A796" s="3"/>
      <c r="C796">
        <v>2136</v>
      </c>
      <c r="D796" t="s">
        <v>1323</v>
      </c>
      <c r="E796">
        <v>584</v>
      </c>
    </row>
    <row r="797" spans="1:5" ht="14.1" customHeight="1">
      <c r="A797" s="3"/>
      <c r="C797">
        <v>2224</v>
      </c>
      <c r="D797" t="s">
        <v>1324</v>
      </c>
      <c r="E797">
        <v>459</v>
      </c>
    </row>
    <row r="798" spans="1:5" ht="14.1" customHeight="1">
      <c r="A798" s="3"/>
      <c r="C798">
        <v>1754</v>
      </c>
      <c r="D798" t="s">
        <v>1325</v>
      </c>
      <c r="E798">
        <v>1220</v>
      </c>
    </row>
    <row r="799" spans="1:5" ht="14.1" customHeight="1">
      <c r="A799" s="3"/>
      <c r="C799">
        <v>4517</v>
      </c>
      <c r="D799" t="s">
        <v>3612</v>
      </c>
      <c r="E799">
        <v>711</v>
      </c>
    </row>
    <row r="800" spans="1:5" ht="14.1" customHeight="1">
      <c r="A800" s="3"/>
      <c r="C800">
        <v>932</v>
      </c>
      <c r="D800" t="s">
        <v>1326</v>
      </c>
      <c r="E800">
        <v>537</v>
      </c>
    </row>
    <row r="801" spans="1:5" ht="14.1" customHeight="1">
      <c r="A801" s="3"/>
      <c r="C801">
        <v>4302</v>
      </c>
      <c r="D801" t="s">
        <v>1327</v>
      </c>
      <c r="E801">
        <v>494</v>
      </c>
    </row>
    <row r="802" spans="1:5" ht="14.1" customHeight="1">
      <c r="A802" s="3"/>
      <c r="C802">
        <v>1615</v>
      </c>
      <c r="D802" t="s">
        <v>1328</v>
      </c>
      <c r="E802">
        <v>652</v>
      </c>
    </row>
    <row r="803" spans="1:5" ht="14.1" customHeight="1">
      <c r="A803" s="3"/>
      <c r="C803">
        <v>4944</v>
      </c>
      <c r="D803" t="s">
        <v>3859</v>
      </c>
      <c r="E803">
        <v>405</v>
      </c>
    </row>
    <row r="804" spans="1:5" ht="14.1" customHeight="1">
      <c r="A804" s="3"/>
      <c r="C804">
        <v>1836</v>
      </c>
      <c r="D804" t="s">
        <v>1329</v>
      </c>
      <c r="E804">
        <v>845</v>
      </c>
    </row>
    <row r="805" spans="1:5" ht="14.1" customHeight="1">
      <c r="A805" s="3"/>
      <c r="C805">
        <v>4135</v>
      </c>
      <c r="D805" t="s">
        <v>1330</v>
      </c>
      <c r="E805">
        <v>392</v>
      </c>
    </row>
    <row r="806" spans="1:5" ht="14.1" customHeight="1">
      <c r="A806" s="3"/>
      <c r="C806">
        <v>4431</v>
      </c>
      <c r="D806" t="s">
        <v>3613</v>
      </c>
      <c r="E806">
        <v>494</v>
      </c>
    </row>
    <row r="807" spans="1:5" ht="14.1" customHeight="1">
      <c r="A807" s="3"/>
      <c r="C807">
        <v>137</v>
      </c>
      <c r="D807" t="s">
        <v>1331</v>
      </c>
      <c r="E807">
        <v>813</v>
      </c>
    </row>
    <row r="808" spans="1:5" ht="14.1" customHeight="1">
      <c r="A808" s="3"/>
      <c r="C808">
        <v>883</v>
      </c>
      <c r="D808" t="s">
        <v>396</v>
      </c>
      <c r="E808">
        <v>558</v>
      </c>
    </row>
    <row r="809" spans="1:5" ht="14.1" customHeight="1">
      <c r="A809" s="3"/>
      <c r="C809">
        <v>571</v>
      </c>
      <c r="D809" t="s">
        <v>1332</v>
      </c>
      <c r="E809">
        <v>644</v>
      </c>
    </row>
    <row r="810" spans="1:5" ht="14.1" customHeight="1">
      <c r="A810" s="3"/>
      <c r="C810">
        <v>3370</v>
      </c>
      <c r="D810" t="s">
        <v>1333</v>
      </c>
      <c r="E810">
        <v>417</v>
      </c>
    </row>
    <row r="811" spans="1:5" ht="14.1" customHeight="1">
      <c r="A811" s="3"/>
      <c r="C811">
        <v>9</v>
      </c>
      <c r="D811" t="s">
        <v>397</v>
      </c>
      <c r="E811">
        <v>433</v>
      </c>
    </row>
    <row r="812" spans="1:5" ht="14.1" customHeight="1">
      <c r="A812" s="3"/>
      <c r="C812">
        <v>477</v>
      </c>
      <c r="D812" t="s">
        <v>398</v>
      </c>
      <c r="E812">
        <v>845</v>
      </c>
    </row>
    <row r="813" spans="1:5" ht="14.1" customHeight="1">
      <c r="A813" s="3"/>
      <c r="C813">
        <v>4955</v>
      </c>
      <c r="D813" t="s">
        <v>3860</v>
      </c>
      <c r="E813">
        <v>413</v>
      </c>
    </row>
    <row r="814" spans="1:5" ht="14.1" customHeight="1">
      <c r="A814" s="3"/>
      <c r="C814">
        <v>542</v>
      </c>
      <c r="D814" t="s">
        <v>399</v>
      </c>
      <c r="E814">
        <v>548</v>
      </c>
    </row>
    <row r="815" spans="1:5" ht="14.1" customHeight="1">
      <c r="A815" s="3"/>
      <c r="C815">
        <v>1203</v>
      </c>
      <c r="D815" t="s">
        <v>1334</v>
      </c>
      <c r="E815">
        <v>688</v>
      </c>
    </row>
    <row r="816" spans="1:5" ht="14.1" customHeight="1">
      <c r="A816" s="3"/>
      <c r="C816">
        <v>5182</v>
      </c>
      <c r="D816" t="s">
        <v>4233</v>
      </c>
      <c r="E816">
        <v>488</v>
      </c>
    </row>
    <row r="817" spans="1:5" ht="14.1" customHeight="1">
      <c r="A817" s="3"/>
      <c r="C817">
        <v>1787</v>
      </c>
      <c r="D817" t="s">
        <v>1335</v>
      </c>
      <c r="E817">
        <v>638</v>
      </c>
    </row>
    <row r="818" spans="1:5" ht="14.1" customHeight="1">
      <c r="A818" s="3"/>
      <c r="C818">
        <v>4634</v>
      </c>
      <c r="D818" t="s">
        <v>3861</v>
      </c>
      <c r="E818">
        <v>500</v>
      </c>
    </row>
    <row r="819" spans="1:5" ht="14.1" customHeight="1">
      <c r="A819" s="3"/>
      <c r="C819">
        <v>782</v>
      </c>
      <c r="D819" t="s">
        <v>400</v>
      </c>
      <c r="E819">
        <v>1025</v>
      </c>
    </row>
    <row r="820" spans="1:5" ht="14.1" customHeight="1">
      <c r="A820" s="3"/>
      <c r="C820">
        <v>1521</v>
      </c>
      <c r="D820" t="s">
        <v>1336</v>
      </c>
      <c r="E820">
        <v>932</v>
      </c>
    </row>
    <row r="821" spans="1:5" ht="14.1" customHeight="1">
      <c r="A821" s="3"/>
      <c r="C821">
        <v>2955</v>
      </c>
      <c r="D821" t="s">
        <v>1337</v>
      </c>
      <c r="E821">
        <v>720</v>
      </c>
    </row>
    <row r="822" spans="1:5" ht="14.1" customHeight="1">
      <c r="A822" s="3"/>
      <c r="C822">
        <v>1706</v>
      </c>
      <c r="D822" t="s">
        <v>1338</v>
      </c>
      <c r="E822">
        <v>0</v>
      </c>
    </row>
    <row r="823" spans="1:5" ht="14.1" customHeight="1">
      <c r="A823" s="3"/>
      <c r="C823">
        <v>1575</v>
      </c>
      <c r="D823" t="s">
        <v>1339</v>
      </c>
      <c r="E823">
        <v>507</v>
      </c>
    </row>
    <row r="824" spans="1:5" ht="14.1" customHeight="1">
      <c r="A824" s="3"/>
      <c r="C824">
        <v>4316</v>
      </c>
      <c r="D824" t="s">
        <v>1340</v>
      </c>
      <c r="E824">
        <v>477</v>
      </c>
    </row>
    <row r="825" spans="1:5" ht="14.1" customHeight="1">
      <c r="A825" s="3"/>
      <c r="C825">
        <v>2044</v>
      </c>
      <c r="D825" t="s">
        <v>1341</v>
      </c>
      <c r="E825">
        <v>711</v>
      </c>
    </row>
    <row r="826" spans="1:5" ht="14.1" customHeight="1">
      <c r="A826" s="3"/>
      <c r="C826">
        <v>1655</v>
      </c>
      <c r="D826" t="s">
        <v>1342</v>
      </c>
      <c r="E826">
        <v>702</v>
      </c>
    </row>
    <row r="827" spans="1:5" ht="14.1" customHeight="1">
      <c r="A827" s="3"/>
      <c r="C827">
        <v>3304</v>
      </c>
      <c r="D827" t="s">
        <v>1343</v>
      </c>
      <c r="E827">
        <v>0</v>
      </c>
    </row>
    <row r="828" spans="1:5" ht="14.1" customHeight="1">
      <c r="A828" s="3"/>
      <c r="C828">
        <v>749</v>
      </c>
      <c r="D828" t="s">
        <v>401</v>
      </c>
      <c r="E828">
        <v>646</v>
      </c>
    </row>
    <row r="829" spans="1:5" ht="14.1" customHeight="1">
      <c r="A829" s="3"/>
      <c r="C829">
        <v>2400</v>
      </c>
      <c r="D829" t="s">
        <v>1344</v>
      </c>
      <c r="E829">
        <v>344</v>
      </c>
    </row>
    <row r="830" spans="1:5" ht="14.1" customHeight="1">
      <c r="A830" s="3"/>
      <c r="C830">
        <v>2135</v>
      </c>
      <c r="D830" t="s">
        <v>1345</v>
      </c>
      <c r="E830">
        <v>555</v>
      </c>
    </row>
    <row r="831" spans="1:5" ht="14.1" customHeight="1">
      <c r="A831" s="3"/>
      <c r="C831">
        <v>952</v>
      </c>
      <c r="D831" t="s">
        <v>1346</v>
      </c>
      <c r="E831">
        <v>492</v>
      </c>
    </row>
    <row r="832" spans="1:5" ht="14.1" customHeight="1">
      <c r="A832" s="3"/>
      <c r="C832">
        <v>1022</v>
      </c>
      <c r="D832" t="s">
        <v>1347</v>
      </c>
      <c r="E832">
        <v>796</v>
      </c>
    </row>
    <row r="833" spans="1:5" ht="14.1" customHeight="1">
      <c r="A833" s="3"/>
      <c r="C833">
        <v>3274</v>
      </c>
      <c r="D833" t="s">
        <v>1348</v>
      </c>
      <c r="E833">
        <v>0</v>
      </c>
    </row>
    <row r="834" spans="1:5" ht="14.1" customHeight="1">
      <c r="A834" s="3"/>
      <c r="C834">
        <v>3107</v>
      </c>
      <c r="D834" t="s">
        <v>1349</v>
      </c>
      <c r="E834">
        <v>0</v>
      </c>
    </row>
    <row r="835" spans="1:5" ht="14.1" customHeight="1">
      <c r="A835" s="3"/>
      <c r="C835">
        <v>3199</v>
      </c>
      <c r="D835" t="s">
        <v>1350</v>
      </c>
      <c r="E835">
        <v>0</v>
      </c>
    </row>
    <row r="836" spans="1:5" ht="14.1" customHeight="1">
      <c r="A836" s="3"/>
      <c r="C836">
        <v>3196</v>
      </c>
      <c r="D836" t="s">
        <v>1351</v>
      </c>
      <c r="E836">
        <v>0</v>
      </c>
    </row>
    <row r="837" spans="1:5" ht="14.1" customHeight="1">
      <c r="A837" s="3"/>
      <c r="C837">
        <v>2025</v>
      </c>
      <c r="D837" t="s">
        <v>1352</v>
      </c>
      <c r="E837">
        <v>569</v>
      </c>
    </row>
    <row r="838" spans="1:5" ht="14.1" customHeight="1">
      <c r="A838" s="3"/>
      <c r="C838">
        <v>1499</v>
      </c>
      <c r="D838" t="s">
        <v>1353</v>
      </c>
      <c r="E838">
        <v>725</v>
      </c>
    </row>
    <row r="839" spans="1:5" ht="14.1" customHeight="1">
      <c r="A839" s="3"/>
      <c r="C839">
        <v>1752</v>
      </c>
      <c r="D839" t="s">
        <v>1354</v>
      </c>
      <c r="E839">
        <v>1071</v>
      </c>
    </row>
    <row r="840" spans="1:5" ht="14.1" customHeight="1">
      <c r="A840" s="3"/>
      <c r="C840">
        <v>1023</v>
      </c>
      <c r="D840" t="s">
        <v>1355</v>
      </c>
      <c r="E840">
        <v>683</v>
      </c>
    </row>
    <row r="841" spans="1:5" ht="14.1" customHeight="1">
      <c r="A841" s="3"/>
      <c r="C841">
        <v>2965</v>
      </c>
      <c r="D841" t="s">
        <v>1356</v>
      </c>
      <c r="E841">
        <v>577</v>
      </c>
    </row>
    <row r="842" spans="1:5" ht="14.1" customHeight="1">
      <c r="A842" s="3"/>
      <c r="C842">
        <v>326</v>
      </c>
      <c r="D842" t="s">
        <v>1357</v>
      </c>
      <c r="E842">
        <v>559</v>
      </c>
    </row>
    <row r="843" spans="1:5" ht="14.1" customHeight="1">
      <c r="A843" s="3"/>
      <c r="C843">
        <v>174</v>
      </c>
      <c r="D843" t="s">
        <v>402</v>
      </c>
      <c r="E843">
        <v>639</v>
      </c>
    </row>
    <row r="844" spans="1:5" ht="14.1" customHeight="1">
      <c r="A844" s="3"/>
      <c r="C844">
        <v>1405</v>
      </c>
      <c r="D844" t="s">
        <v>1358</v>
      </c>
      <c r="E844">
        <v>588</v>
      </c>
    </row>
    <row r="845" spans="1:5" ht="14.1" customHeight="1">
      <c r="A845" s="3"/>
      <c r="C845">
        <v>2085</v>
      </c>
      <c r="D845" t="s">
        <v>1359</v>
      </c>
      <c r="E845">
        <v>593</v>
      </c>
    </row>
    <row r="846" spans="1:5" ht="14.1" customHeight="1">
      <c r="A846" s="3"/>
      <c r="C846">
        <v>4519</v>
      </c>
      <c r="D846" t="s">
        <v>3614</v>
      </c>
      <c r="E846">
        <v>694</v>
      </c>
    </row>
    <row r="847" spans="1:5" ht="14.1" customHeight="1">
      <c r="A847" s="3"/>
      <c r="C847">
        <v>1252</v>
      </c>
      <c r="D847" t="s">
        <v>1360</v>
      </c>
      <c r="E847">
        <v>427</v>
      </c>
    </row>
    <row r="848" spans="1:5" ht="14.1" customHeight="1">
      <c r="A848" s="3"/>
      <c r="C848">
        <v>4948</v>
      </c>
      <c r="D848" t="s">
        <v>3862</v>
      </c>
      <c r="E848">
        <v>385</v>
      </c>
    </row>
    <row r="849" spans="1:5" ht="14.1" customHeight="1">
      <c r="A849" s="3"/>
      <c r="C849">
        <v>4303</v>
      </c>
      <c r="D849" t="s">
        <v>1361</v>
      </c>
      <c r="E849">
        <v>542</v>
      </c>
    </row>
    <row r="850" spans="1:5" ht="14.1" customHeight="1">
      <c r="A850" s="3"/>
      <c r="C850">
        <v>1544</v>
      </c>
      <c r="D850" t="s">
        <v>1362</v>
      </c>
      <c r="E850">
        <v>529</v>
      </c>
    </row>
    <row r="851" spans="1:5" ht="14.1" customHeight="1">
      <c r="A851" s="3"/>
      <c r="C851">
        <v>2954</v>
      </c>
      <c r="D851" t="s">
        <v>1363</v>
      </c>
      <c r="E851">
        <v>702</v>
      </c>
    </row>
    <row r="852" spans="1:5" ht="14.1" customHeight="1">
      <c r="A852" s="3"/>
      <c r="C852">
        <v>4610</v>
      </c>
      <c r="D852" t="s">
        <v>3863</v>
      </c>
      <c r="E852">
        <v>481</v>
      </c>
    </row>
    <row r="853" spans="1:5" ht="14.1" customHeight="1">
      <c r="A853" s="3"/>
      <c r="C853">
        <v>4943</v>
      </c>
      <c r="D853" t="s">
        <v>3864</v>
      </c>
      <c r="E853">
        <v>402</v>
      </c>
    </row>
    <row r="854" spans="1:5" ht="14.1" customHeight="1">
      <c r="A854" s="3"/>
      <c r="C854">
        <v>1705</v>
      </c>
      <c r="D854" t="s">
        <v>1364</v>
      </c>
      <c r="E854">
        <v>478</v>
      </c>
    </row>
    <row r="855" spans="1:5" ht="14.1" customHeight="1">
      <c r="A855" s="3"/>
      <c r="C855">
        <v>4156</v>
      </c>
      <c r="D855" t="s">
        <v>1365</v>
      </c>
      <c r="E855">
        <v>459</v>
      </c>
    </row>
    <row r="856" spans="1:5" ht="14.1" customHeight="1">
      <c r="A856" s="3"/>
      <c r="C856">
        <v>2471</v>
      </c>
      <c r="D856" t="s">
        <v>1366</v>
      </c>
      <c r="E856">
        <v>645</v>
      </c>
    </row>
    <row r="857" spans="1:5" ht="14.1" customHeight="1">
      <c r="A857" s="3"/>
      <c r="C857">
        <v>3323</v>
      </c>
      <c r="D857" t="s">
        <v>1367</v>
      </c>
      <c r="E857">
        <v>387</v>
      </c>
    </row>
    <row r="858" spans="1:5" ht="14.1" customHeight="1">
      <c r="A858" s="3"/>
      <c r="C858">
        <v>2680</v>
      </c>
      <c r="D858" t="s">
        <v>1368</v>
      </c>
      <c r="E858">
        <v>605</v>
      </c>
    </row>
    <row r="859" spans="1:5" ht="14.1" customHeight="1">
      <c r="A859" s="3"/>
      <c r="C859">
        <v>1580</v>
      </c>
      <c r="D859" t="s">
        <v>1369</v>
      </c>
      <c r="E859">
        <v>629</v>
      </c>
    </row>
    <row r="860" spans="1:5" ht="14.1" customHeight="1">
      <c r="A860" s="3"/>
      <c r="C860">
        <v>5188</v>
      </c>
      <c r="D860" t="s">
        <v>4234</v>
      </c>
      <c r="E860">
        <v>709</v>
      </c>
    </row>
    <row r="861" spans="1:5" ht="14.1" customHeight="1">
      <c r="A861" s="3"/>
      <c r="C861">
        <v>4162</v>
      </c>
      <c r="D861" t="s">
        <v>1370</v>
      </c>
      <c r="E861">
        <v>509</v>
      </c>
    </row>
    <row r="862" spans="1:5" ht="14.1" customHeight="1">
      <c r="A862" s="3"/>
      <c r="C862">
        <v>904</v>
      </c>
      <c r="D862" t="s">
        <v>403</v>
      </c>
      <c r="E862">
        <v>801</v>
      </c>
    </row>
    <row r="863" spans="1:5" ht="14.1" customHeight="1">
      <c r="A863" s="3"/>
      <c r="C863">
        <v>1910</v>
      </c>
      <c r="D863" t="s">
        <v>1371</v>
      </c>
      <c r="E863">
        <v>582</v>
      </c>
    </row>
    <row r="864" spans="1:5" ht="14.1" customHeight="1">
      <c r="A864" s="3"/>
      <c r="C864">
        <v>389</v>
      </c>
      <c r="D864" t="s">
        <v>124</v>
      </c>
      <c r="E864">
        <v>503</v>
      </c>
    </row>
    <row r="865" spans="1:5" ht="14.1" customHeight="1">
      <c r="A865" s="3"/>
      <c r="C865">
        <v>1511</v>
      </c>
      <c r="D865" t="s">
        <v>1372</v>
      </c>
      <c r="E865">
        <v>793</v>
      </c>
    </row>
    <row r="866" spans="1:5" ht="14.1" customHeight="1">
      <c r="A866" s="3"/>
      <c r="C866">
        <v>1111</v>
      </c>
      <c r="D866" t="s">
        <v>1373</v>
      </c>
      <c r="E866">
        <v>611</v>
      </c>
    </row>
    <row r="867" spans="1:5" ht="14.1" customHeight="1">
      <c r="A867" s="3"/>
      <c r="C867">
        <v>2477</v>
      </c>
      <c r="D867" t="s">
        <v>1374</v>
      </c>
      <c r="E867">
        <v>692</v>
      </c>
    </row>
    <row r="868" spans="1:5" ht="14.1" customHeight="1">
      <c r="A868" s="3"/>
      <c r="C868">
        <v>2299</v>
      </c>
      <c r="D868" t="s">
        <v>1375</v>
      </c>
      <c r="E868">
        <v>690</v>
      </c>
    </row>
    <row r="869" spans="1:5" ht="14.1" customHeight="1">
      <c r="A869" s="3"/>
      <c r="C869">
        <v>754</v>
      </c>
      <c r="D869" t="s">
        <v>404</v>
      </c>
      <c r="E869">
        <v>535</v>
      </c>
    </row>
    <row r="870" spans="1:5" ht="14.1" customHeight="1">
      <c r="A870" s="3"/>
      <c r="C870">
        <v>2434</v>
      </c>
      <c r="D870" t="s">
        <v>1376</v>
      </c>
      <c r="E870">
        <v>892</v>
      </c>
    </row>
    <row r="871" spans="1:5" ht="14.1" customHeight="1">
      <c r="A871" s="3"/>
      <c r="C871">
        <v>2627</v>
      </c>
      <c r="D871" t="s">
        <v>1377</v>
      </c>
      <c r="E871">
        <v>631</v>
      </c>
    </row>
    <row r="872" spans="1:5" ht="14.1" customHeight="1">
      <c r="A872" s="3"/>
      <c r="C872">
        <v>355</v>
      </c>
      <c r="D872" t="s">
        <v>125</v>
      </c>
      <c r="E872">
        <v>779</v>
      </c>
    </row>
    <row r="873" spans="1:5" ht="14.1" customHeight="1">
      <c r="A873" s="3"/>
      <c r="C873">
        <v>2986</v>
      </c>
      <c r="D873" t="s">
        <v>1378</v>
      </c>
      <c r="E873">
        <v>600</v>
      </c>
    </row>
    <row r="874" spans="1:5" ht="14.1" customHeight="1">
      <c r="A874" s="3"/>
      <c r="C874">
        <v>1938</v>
      </c>
      <c r="D874" t="s">
        <v>1379</v>
      </c>
      <c r="E874">
        <v>793</v>
      </c>
    </row>
    <row r="875" spans="1:5" ht="14.1" customHeight="1">
      <c r="A875" s="3"/>
      <c r="C875">
        <v>4845</v>
      </c>
      <c r="D875" t="s">
        <v>3865</v>
      </c>
      <c r="E875">
        <v>532</v>
      </c>
    </row>
    <row r="876" spans="1:5" ht="14.1" customHeight="1">
      <c r="A876" s="3"/>
      <c r="C876">
        <v>1992</v>
      </c>
      <c r="D876" t="s">
        <v>1380</v>
      </c>
      <c r="E876">
        <v>412</v>
      </c>
    </row>
    <row r="877" spans="1:5" ht="14.1" customHeight="1">
      <c r="A877" s="3"/>
      <c r="C877">
        <v>1436</v>
      </c>
      <c r="D877" t="s">
        <v>1381</v>
      </c>
      <c r="E877">
        <v>570</v>
      </c>
    </row>
    <row r="878" spans="1:5" ht="14.1" customHeight="1">
      <c r="A878" s="3"/>
      <c r="C878">
        <v>1199</v>
      </c>
      <c r="D878" t="s">
        <v>1382</v>
      </c>
      <c r="E878">
        <v>580</v>
      </c>
    </row>
    <row r="879" spans="1:5" ht="14.1" customHeight="1">
      <c r="A879" s="3"/>
      <c r="C879">
        <v>1055</v>
      </c>
      <c r="D879" t="s">
        <v>1383</v>
      </c>
      <c r="E879">
        <v>675</v>
      </c>
    </row>
    <row r="880" spans="1:5" ht="14.1" customHeight="1">
      <c r="A880" s="3"/>
      <c r="C880">
        <v>1256</v>
      </c>
      <c r="D880" t="s">
        <v>1384</v>
      </c>
      <c r="E880">
        <v>555</v>
      </c>
    </row>
    <row r="881" spans="1:5" ht="14.1" customHeight="1">
      <c r="A881" s="3"/>
      <c r="C881">
        <v>2656</v>
      </c>
      <c r="D881" t="s">
        <v>1385</v>
      </c>
      <c r="E881">
        <v>598</v>
      </c>
    </row>
    <row r="882" spans="1:5" ht="14.1" customHeight="1">
      <c r="A882" s="3"/>
      <c r="C882">
        <v>3027</v>
      </c>
      <c r="D882" t="s">
        <v>1386</v>
      </c>
      <c r="E882">
        <v>0</v>
      </c>
    </row>
    <row r="883" spans="1:5" ht="14.1" customHeight="1">
      <c r="A883" s="3"/>
      <c r="C883">
        <v>1198</v>
      </c>
      <c r="D883" t="s">
        <v>1387</v>
      </c>
      <c r="E883">
        <v>580</v>
      </c>
    </row>
    <row r="884" spans="1:5" ht="14.1" customHeight="1">
      <c r="A884" s="3"/>
      <c r="C884">
        <v>1339</v>
      </c>
      <c r="D884" t="s">
        <v>1388</v>
      </c>
      <c r="E884">
        <v>453</v>
      </c>
    </row>
    <row r="885" spans="1:5" ht="14.1" customHeight="1">
      <c r="A885" s="3"/>
      <c r="C885">
        <v>1878</v>
      </c>
      <c r="D885" t="s">
        <v>1389</v>
      </c>
      <c r="E885">
        <v>605</v>
      </c>
    </row>
    <row r="886" spans="1:5" ht="14.1" customHeight="1">
      <c r="A886" s="3"/>
      <c r="C886">
        <v>3188</v>
      </c>
      <c r="D886" t="s">
        <v>1390</v>
      </c>
      <c r="E886">
        <v>0</v>
      </c>
    </row>
    <row r="887" spans="1:5" ht="14.1" customHeight="1">
      <c r="A887" s="3"/>
      <c r="C887">
        <v>581</v>
      </c>
      <c r="D887" t="s">
        <v>405</v>
      </c>
      <c r="E887">
        <v>532</v>
      </c>
    </row>
    <row r="888" spans="1:5" ht="14.1" customHeight="1">
      <c r="A888" s="3"/>
      <c r="C888">
        <v>1692</v>
      </c>
      <c r="D888" t="s">
        <v>1391</v>
      </c>
      <c r="E888">
        <v>638</v>
      </c>
    </row>
    <row r="889" spans="1:5" ht="14.1" customHeight="1">
      <c r="A889" s="3"/>
      <c r="C889">
        <v>2432</v>
      </c>
      <c r="D889" t="s">
        <v>1392</v>
      </c>
      <c r="E889">
        <v>884</v>
      </c>
    </row>
    <row r="890" spans="1:5" ht="14.1" customHeight="1">
      <c r="A890" s="3"/>
      <c r="C890">
        <v>411</v>
      </c>
      <c r="D890" t="s">
        <v>126</v>
      </c>
      <c r="E890">
        <v>542</v>
      </c>
    </row>
    <row r="891" spans="1:5" ht="14.1" customHeight="1">
      <c r="A891" s="3"/>
      <c r="C891">
        <v>1477</v>
      </c>
      <c r="D891" t="s">
        <v>1393</v>
      </c>
      <c r="E891">
        <v>454</v>
      </c>
    </row>
    <row r="892" spans="1:5" ht="14.1" customHeight="1">
      <c r="A892" s="3"/>
      <c r="C892">
        <v>1673</v>
      </c>
      <c r="D892" t="s">
        <v>1394</v>
      </c>
      <c r="E892">
        <v>1027</v>
      </c>
    </row>
    <row r="893" spans="1:5" ht="14.1" customHeight="1">
      <c r="A893" s="3"/>
      <c r="C893">
        <v>1232</v>
      </c>
      <c r="D893" t="s">
        <v>1395</v>
      </c>
      <c r="E893">
        <v>1035</v>
      </c>
    </row>
    <row r="894" spans="1:5" ht="14.1" customHeight="1">
      <c r="A894" s="3"/>
      <c r="C894">
        <v>1651</v>
      </c>
      <c r="D894" t="s">
        <v>1396</v>
      </c>
      <c r="E894">
        <v>590</v>
      </c>
    </row>
    <row r="895" spans="1:5" ht="14.1" customHeight="1">
      <c r="A895" s="3"/>
      <c r="C895">
        <v>1375</v>
      </c>
      <c r="D895" t="s">
        <v>1397</v>
      </c>
      <c r="E895">
        <v>776</v>
      </c>
    </row>
    <row r="896" spans="1:5" ht="14.1" customHeight="1">
      <c r="A896" s="3"/>
      <c r="C896">
        <v>159</v>
      </c>
      <c r="D896" t="s">
        <v>406</v>
      </c>
      <c r="E896">
        <v>543</v>
      </c>
    </row>
    <row r="897" spans="1:5" ht="14.1" customHeight="1">
      <c r="A897" s="3"/>
      <c r="C897">
        <v>1827</v>
      </c>
      <c r="D897" t="s">
        <v>1398</v>
      </c>
      <c r="E897">
        <v>372</v>
      </c>
    </row>
    <row r="898" spans="1:5" ht="14.1" customHeight="1">
      <c r="A898" s="3"/>
      <c r="C898">
        <v>3267</v>
      </c>
      <c r="D898" t="s">
        <v>1399</v>
      </c>
      <c r="E898">
        <v>0</v>
      </c>
    </row>
    <row r="899" spans="1:5" ht="14.1" customHeight="1">
      <c r="A899" s="3"/>
      <c r="C899">
        <v>2652</v>
      </c>
      <c r="D899" t="s">
        <v>1400</v>
      </c>
      <c r="E899">
        <v>566</v>
      </c>
    </row>
    <row r="900" spans="1:5" ht="14.1" customHeight="1">
      <c r="A900" s="3"/>
      <c r="C900">
        <v>696</v>
      </c>
      <c r="D900" t="s">
        <v>407</v>
      </c>
      <c r="E900">
        <v>951</v>
      </c>
    </row>
    <row r="901" spans="1:5" ht="14.1" customHeight="1">
      <c r="A901" s="3"/>
      <c r="C901">
        <v>2724</v>
      </c>
      <c r="D901" t="s">
        <v>1401</v>
      </c>
      <c r="E901">
        <v>431</v>
      </c>
    </row>
    <row r="902" spans="1:5" ht="14.1" customHeight="1">
      <c r="A902" s="3"/>
      <c r="C902">
        <v>1979</v>
      </c>
      <c r="D902" t="s">
        <v>1402</v>
      </c>
      <c r="E902">
        <v>497</v>
      </c>
    </row>
    <row r="903" spans="1:5" ht="14.1" customHeight="1">
      <c r="A903" s="3"/>
      <c r="C903">
        <v>2039</v>
      </c>
      <c r="D903" t="s">
        <v>1403</v>
      </c>
      <c r="E903">
        <v>604</v>
      </c>
    </row>
    <row r="904" spans="1:5" ht="14.1" customHeight="1">
      <c r="A904" s="3"/>
      <c r="C904">
        <v>879</v>
      </c>
      <c r="D904" t="s">
        <v>408</v>
      </c>
      <c r="E904">
        <v>417</v>
      </c>
    </row>
    <row r="905" spans="1:5" ht="14.1" customHeight="1">
      <c r="A905" s="3"/>
      <c r="C905">
        <v>1932</v>
      </c>
      <c r="D905" t="s">
        <v>1404</v>
      </c>
      <c r="E905">
        <v>292</v>
      </c>
    </row>
    <row r="906" spans="1:5" ht="14.1" customHeight="1">
      <c r="A906" s="3"/>
      <c r="C906">
        <v>2713</v>
      </c>
      <c r="D906" t="s">
        <v>1405</v>
      </c>
      <c r="E906">
        <v>549</v>
      </c>
    </row>
    <row r="907" spans="1:5" ht="14.1" customHeight="1">
      <c r="A907" s="3"/>
      <c r="C907">
        <v>1703</v>
      </c>
      <c r="D907" t="s">
        <v>1406</v>
      </c>
      <c r="E907">
        <v>0</v>
      </c>
    </row>
    <row r="908" spans="1:5" ht="14.1" customHeight="1">
      <c r="A908" s="3"/>
      <c r="C908">
        <v>961</v>
      </c>
      <c r="D908" t="s">
        <v>1407</v>
      </c>
      <c r="E908">
        <v>885</v>
      </c>
    </row>
    <row r="909" spans="1:5" ht="14.1" customHeight="1">
      <c r="A909" s="3"/>
      <c r="C909">
        <v>382</v>
      </c>
      <c r="D909" t="s">
        <v>127</v>
      </c>
      <c r="E909">
        <v>510</v>
      </c>
    </row>
    <row r="910" spans="1:5" ht="14.1" customHeight="1">
      <c r="A910" s="3"/>
      <c r="C910">
        <v>2929</v>
      </c>
      <c r="D910" t="s">
        <v>1408</v>
      </c>
      <c r="E910">
        <v>592</v>
      </c>
    </row>
    <row r="911" spans="1:5" ht="14.1" customHeight="1">
      <c r="A911" s="3"/>
      <c r="C911">
        <v>2665</v>
      </c>
      <c r="D911" t="s">
        <v>1409</v>
      </c>
      <c r="E911">
        <v>537</v>
      </c>
    </row>
    <row r="912" spans="1:5" ht="14.1" customHeight="1">
      <c r="A912" s="3"/>
      <c r="C912">
        <v>1569</v>
      </c>
      <c r="D912" t="s">
        <v>1410</v>
      </c>
      <c r="E912">
        <v>654</v>
      </c>
    </row>
    <row r="913" spans="1:5" ht="14.1" customHeight="1">
      <c r="A913" s="3"/>
      <c r="C913">
        <v>1304</v>
      </c>
      <c r="D913" t="s">
        <v>1411</v>
      </c>
      <c r="E913">
        <v>687</v>
      </c>
    </row>
    <row r="914" spans="1:5" ht="14.1" customHeight="1">
      <c r="A914" s="3"/>
      <c r="C914">
        <v>2380</v>
      </c>
      <c r="D914" t="s">
        <v>1412</v>
      </c>
      <c r="E914">
        <v>371</v>
      </c>
    </row>
    <row r="915" spans="1:5" ht="14.1" customHeight="1">
      <c r="A915" s="3"/>
      <c r="C915">
        <v>380</v>
      </c>
      <c r="D915" t="s">
        <v>128</v>
      </c>
      <c r="E915">
        <v>470</v>
      </c>
    </row>
    <row r="916" spans="1:5" ht="14.1" customHeight="1">
      <c r="A916" s="3"/>
      <c r="C916">
        <v>2769</v>
      </c>
      <c r="D916" t="s">
        <v>1413</v>
      </c>
      <c r="E916">
        <v>693</v>
      </c>
    </row>
    <row r="917" spans="1:5" ht="14.1" customHeight="1">
      <c r="A917" s="3"/>
      <c r="C917">
        <v>2381</v>
      </c>
      <c r="D917" t="s">
        <v>1414</v>
      </c>
      <c r="E917">
        <v>371</v>
      </c>
    </row>
    <row r="918" spans="1:5" ht="14.1" customHeight="1">
      <c r="A918" s="3"/>
      <c r="C918">
        <v>1444</v>
      </c>
      <c r="D918" t="s">
        <v>1415</v>
      </c>
      <c r="E918">
        <v>585</v>
      </c>
    </row>
    <row r="919" spans="1:5" ht="14.1" customHeight="1">
      <c r="A919" s="3"/>
      <c r="C919">
        <v>3023</v>
      </c>
      <c r="D919" t="s">
        <v>1416</v>
      </c>
      <c r="E919">
        <v>0</v>
      </c>
    </row>
    <row r="920" spans="1:5" ht="14.1" customHeight="1">
      <c r="A920" s="3"/>
      <c r="C920">
        <v>6</v>
      </c>
      <c r="D920" t="s">
        <v>409</v>
      </c>
      <c r="E920">
        <v>761</v>
      </c>
    </row>
    <row r="921" spans="1:5" ht="14.1" customHeight="1">
      <c r="A921" s="3"/>
      <c r="C921">
        <v>3044</v>
      </c>
      <c r="D921" t="s">
        <v>1417</v>
      </c>
      <c r="E921">
        <v>0</v>
      </c>
    </row>
    <row r="922" spans="1:5" ht="14.1" customHeight="1">
      <c r="A922" s="3"/>
      <c r="C922">
        <v>1047</v>
      </c>
      <c r="D922" t="s">
        <v>1418</v>
      </c>
      <c r="E922">
        <v>1061</v>
      </c>
    </row>
    <row r="923" spans="1:5" ht="14.1" customHeight="1">
      <c r="A923" s="3"/>
      <c r="C923">
        <v>3132</v>
      </c>
      <c r="D923" t="s">
        <v>1419</v>
      </c>
      <c r="E923">
        <v>0</v>
      </c>
    </row>
    <row r="924" spans="1:5" ht="14.1" customHeight="1">
      <c r="A924" s="3"/>
      <c r="C924">
        <v>5069</v>
      </c>
      <c r="D924" t="s">
        <v>4235</v>
      </c>
      <c r="E924">
        <v>573</v>
      </c>
    </row>
    <row r="925" spans="1:5" ht="14.1" customHeight="1">
      <c r="A925" s="3"/>
      <c r="C925">
        <v>611</v>
      </c>
      <c r="D925" t="s">
        <v>4236</v>
      </c>
      <c r="E925">
        <v>548</v>
      </c>
    </row>
    <row r="926" spans="1:5" ht="14.1" customHeight="1">
      <c r="A926" s="3"/>
      <c r="C926">
        <v>2176</v>
      </c>
      <c r="D926" t="s">
        <v>1420</v>
      </c>
      <c r="E926">
        <v>759</v>
      </c>
    </row>
    <row r="927" spans="1:5" ht="14.1" customHeight="1">
      <c r="A927" s="3"/>
      <c r="C927">
        <v>1351</v>
      </c>
      <c r="D927" t="s">
        <v>1421</v>
      </c>
      <c r="E927">
        <v>700</v>
      </c>
    </row>
    <row r="928" spans="1:5" ht="14.1" customHeight="1">
      <c r="A928" s="3"/>
      <c r="C928">
        <v>2742</v>
      </c>
      <c r="D928" t="s">
        <v>1422</v>
      </c>
      <c r="E928">
        <v>696</v>
      </c>
    </row>
    <row r="929" spans="1:5" ht="14.1" customHeight="1">
      <c r="A929" s="3"/>
      <c r="C929">
        <v>511</v>
      </c>
      <c r="D929" t="s">
        <v>1423</v>
      </c>
      <c r="E929">
        <v>396</v>
      </c>
    </row>
    <row r="930" spans="1:5" ht="14.1" customHeight="1">
      <c r="A930" s="3"/>
      <c r="C930">
        <v>4732</v>
      </c>
      <c r="D930" t="s">
        <v>3866</v>
      </c>
      <c r="E930">
        <v>0</v>
      </c>
    </row>
    <row r="931" spans="1:5" ht="14.1" customHeight="1">
      <c r="A931" s="3"/>
      <c r="C931">
        <v>2298</v>
      </c>
      <c r="D931" t="s">
        <v>1424</v>
      </c>
      <c r="E931">
        <v>655</v>
      </c>
    </row>
    <row r="932" spans="1:5" ht="14.1" customHeight="1">
      <c r="A932" s="3"/>
      <c r="C932">
        <v>1757</v>
      </c>
      <c r="D932" t="s">
        <v>1425</v>
      </c>
      <c r="E932">
        <v>931</v>
      </c>
    </row>
    <row r="933" spans="1:5" ht="14.1" customHeight="1">
      <c r="A933" s="3"/>
      <c r="C933">
        <v>1468</v>
      </c>
      <c r="D933" t="s">
        <v>1426</v>
      </c>
      <c r="E933">
        <v>573</v>
      </c>
    </row>
    <row r="934" spans="1:5" ht="14.1" customHeight="1">
      <c r="A934" s="3"/>
      <c r="C934">
        <v>372</v>
      </c>
      <c r="D934" t="s">
        <v>271</v>
      </c>
      <c r="E934">
        <v>407</v>
      </c>
    </row>
    <row r="935" spans="1:5" ht="14.1" customHeight="1">
      <c r="A935" s="3"/>
      <c r="C935">
        <v>327</v>
      </c>
      <c r="D935" t="s">
        <v>1427</v>
      </c>
      <c r="E935">
        <v>308</v>
      </c>
    </row>
    <row r="936" spans="1:5" ht="14.1" customHeight="1">
      <c r="A936" s="3"/>
      <c r="C936">
        <v>4236</v>
      </c>
      <c r="D936" t="s">
        <v>1428</v>
      </c>
      <c r="E936">
        <v>488</v>
      </c>
    </row>
    <row r="937" spans="1:5" ht="14.1" customHeight="1">
      <c r="A937" s="3"/>
      <c r="C937">
        <v>4252</v>
      </c>
      <c r="D937" t="s">
        <v>1429</v>
      </c>
      <c r="E937">
        <v>488</v>
      </c>
    </row>
    <row r="938" spans="1:5" ht="14.1" customHeight="1">
      <c r="A938" s="3"/>
      <c r="C938">
        <v>2417</v>
      </c>
      <c r="D938" t="s">
        <v>1430</v>
      </c>
      <c r="E938">
        <v>435</v>
      </c>
    </row>
    <row r="939" spans="1:5" ht="14.1" customHeight="1">
      <c r="A939" s="3"/>
      <c r="C939">
        <v>2601</v>
      </c>
      <c r="D939" t="s">
        <v>1431</v>
      </c>
      <c r="E939">
        <v>811</v>
      </c>
    </row>
    <row r="940" spans="1:5" ht="14.1" customHeight="1">
      <c r="A940" s="3"/>
      <c r="C940">
        <v>1613</v>
      </c>
      <c r="D940" t="s">
        <v>1432</v>
      </c>
      <c r="E940">
        <v>331</v>
      </c>
    </row>
    <row r="941" spans="1:5" ht="14.1" customHeight="1">
      <c r="A941" s="3"/>
      <c r="C941">
        <v>2813</v>
      </c>
      <c r="D941" t="s">
        <v>1433</v>
      </c>
      <c r="E941">
        <v>412</v>
      </c>
    </row>
    <row r="942" spans="1:5" ht="14.1" customHeight="1">
      <c r="A942" s="3"/>
      <c r="C942">
        <v>2478</v>
      </c>
      <c r="D942" t="s">
        <v>1434</v>
      </c>
      <c r="E942">
        <v>702</v>
      </c>
    </row>
    <row r="943" spans="1:5" ht="14.1" customHeight="1">
      <c r="A943" s="3"/>
      <c r="C943">
        <v>2754</v>
      </c>
      <c r="D943" t="s">
        <v>1435</v>
      </c>
      <c r="E943">
        <v>863</v>
      </c>
    </row>
    <row r="944" spans="1:5" ht="14.1" customHeight="1">
      <c r="A944" s="3"/>
      <c r="C944">
        <v>2964</v>
      </c>
      <c r="D944" t="s">
        <v>1436</v>
      </c>
      <c r="E944">
        <v>484</v>
      </c>
    </row>
    <row r="945" spans="1:5" ht="14.1" customHeight="1">
      <c r="A945" s="3"/>
      <c r="C945">
        <v>2893</v>
      </c>
      <c r="D945" t="s">
        <v>1437</v>
      </c>
      <c r="E945">
        <v>520</v>
      </c>
    </row>
    <row r="946" spans="1:5" ht="14.1" customHeight="1">
      <c r="A946" s="3"/>
      <c r="C946">
        <v>2474</v>
      </c>
      <c r="D946" t="s">
        <v>1438</v>
      </c>
      <c r="E946">
        <v>712</v>
      </c>
    </row>
    <row r="947" spans="1:5" ht="14.1" customHeight="1">
      <c r="A947" s="3"/>
      <c r="C947">
        <v>3106</v>
      </c>
      <c r="D947" t="s">
        <v>1439</v>
      </c>
      <c r="E947">
        <v>0</v>
      </c>
    </row>
    <row r="948" spans="1:5" ht="14.1" customHeight="1">
      <c r="A948" s="3"/>
      <c r="C948">
        <v>810</v>
      </c>
      <c r="D948" t="s">
        <v>410</v>
      </c>
      <c r="E948">
        <v>396</v>
      </c>
    </row>
    <row r="949" spans="1:5" ht="14.1" customHeight="1">
      <c r="A949" s="3"/>
      <c r="C949">
        <v>4208</v>
      </c>
      <c r="D949" t="s">
        <v>1440</v>
      </c>
      <c r="E949">
        <v>799</v>
      </c>
    </row>
    <row r="950" spans="1:5" ht="14.1" customHeight="1">
      <c r="A950" s="3"/>
      <c r="C950">
        <v>1450</v>
      </c>
      <c r="D950" t="s">
        <v>1441</v>
      </c>
      <c r="E950">
        <v>468</v>
      </c>
    </row>
    <row r="951" spans="1:5" ht="14.1" customHeight="1">
      <c r="A951" s="3"/>
      <c r="C951">
        <v>3219</v>
      </c>
      <c r="D951" t="s">
        <v>1442</v>
      </c>
      <c r="E951">
        <v>0</v>
      </c>
    </row>
    <row r="952" spans="1:5" ht="14.1" customHeight="1">
      <c r="A952" s="3"/>
      <c r="C952">
        <v>739</v>
      </c>
      <c r="D952" t="s">
        <v>411</v>
      </c>
      <c r="E952">
        <v>910</v>
      </c>
    </row>
    <row r="953" spans="1:5" ht="14.1" customHeight="1">
      <c r="A953" s="3"/>
      <c r="C953">
        <v>4536</v>
      </c>
      <c r="D953" t="s">
        <v>3615</v>
      </c>
      <c r="E953">
        <v>568</v>
      </c>
    </row>
    <row r="954" spans="1:5" ht="14.1" customHeight="1">
      <c r="A954" s="3"/>
      <c r="C954">
        <v>1400</v>
      </c>
      <c r="D954" t="s">
        <v>1443</v>
      </c>
      <c r="E954">
        <v>558</v>
      </c>
    </row>
    <row r="955" spans="1:5" ht="14.1" customHeight="1">
      <c r="A955" s="3"/>
      <c r="C955">
        <v>4570</v>
      </c>
      <c r="D955" t="s">
        <v>3616</v>
      </c>
      <c r="E955">
        <v>708</v>
      </c>
    </row>
    <row r="956" spans="1:5" ht="14.1" customHeight="1">
      <c r="A956" s="3"/>
      <c r="C956">
        <v>2227</v>
      </c>
      <c r="D956" t="s">
        <v>1444</v>
      </c>
      <c r="E956">
        <v>367</v>
      </c>
    </row>
    <row r="957" spans="1:5" ht="14.1" customHeight="1">
      <c r="A957" s="3"/>
      <c r="C957">
        <v>3007</v>
      </c>
      <c r="D957" t="s">
        <v>1445</v>
      </c>
      <c r="E957">
        <v>0</v>
      </c>
    </row>
    <row r="958" spans="1:5" ht="14.1" customHeight="1">
      <c r="A958" s="3"/>
      <c r="C958">
        <v>4936</v>
      </c>
      <c r="D958" t="s">
        <v>3867</v>
      </c>
      <c r="E958">
        <v>501</v>
      </c>
    </row>
    <row r="959" spans="1:5" ht="14.1" customHeight="1">
      <c r="A959" s="3"/>
      <c r="C959">
        <v>1968</v>
      </c>
      <c r="D959" t="s">
        <v>1446</v>
      </c>
      <c r="E959">
        <v>453</v>
      </c>
    </row>
    <row r="960" spans="1:5" ht="14.1" customHeight="1">
      <c r="A960" s="3"/>
      <c r="C960">
        <v>1481</v>
      </c>
      <c r="D960" t="s">
        <v>1447</v>
      </c>
      <c r="E960">
        <v>567</v>
      </c>
    </row>
    <row r="961" spans="1:5" ht="14.1" customHeight="1">
      <c r="A961" s="3"/>
      <c r="C961">
        <v>4671</v>
      </c>
      <c r="D961" t="s">
        <v>3868</v>
      </c>
      <c r="E961">
        <v>952</v>
      </c>
    </row>
    <row r="962" spans="1:5" ht="14.1" customHeight="1">
      <c r="A962" s="3"/>
      <c r="C962">
        <v>461</v>
      </c>
      <c r="D962" t="s">
        <v>412</v>
      </c>
      <c r="E962">
        <v>584</v>
      </c>
    </row>
    <row r="963" spans="1:5" ht="14.1" customHeight="1">
      <c r="A963" s="3"/>
      <c r="C963">
        <v>941</v>
      </c>
      <c r="D963" t="s">
        <v>1448</v>
      </c>
      <c r="E963">
        <v>889</v>
      </c>
    </row>
    <row r="964" spans="1:5" ht="14.1" customHeight="1">
      <c r="A964" s="3"/>
      <c r="C964">
        <v>4206</v>
      </c>
      <c r="D964" t="s">
        <v>1449</v>
      </c>
      <c r="E964">
        <v>498</v>
      </c>
    </row>
    <row r="965" spans="1:5" ht="14.1" customHeight="1">
      <c r="A965" s="3"/>
      <c r="C965">
        <v>2222</v>
      </c>
      <c r="D965" t="s">
        <v>1450</v>
      </c>
      <c r="E965">
        <v>515</v>
      </c>
    </row>
    <row r="966" spans="1:5" ht="14.1" customHeight="1">
      <c r="A966" s="3"/>
      <c r="C966">
        <v>325</v>
      </c>
      <c r="D966" t="s">
        <v>129</v>
      </c>
      <c r="E966">
        <v>357</v>
      </c>
    </row>
    <row r="967" spans="1:5" ht="14.1" customHeight="1">
      <c r="A967" s="3"/>
      <c r="C967">
        <v>1861</v>
      </c>
      <c r="D967" t="s">
        <v>1451</v>
      </c>
      <c r="E967">
        <v>569</v>
      </c>
    </row>
    <row r="968" spans="1:5" ht="14.1" customHeight="1">
      <c r="A968" s="3"/>
      <c r="C968">
        <v>97</v>
      </c>
      <c r="D968" t="s">
        <v>130</v>
      </c>
      <c r="E968">
        <v>380</v>
      </c>
    </row>
    <row r="969" spans="1:5" ht="14.1" customHeight="1">
      <c r="A969" s="3"/>
      <c r="C969">
        <v>1525</v>
      </c>
      <c r="D969" t="s">
        <v>1452</v>
      </c>
      <c r="E969">
        <v>758</v>
      </c>
    </row>
    <row r="970" spans="1:5" ht="14.1" customHeight="1">
      <c r="A970" s="3"/>
      <c r="C970">
        <v>1133</v>
      </c>
      <c r="D970" t="s">
        <v>1453</v>
      </c>
      <c r="E970">
        <v>675</v>
      </c>
    </row>
    <row r="971" spans="1:5" ht="14.1" customHeight="1">
      <c r="A971" s="3"/>
      <c r="C971">
        <v>1747</v>
      </c>
      <c r="D971" t="s">
        <v>1454</v>
      </c>
      <c r="E971">
        <v>1037</v>
      </c>
    </row>
    <row r="972" spans="1:5" ht="14.1" customHeight="1">
      <c r="A972" s="3"/>
      <c r="C972">
        <v>2815</v>
      </c>
      <c r="D972" t="s">
        <v>1455</v>
      </c>
      <c r="E972">
        <v>599</v>
      </c>
    </row>
    <row r="973" spans="1:5" ht="14.1" customHeight="1">
      <c r="A973" s="3"/>
      <c r="C973">
        <v>4200</v>
      </c>
      <c r="D973" t="s">
        <v>1456</v>
      </c>
      <c r="E973">
        <v>440</v>
      </c>
    </row>
    <row r="974" spans="1:5" ht="14.1" customHeight="1">
      <c r="A974" s="3"/>
      <c r="C974">
        <v>4809</v>
      </c>
      <c r="D974" t="s">
        <v>3869</v>
      </c>
      <c r="E974">
        <v>331</v>
      </c>
    </row>
    <row r="975" spans="1:5" ht="14.1" customHeight="1">
      <c r="A975" s="3"/>
      <c r="C975">
        <v>4537</v>
      </c>
      <c r="D975" t="s">
        <v>3617</v>
      </c>
      <c r="E975">
        <v>593</v>
      </c>
    </row>
    <row r="976" spans="1:5" ht="14.1" customHeight="1">
      <c r="A976" s="3"/>
      <c r="C976">
        <v>3303</v>
      </c>
      <c r="D976" t="s">
        <v>1457</v>
      </c>
      <c r="E976">
        <v>0</v>
      </c>
    </row>
    <row r="977" spans="1:5" ht="14.1" customHeight="1">
      <c r="A977" s="3"/>
      <c r="C977">
        <v>1523</v>
      </c>
      <c r="D977" t="s">
        <v>1458</v>
      </c>
      <c r="E977">
        <v>755</v>
      </c>
    </row>
    <row r="978" spans="1:5" ht="14.1" customHeight="1">
      <c r="A978" s="3"/>
      <c r="C978">
        <v>4282</v>
      </c>
      <c r="D978" t="s">
        <v>1459</v>
      </c>
      <c r="E978">
        <v>450</v>
      </c>
    </row>
    <row r="979" spans="1:5" ht="14.1" customHeight="1">
      <c r="A979" s="3"/>
      <c r="C979">
        <v>2816</v>
      </c>
      <c r="D979" t="s">
        <v>1460</v>
      </c>
      <c r="E979">
        <v>520</v>
      </c>
    </row>
    <row r="980" spans="1:5" ht="14.1" customHeight="1">
      <c r="A980" s="3"/>
      <c r="C980">
        <v>5062</v>
      </c>
      <c r="D980" t="s">
        <v>4237</v>
      </c>
      <c r="E980">
        <v>397</v>
      </c>
    </row>
    <row r="981" spans="1:5" ht="14.1" customHeight="1">
      <c r="A981" s="3"/>
      <c r="C981">
        <v>148</v>
      </c>
      <c r="D981" t="s">
        <v>1461</v>
      </c>
      <c r="E981">
        <v>883</v>
      </c>
    </row>
    <row r="982" spans="1:5" ht="14.1" customHeight="1">
      <c r="A982" s="3"/>
      <c r="C982">
        <v>1883</v>
      </c>
      <c r="D982" t="s">
        <v>1462</v>
      </c>
      <c r="E982">
        <v>521</v>
      </c>
    </row>
    <row r="983" spans="1:5" ht="14.1" customHeight="1">
      <c r="A983" s="3"/>
      <c r="C983">
        <v>1869</v>
      </c>
      <c r="D983" t="s">
        <v>1463</v>
      </c>
      <c r="E983">
        <v>463</v>
      </c>
    </row>
    <row r="984" spans="1:5" ht="14.1" customHeight="1">
      <c r="A984" s="3"/>
      <c r="C984">
        <v>4724</v>
      </c>
      <c r="D984" t="s">
        <v>3870</v>
      </c>
      <c r="E984">
        <v>358</v>
      </c>
    </row>
    <row r="985" spans="1:5" ht="14.1" customHeight="1">
      <c r="A985" s="3"/>
      <c r="C985">
        <v>116</v>
      </c>
      <c r="D985" t="s">
        <v>131</v>
      </c>
      <c r="E985">
        <v>1072</v>
      </c>
    </row>
    <row r="986" spans="1:5" ht="14.1" customHeight="1">
      <c r="A986" s="3"/>
      <c r="C986">
        <v>639</v>
      </c>
      <c r="D986" t="s">
        <v>1464</v>
      </c>
      <c r="E986">
        <v>642</v>
      </c>
    </row>
    <row r="987" spans="1:5" ht="14.1" customHeight="1">
      <c r="A987" s="3"/>
      <c r="C987">
        <v>153</v>
      </c>
      <c r="D987" t="s">
        <v>1465</v>
      </c>
      <c r="E987">
        <v>700</v>
      </c>
    </row>
    <row r="988" spans="1:5" ht="14.1" customHeight="1">
      <c r="A988" s="3"/>
      <c r="C988">
        <v>1065</v>
      </c>
      <c r="D988" t="s">
        <v>1466</v>
      </c>
      <c r="E988">
        <v>671</v>
      </c>
    </row>
    <row r="989" spans="1:5" ht="14.1" customHeight="1">
      <c r="A989" s="3"/>
      <c r="C989">
        <v>120</v>
      </c>
      <c r="D989" t="s">
        <v>132</v>
      </c>
      <c r="E989">
        <v>980</v>
      </c>
    </row>
    <row r="990" spans="1:5" ht="14.1" customHeight="1">
      <c r="A990" s="3"/>
      <c r="C990">
        <v>3325</v>
      </c>
      <c r="D990" t="s">
        <v>1467</v>
      </c>
      <c r="E990">
        <v>523</v>
      </c>
    </row>
    <row r="991" spans="1:5" ht="14.1" customHeight="1">
      <c r="A991" s="3"/>
      <c r="C991">
        <v>2042</v>
      </c>
      <c r="D991" t="s">
        <v>1468</v>
      </c>
      <c r="E991">
        <v>563</v>
      </c>
    </row>
    <row r="992" spans="1:5" ht="14.1" customHeight="1">
      <c r="A992" s="3"/>
      <c r="C992">
        <v>4801</v>
      </c>
      <c r="D992" t="s">
        <v>3871</v>
      </c>
      <c r="E992">
        <v>333</v>
      </c>
    </row>
    <row r="993" spans="1:5" ht="14.1" customHeight="1">
      <c r="A993" s="3"/>
      <c r="C993">
        <v>5196</v>
      </c>
      <c r="D993" t="s">
        <v>4238</v>
      </c>
      <c r="E993">
        <v>602</v>
      </c>
    </row>
    <row r="994" spans="1:5" ht="14.1" customHeight="1">
      <c r="A994" s="3"/>
      <c r="C994">
        <v>4285</v>
      </c>
      <c r="D994" t="s">
        <v>1469</v>
      </c>
      <c r="E994">
        <v>455</v>
      </c>
    </row>
    <row r="995" spans="1:5" ht="14.1" customHeight="1">
      <c r="A995" s="3"/>
      <c r="C995">
        <v>885</v>
      </c>
      <c r="D995" t="s">
        <v>413</v>
      </c>
      <c r="E995">
        <v>608</v>
      </c>
    </row>
    <row r="996" spans="1:5" ht="14.1" customHeight="1">
      <c r="A996" s="3"/>
      <c r="C996">
        <v>5068</v>
      </c>
      <c r="D996" t="s">
        <v>4239</v>
      </c>
      <c r="E996">
        <v>374</v>
      </c>
    </row>
    <row r="997" spans="1:5" ht="14.1" customHeight="1">
      <c r="A997" s="3"/>
      <c r="C997">
        <v>937</v>
      </c>
      <c r="D997" t="s">
        <v>1470</v>
      </c>
      <c r="E997">
        <v>448</v>
      </c>
    </row>
    <row r="998" spans="1:5" ht="14.1" customHeight="1">
      <c r="A998" s="3"/>
      <c r="C998">
        <v>2696</v>
      </c>
      <c r="D998" t="s">
        <v>1471</v>
      </c>
      <c r="E998">
        <v>550</v>
      </c>
    </row>
    <row r="999" spans="1:5" ht="14.1" customHeight="1">
      <c r="A999" s="3"/>
      <c r="C999">
        <v>310</v>
      </c>
      <c r="D999" t="s">
        <v>133</v>
      </c>
      <c r="E999">
        <v>642</v>
      </c>
    </row>
    <row r="1000" spans="1:5" ht="14.1" customHeight="1">
      <c r="A1000" s="3"/>
      <c r="C1000">
        <v>304</v>
      </c>
      <c r="D1000" t="s">
        <v>134</v>
      </c>
      <c r="E1000">
        <v>333</v>
      </c>
    </row>
    <row r="1001" spans="1:5" ht="14.1" customHeight="1">
      <c r="A1001" s="3"/>
      <c r="C1001">
        <v>1178</v>
      </c>
      <c r="D1001" t="s">
        <v>1472</v>
      </c>
      <c r="E1001">
        <v>619</v>
      </c>
    </row>
    <row r="1002" spans="1:5" ht="14.1" customHeight="1">
      <c r="A1002" s="3"/>
      <c r="C1002">
        <v>1179</v>
      </c>
      <c r="D1002" t="s">
        <v>1473</v>
      </c>
      <c r="E1002">
        <v>826</v>
      </c>
    </row>
    <row r="1003" spans="1:5" ht="14.1" customHeight="1">
      <c r="A1003" s="3"/>
      <c r="C1003">
        <v>1195</v>
      </c>
      <c r="D1003" t="s">
        <v>1474</v>
      </c>
      <c r="E1003">
        <v>679</v>
      </c>
    </row>
    <row r="1004" spans="1:5" ht="14.1" customHeight="1">
      <c r="A1004" s="3"/>
      <c r="C1004">
        <v>727</v>
      </c>
      <c r="D1004" t="s">
        <v>414</v>
      </c>
      <c r="E1004">
        <v>1031</v>
      </c>
    </row>
    <row r="1005" spans="1:5" ht="14.1" customHeight="1">
      <c r="A1005" s="3"/>
      <c r="C1005">
        <v>1194</v>
      </c>
      <c r="D1005" t="s">
        <v>1475</v>
      </c>
      <c r="E1005">
        <v>970</v>
      </c>
    </row>
    <row r="1006" spans="1:5" ht="14.1" customHeight="1">
      <c r="A1006" s="3"/>
      <c r="C1006">
        <v>583</v>
      </c>
      <c r="D1006" t="s">
        <v>1476</v>
      </c>
      <c r="E1006">
        <v>371</v>
      </c>
    </row>
    <row r="1007" spans="1:5" ht="14.1" customHeight="1">
      <c r="A1007" s="3"/>
      <c r="C1007">
        <v>562</v>
      </c>
      <c r="D1007" t="s">
        <v>1477</v>
      </c>
      <c r="E1007">
        <v>567</v>
      </c>
    </row>
    <row r="1008" spans="1:5" ht="14.1" customHeight="1">
      <c r="A1008" s="3"/>
      <c r="C1008">
        <v>2550</v>
      </c>
      <c r="D1008" t="s">
        <v>1478</v>
      </c>
      <c r="E1008">
        <v>340</v>
      </c>
    </row>
    <row r="1009" spans="1:5" ht="14.1" customHeight="1">
      <c r="A1009" s="3"/>
      <c r="C1009">
        <v>2084</v>
      </c>
      <c r="D1009" t="s">
        <v>1479</v>
      </c>
      <c r="E1009">
        <v>539</v>
      </c>
    </row>
    <row r="1010" spans="1:5" ht="14.1" customHeight="1">
      <c r="A1010" s="3"/>
      <c r="C1010">
        <v>2047</v>
      </c>
      <c r="D1010" t="s">
        <v>1480</v>
      </c>
      <c r="E1010">
        <v>582</v>
      </c>
    </row>
    <row r="1011" spans="1:5" ht="14.1" customHeight="1">
      <c r="A1011" s="3"/>
      <c r="C1011">
        <v>1915</v>
      </c>
      <c r="D1011" t="s">
        <v>1481</v>
      </c>
      <c r="E1011">
        <v>596</v>
      </c>
    </row>
    <row r="1012" spans="1:5" ht="14.1" customHeight="1">
      <c r="A1012" s="3"/>
      <c r="C1012">
        <v>3264</v>
      </c>
      <c r="D1012" t="s">
        <v>1482</v>
      </c>
      <c r="E1012">
        <v>0</v>
      </c>
    </row>
    <row r="1013" spans="1:5" ht="14.1" customHeight="1">
      <c r="A1013" s="3"/>
      <c r="C1013">
        <v>2772</v>
      </c>
      <c r="D1013" t="s">
        <v>1483</v>
      </c>
      <c r="E1013">
        <v>530</v>
      </c>
    </row>
    <row r="1014" spans="1:5" ht="14.1" customHeight="1">
      <c r="A1014" s="3"/>
      <c r="C1014">
        <v>2921</v>
      </c>
      <c r="D1014" t="s">
        <v>1484</v>
      </c>
      <c r="E1014">
        <v>715</v>
      </c>
    </row>
    <row r="1015" spans="1:5" ht="14.1" customHeight="1">
      <c r="A1015" s="3"/>
      <c r="C1015">
        <v>465</v>
      </c>
      <c r="D1015" t="s">
        <v>1485</v>
      </c>
      <c r="E1015">
        <v>788</v>
      </c>
    </row>
    <row r="1016" spans="1:5" ht="14.1" customHeight="1">
      <c r="A1016" s="3"/>
      <c r="C1016">
        <v>1365</v>
      </c>
      <c r="D1016" t="s">
        <v>1486</v>
      </c>
      <c r="E1016">
        <v>600</v>
      </c>
    </row>
    <row r="1017" spans="1:5" ht="14.1" customHeight="1">
      <c r="A1017" s="3"/>
      <c r="C1017">
        <v>4392</v>
      </c>
      <c r="D1017" t="s">
        <v>3618</v>
      </c>
      <c r="E1017">
        <v>570</v>
      </c>
    </row>
    <row r="1018" spans="1:5" ht="14.1" customHeight="1">
      <c r="A1018" s="3"/>
      <c r="C1018">
        <v>4393</v>
      </c>
      <c r="D1018" t="s">
        <v>3619</v>
      </c>
      <c r="E1018">
        <v>570</v>
      </c>
    </row>
    <row r="1019" spans="1:5" ht="14.1" customHeight="1">
      <c r="A1019" s="3"/>
      <c r="C1019">
        <v>402</v>
      </c>
      <c r="D1019" t="s">
        <v>415</v>
      </c>
      <c r="E1019">
        <v>654</v>
      </c>
    </row>
    <row r="1020" spans="1:5" ht="14.1" customHeight="1">
      <c r="A1020" s="3"/>
      <c r="C1020">
        <v>2414</v>
      </c>
      <c r="D1020" t="s">
        <v>1487</v>
      </c>
      <c r="E1020">
        <v>381</v>
      </c>
    </row>
    <row r="1021" spans="1:5" ht="14.1" customHeight="1">
      <c r="A1021" s="3"/>
      <c r="C1021">
        <v>4124</v>
      </c>
      <c r="D1021" t="s">
        <v>1488</v>
      </c>
      <c r="E1021">
        <v>566</v>
      </c>
    </row>
    <row r="1022" spans="1:5" ht="14.1" customHeight="1">
      <c r="A1022" s="3"/>
      <c r="C1022">
        <v>339</v>
      </c>
      <c r="D1022" t="s">
        <v>135</v>
      </c>
      <c r="E1022">
        <v>419</v>
      </c>
    </row>
    <row r="1023" spans="1:5" ht="14.1" customHeight="1">
      <c r="A1023" s="3"/>
      <c r="C1023">
        <v>2114</v>
      </c>
      <c r="D1023" t="s">
        <v>1489</v>
      </c>
      <c r="E1023">
        <v>914</v>
      </c>
    </row>
    <row r="1024" spans="1:5" ht="14.1" customHeight="1">
      <c r="A1024" s="3"/>
      <c r="C1024">
        <v>1520</v>
      </c>
      <c r="D1024" t="s">
        <v>1490</v>
      </c>
      <c r="E1024">
        <v>932</v>
      </c>
    </row>
    <row r="1025" spans="1:5" ht="14.1" customHeight="1">
      <c r="A1025" s="3"/>
      <c r="C1025">
        <v>436</v>
      </c>
      <c r="D1025" t="s">
        <v>416</v>
      </c>
      <c r="E1025">
        <v>580</v>
      </c>
    </row>
    <row r="1026" spans="1:5" ht="14.1" customHeight="1">
      <c r="A1026" s="3"/>
      <c r="C1026">
        <v>4493</v>
      </c>
      <c r="D1026" t="s">
        <v>3620</v>
      </c>
      <c r="E1026">
        <v>742</v>
      </c>
    </row>
    <row r="1027" spans="1:5" ht="14.1" customHeight="1">
      <c r="A1027" s="3"/>
      <c r="C1027">
        <v>4128</v>
      </c>
      <c r="D1027" t="s">
        <v>1491</v>
      </c>
      <c r="E1027">
        <v>557</v>
      </c>
    </row>
    <row r="1028" spans="1:5" ht="14.1" customHeight="1">
      <c r="A1028" s="3"/>
      <c r="C1028">
        <v>654</v>
      </c>
      <c r="D1028" t="s">
        <v>417</v>
      </c>
      <c r="E1028">
        <v>531</v>
      </c>
    </row>
    <row r="1029" spans="1:5" ht="14.1" customHeight="1">
      <c r="A1029" s="3"/>
      <c r="C1029">
        <v>191</v>
      </c>
      <c r="D1029" t="s">
        <v>418</v>
      </c>
      <c r="E1029">
        <v>522</v>
      </c>
    </row>
    <row r="1030" spans="1:5" ht="14.1" customHeight="1">
      <c r="A1030" s="3"/>
      <c r="C1030">
        <v>4502</v>
      </c>
      <c r="D1030" t="s">
        <v>3621</v>
      </c>
      <c r="E1030">
        <v>788</v>
      </c>
    </row>
    <row r="1031" spans="1:5" ht="14.1" customHeight="1">
      <c r="A1031" s="3"/>
      <c r="C1031">
        <v>2149</v>
      </c>
      <c r="D1031" t="s">
        <v>1492</v>
      </c>
      <c r="E1031">
        <v>771</v>
      </c>
    </row>
    <row r="1032" spans="1:5" ht="14.1" customHeight="1">
      <c r="A1032" s="3"/>
      <c r="C1032">
        <v>4339</v>
      </c>
      <c r="D1032" t="s">
        <v>1493</v>
      </c>
      <c r="E1032">
        <v>668</v>
      </c>
    </row>
    <row r="1033" spans="1:5" ht="14.1" customHeight="1">
      <c r="A1033" s="3"/>
      <c r="C1033">
        <v>2156</v>
      </c>
      <c r="D1033" t="s">
        <v>1494</v>
      </c>
      <c r="E1033">
        <v>449</v>
      </c>
    </row>
    <row r="1034" spans="1:5" ht="14.1" customHeight="1">
      <c r="A1034" s="3"/>
      <c r="C1034">
        <v>4656</v>
      </c>
      <c r="D1034" t="s">
        <v>3872</v>
      </c>
      <c r="E1034">
        <v>1012</v>
      </c>
    </row>
    <row r="1035" spans="1:5" ht="14.1" customHeight="1">
      <c r="A1035" s="3"/>
      <c r="C1035">
        <v>1344</v>
      </c>
      <c r="D1035" t="s">
        <v>1495</v>
      </c>
      <c r="E1035">
        <v>537</v>
      </c>
    </row>
    <row r="1036" spans="1:5" ht="14.1" customHeight="1">
      <c r="A1036" s="3"/>
      <c r="C1036">
        <v>942</v>
      </c>
      <c r="D1036" t="s">
        <v>1496</v>
      </c>
      <c r="E1036">
        <v>666</v>
      </c>
    </row>
    <row r="1037" spans="1:5" ht="14.1" customHeight="1">
      <c r="A1037" s="3"/>
      <c r="C1037">
        <v>1625</v>
      </c>
      <c r="D1037" t="s">
        <v>1497</v>
      </c>
      <c r="E1037">
        <v>518</v>
      </c>
    </row>
    <row r="1038" spans="1:5" ht="14.1" customHeight="1">
      <c r="A1038" s="3"/>
      <c r="C1038">
        <v>1929</v>
      </c>
      <c r="D1038" t="s">
        <v>1498</v>
      </c>
      <c r="E1038">
        <v>590</v>
      </c>
    </row>
    <row r="1039" spans="1:5" ht="14.1" customHeight="1">
      <c r="A1039" s="3"/>
      <c r="C1039">
        <v>2931</v>
      </c>
      <c r="D1039" t="s">
        <v>1499</v>
      </c>
      <c r="E1039">
        <v>556</v>
      </c>
    </row>
    <row r="1040" spans="1:5" ht="14.1" customHeight="1">
      <c r="A1040" s="3"/>
      <c r="C1040">
        <v>40</v>
      </c>
      <c r="D1040" t="s">
        <v>419</v>
      </c>
      <c r="E1040">
        <v>318</v>
      </c>
    </row>
    <row r="1041" spans="1:5" ht="14.1" customHeight="1">
      <c r="A1041" s="3"/>
      <c r="C1041">
        <v>1386</v>
      </c>
      <c r="D1041" t="s">
        <v>1500</v>
      </c>
      <c r="E1041">
        <v>670</v>
      </c>
    </row>
    <row r="1042" spans="1:5" ht="14.1" customHeight="1">
      <c r="A1042" s="3"/>
      <c r="C1042">
        <v>1415</v>
      </c>
      <c r="D1042" t="s">
        <v>1501</v>
      </c>
      <c r="E1042">
        <v>0</v>
      </c>
    </row>
    <row r="1043" spans="1:5" ht="14.1" customHeight="1">
      <c r="A1043" s="3"/>
      <c r="C1043">
        <v>2206</v>
      </c>
      <c r="D1043" t="s">
        <v>1502</v>
      </c>
      <c r="E1043">
        <v>303</v>
      </c>
    </row>
    <row r="1044" spans="1:5" ht="14.1" customHeight="1">
      <c r="A1044" s="3"/>
      <c r="C1044">
        <v>1292</v>
      </c>
      <c r="D1044" t="s">
        <v>1503</v>
      </c>
      <c r="E1044">
        <v>397</v>
      </c>
    </row>
    <row r="1045" spans="1:5" ht="14.1" customHeight="1">
      <c r="A1045" s="3"/>
      <c r="C1045">
        <v>2856</v>
      </c>
      <c r="D1045" t="s">
        <v>1504</v>
      </c>
      <c r="E1045">
        <v>386</v>
      </c>
    </row>
    <row r="1046" spans="1:5" ht="14.1" customHeight="1">
      <c r="A1046" s="3"/>
      <c r="C1046">
        <v>3039</v>
      </c>
      <c r="D1046" t="s">
        <v>1505</v>
      </c>
      <c r="E1046">
        <v>0</v>
      </c>
    </row>
    <row r="1047" spans="1:5" ht="14.1" customHeight="1">
      <c r="A1047" s="3"/>
      <c r="C1047">
        <v>2494</v>
      </c>
      <c r="D1047" t="s">
        <v>1506</v>
      </c>
      <c r="E1047">
        <v>710</v>
      </c>
    </row>
    <row r="1048" spans="1:5" ht="14.1" customHeight="1">
      <c r="A1048" s="3"/>
      <c r="C1048">
        <v>1290</v>
      </c>
      <c r="D1048" t="s">
        <v>1507</v>
      </c>
      <c r="E1048">
        <v>367</v>
      </c>
    </row>
    <row r="1049" spans="1:5" ht="14.1" customHeight="1">
      <c r="A1049" s="3"/>
      <c r="C1049">
        <v>1301</v>
      </c>
      <c r="D1049" t="s">
        <v>1508</v>
      </c>
      <c r="E1049">
        <v>546</v>
      </c>
    </row>
    <row r="1050" spans="1:5" ht="14.1" customHeight="1">
      <c r="A1050" s="3"/>
      <c r="C1050">
        <v>1250</v>
      </c>
      <c r="D1050" t="s">
        <v>1509</v>
      </c>
      <c r="E1050">
        <v>625</v>
      </c>
    </row>
    <row r="1051" spans="1:5" ht="14.1" customHeight="1">
      <c r="A1051" s="3"/>
      <c r="C1051">
        <v>1376</v>
      </c>
      <c r="D1051" t="s">
        <v>1510</v>
      </c>
      <c r="E1051">
        <v>699</v>
      </c>
    </row>
    <row r="1052" spans="1:5" ht="14.1" customHeight="1">
      <c r="A1052" s="3"/>
      <c r="C1052">
        <v>107</v>
      </c>
      <c r="D1052" t="s">
        <v>136</v>
      </c>
      <c r="E1052">
        <v>945</v>
      </c>
    </row>
    <row r="1053" spans="1:5" ht="14.1" customHeight="1">
      <c r="A1053" s="3"/>
      <c r="C1053">
        <v>2918</v>
      </c>
      <c r="D1053" t="s">
        <v>1511</v>
      </c>
      <c r="E1053">
        <v>756</v>
      </c>
    </row>
    <row r="1054" spans="1:5" ht="14.1" customHeight="1">
      <c r="A1054" s="3"/>
      <c r="C1054">
        <v>1672</v>
      </c>
      <c r="D1054" t="s">
        <v>1512</v>
      </c>
      <c r="E1054">
        <v>718</v>
      </c>
    </row>
    <row r="1055" spans="1:5" ht="14.1" customHeight="1">
      <c r="A1055" s="3"/>
      <c r="C1055">
        <v>671</v>
      </c>
      <c r="D1055" t="s">
        <v>420</v>
      </c>
      <c r="E1055">
        <v>566</v>
      </c>
    </row>
    <row r="1056" spans="1:5" ht="14.1" customHeight="1">
      <c r="A1056" s="3"/>
      <c r="C1056">
        <v>1805</v>
      </c>
      <c r="D1056" t="s">
        <v>1513</v>
      </c>
      <c r="E1056">
        <v>693</v>
      </c>
    </row>
    <row r="1057" spans="1:5" ht="14.1" customHeight="1">
      <c r="A1057" s="3"/>
      <c r="C1057">
        <v>4918</v>
      </c>
      <c r="D1057" t="s">
        <v>3873</v>
      </c>
      <c r="E1057">
        <v>500</v>
      </c>
    </row>
    <row r="1058" spans="1:5" ht="14.1" customHeight="1">
      <c r="A1058" s="3"/>
      <c r="C1058">
        <v>178</v>
      </c>
      <c r="D1058" t="s">
        <v>137</v>
      </c>
      <c r="E1058">
        <v>675</v>
      </c>
    </row>
    <row r="1059" spans="1:5" ht="14.1" customHeight="1">
      <c r="A1059" s="3"/>
      <c r="C1059">
        <v>1048</v>
      </c>
      <c r="D1059" t="s">
        <v>1514</v>
      </c>
      <c r="E1059">
        <v>732</v>
      </c>
    </row>
    <row r="1060" spans="1:5" ht="14.1" customHeight="1">
      <c r="A1060" s="3"/>
      <c r="C1060">
        <v>4251</v>
      </c>
      <c r="D1060" t="s">
        <v>1515</v>
      </c>
      <c r="E1060">
        <v>503</v>
      </c>
    </row>
    <row r="1061" spans="1:5" ht="14.1" customHeight="1">
      <c r="A1061" s="3"/>
      <c r="C1061">
        <v>425</v>
      </c>
      <c r="D1061" t="s">
        <v>138</v>
      </c>
      <c r="E1061">
        <v>430</v>
      </c>
    </row>
    <row r="1062" spans="1:5" ht="14.1" customHeight="1">
      <c r="A1062" s="3"/>
      <c r="C1062">
        <v>3054</v>
      </c>
      <c r="D1062" t="s">
        <v>1516</v>
      </c>
      <c r="E1062">
        <v>0</v>
      </c>
    </row>
    <row r="1063" spans="1:5" ht="14.1" customHeight="1">
      <c r="A1063" s="3"/>
      <c r="C1063">
        <v>1374</v>
      </c>
      <c r="D1063" t="s">
        <v>1517</v>
      </c>
      <c r="E1063">
        <v>668</v>
      </c>
    </row>
    <row r="1064" spans="1:5" ht="14.1" customHeight="1">
      <c r="A1064" s="3"/>
      <c r="C1064">
        <v>331</v>
      </c>
      <c r="D1064" t="s">
        <v>1518</v>
      </c>
      <c r="E1064">
        <v>566</v>
      </c>
    </row>
    <row r="1065" spans="1:5" ht="14.1" customHeight="1">
      <c r="A1065" s="3"/>
      <c r="C1065">
        <v>297</v>
      </c>
      <c r="D1065" t="s">
        <v>1519</v>
      </c>
      <c r="E1065">
        <v>630</v>
      </c>
    </row>
    <row r="1066" spans="1:5" ht="14.1" customHeight="1">
      <c r="A1066" s="3"/>
      <c r="C1066">
        <v>1054</v>
      </c>
      <c r="D1066" t="s">
        <v>1520</v>
      </c>
      <c r="E1066">
        <v>735</v>
      </c>
    </row>
    <row r="1067" spans="1:5" ht="14.1" customHeight="1">
      <c r="A1067" s="3"/>
      <c r="C1067">
        <v>2490</v>
      </c>
      <c r="D1067" t="s">
        <v>1521</v>
      </c>
      <c r="E1067">
        <v>680</v>
      </c>
    </row>
    <row r="1068" spans="1:5" ht="14.1" customHeight="1">
      <c r="A1068" s="3"/>
      <c r="C1068">
        <v>584</v>
      </c>
      <c r="D1068" t="s">
        <v>1522</v>
      </c>
      <c r="E1068">
        <v>414</v>
      </c>
    </row>
    <row r="1069" spans="1:5" ht="14.1" customHeight="1">
      <c r="A1069" s="3"/>
      <c r="C1069">
        <v>2013</v>
      </c>
      <c r="D1069" t="s">
        <v>1523</v>
      </c>
      <c r="E1069">
        <v>521</v>
      </c>
    </row>
    <row r="1070" spans="1:5" ht="14.1" customHeight="1">
      <c r="A1070" s="3"/>
      <c r="C1070">
        <v>4647</v>
      </c>
      <c r="D1070" t="s">
        <v>3874</v>
      </c>
      <c r="E1070">
        <v>574</v>
      </c>
    </row>
    <row r="1071" spans="1:5" ht="14.1" customHeight="1">
      <c r="A1071" s="3"/>
      <c r="C1071">
        <v>4391</v>
      </c>
      <c r="D1071" t="s">
        <v>3622</v>
      </c>
      <c r="E1071">
        <v>534</v>
      </c>
    </row>
    <row r="1072" spans="1:5" ht="14.1" customHeight="1">
      <c r="A1072" s="3"/>
      <c r="C1072">
        <v>3309</v>
      </c>
      <c r="D1072" t="s">
        <v>1524</v>
      </c>
      <c r="E1072">
        <v>407</v>
      </c>
    </row>
    <row r="1073" spans="1:5" ht="14.1" customHeight="1">
      <c r="A1073" s="3"/>
      <c r="C1073">
        <v>561</v>
      </c>
      <c r="D1073" t="s">
        <v>421</v>
      </c>
      <c r="E1073">
        <v>746</v>
      </c>
    </row>
    <row r="1074" spans="1:5" ht="14.1" customHeight="1">
      <c r="A1074" s="3"/>
      <c r="C1074">
        <v>846</v>
      </c>
      <c r="D1074" t="s">
        <v>422</v>
      </c>
      <c r="E1074">
        <v>638</v>
      </c>
    </row>
    <row r="1075" spans="1:5" ht="14.1" customHeight="1">
      <c r="A1075" s="3"/>
      <c r="C1075">
        <v>1061</v>
      </c>
      <c r="D1075" t="s">
        <v>1525</v>
      </c>
      <c r="E1075">
        <v>670</v>
      </c>
    </row>
    <row r="1076" spans="1:5" ht="14.1" customHeight="1">
      <c r="A1076" s="3"/>
      <c r="C1076">
        <v>1087</v>
      </c>
      <c r="D1076" t="s">
        <v>1526</v>
      </c>
      <c r="E1076">
        <v>578</v>
      </c>
    </row>
    <row r="1077" spans="1:5" ht="14.1" customHeight="1">
      <c r="A1077" s="3"/>
      <c r="C1077">
        <v>2327</v>
      </c>
      <c r="D1077" t="s">
        <v>1527</v>
      </c>
      <c r="E1077">
        <v>640</v>
      </c>
    </row>
    <row r="1078" spans="1:5" ht="14.1" customHeight="1">
      <c r="A1078" s="3"/>
      <c r="C1078">
        <v>1223</v>
      </c>
      <c r="D1078" t="s">
        <v>1528</v>
      </c>
      <c r="E1078">
        <v>716</v>
      </c>
    </row>
    <row r="1079" spans="1:5" ht="14.1" customHeight="1">
      <c r="A1079" s="3"/>
      <c r="C1079">
        <v>31</v>
      </c>
      <c r="D1079" t="s">
        <v>423</v>
      </c>
      <c r="E1079">
        <v>799</v>
      </c>
    </row>
    <row r="1080" spans="1:5" ht="14.1" customHeight="1">
      <c r="A1080" s="3"/>
      <c r="C1080">
        <v>2841</v>
      </c>
      <c r="D1080" t="s">
        <v>1529</v>
      </c>
      <c r="E1080">
        <v>507</v>
      </c>
    </row>
    <row r="1081" spans="1:5" ht="14.1" customHeight="1">
      <c r="A1081" s="3"/>
      <c r="C1081">
        <v>396</v>
      </c>
      <c r="D1081" t="s">
        <v>139</v>
      </c>
      <c r="E1081">
        <v>489</v>
      </c>
    </row>
    <row r="1082" spans="1:5" ht="14.1" customHeight="1">
      <c r="A1082" s="3"/>
      <c r="C1082">
        <v>71</v>
      </c>
      <c r="D1082" t="s">
        <v>424</v>
      </c>
      <c r="E1082">
        <v>768</v>
      </c>
    </row>
    <row r="1083" spans="1:5" ht="14.1" customHeight="1">
      <c r="A1083" s="3"/>
      <c r="C1083">
        <v>2205</v>
      </c>
      <c r="D1083" t="s">
        <v>1530</v>
      </c>
      <c r="E1083">
        <v>495</v>
      </c>
    </row>
    <row r="1084" spans="1:5" ht="14.1" customHeight="1">
      <c r="A1084" s="3"/>
      <c r="C1084">
        <v>2450</v>
      </c>
      <c r="D1084" t="s">
        <v>1531</v>
      </c>
      <c r="E1084">
        <v>675</v>
      </c>
    </row>
    <row r="1085" spans="1:5" ht="14.1" customHeight="1">
      <c r="A1085" s="3"/>
      <c r="C1085">
        <v>4738</v>
      </c>
      <c r="D1085" t="s">
        <v>3875</v>
      </c>
      <c r="E1085">
        <v>0</v>
      </c>
    </row>
    <row r="1086" spans="1:5" ht="14.1" customHeight="1">
      <c r="A1086" s="3"/>
      <c r="C1086">
        <v>499</v>
      </c>
      <c r="D1086" t="s">
        <v>425</v>
      </c>
      <c r="E1086">
        <v>404</v>
      </c>
    </row>
    <row r="1087" spans="1:5" ht="14.1" customHeight="1">
      <c r="A1087" s="3"/>
      <c r="C1087">
        <v>3041</v>
      </c>
      <c r="D1087" t="s">
        <v>1532</v>
      </c>
      <c r="E1087">
        <v>0</v>
      </c>
    </row>
    <row r="1088" spans="1:5" ht="14.1" customHeight="1">
      <c r="A1088" s="3"/>
      <c r="C1088">
        <v>4239</v>
      </c>
      <c r="D1088" t="s">
        <v>1533</v>
      </c>
      <c r="E1088">
        <v>393</v>
      </c>
    </row>
    <row r="1089" spans="1:5" ht="14.1" customHeight="1">
      <c r="A1089" s="3"/>
      <c r="C1089">
        <v>3114</v>
      </c>
      <c r="D1089" t="s">
        <v>1534</v>
      </c>
      <c r="E1089">
        <v>0</v>
      </c>
    </row>
    <row r="1090" spans="1:5" ht="14.1" customHeight="1">
      <c r="A1090" s="3"/>
      <c r="C1090">
        <v>1053</v>
      </c>
      <c r="D1090" t="s">
        <v>1535</v>
      </c>
      <c r="E1090">
        <v>697</v>
      </c>
    </row>
    <row r="1091" spans="1:5" ht="14.1" customHeight="1">
      <c r="A1091" s="3"/>
      <c r="C1091">
        <v>4112</v>
      </c>
      <c r="D1091" t="s">
        <v>1536</v>
      </c>
      <c r="E1091">
        <v>624</v>
      </c>
    </row>
    <row r="1092" spans="1:5" ht="14.1" customHeight="1">
      <c r="A1092" s="3"/>
      <c r="C1092">
        <v>2947</v>
      </c>
      <c r="D1092" t="s">
        <v>1537</v>
      </c>
      <c r="E1092">
        <v>496</v>
      </c>
    </row>
    <row r="1093" spans="1:5" ht="14.1" customHeight="1">
      <c r="A1093" s="3"/>
      <c r="C1093">
        <v>1507</v>
      </c>
      <c r="D1093" t="s">
        <v>1538</v>
      </c>
      <c r="E1093">
        <v>774</v>
      </c>
    </row>
    <row r="1094" spans="1:5" ht="14.1" customHeight="1">
      <c r="A1094" s="3"/>
      <c r="C1094">
        <v>1007</v>
      </c>
      <c r="D1094" t="s">
        <v>1539</v>
      </c>
      <c r="E1094">
        <v>375</v>
      </c>
    </row>
    <row r="1095" spans="1:5" ht="14.1" customHeight="1">
      <c r="A1095" s="3"/>
      <c r="C1095">
        <v>4161</v>
      </c>
      <c r="D1095" t="s">
        <v>1540</v>
      </c>
      <c r="E1095">
        <v>509</v>
      </c>
    </row>
    <row r="1096" spans="1:5" ht="14.1" customHeight="1">
      <c r="A1096" s="3"/>
      <c r="C1096">
        <v>1638</v>
      </c>
      <c r="D1096" t="s">
        <v>1541</v>
      </c>
      <c r="E1096">
        <v>619</v>
      </c>
    </row>
    <row r="1097" spans="1:5" ht="14.1" customHeight="1">
      <c r="A1097" s="3"/>
      <c r="C1097">
        <v>1106</v>
      </c>
      <c r="D1097" t="s">
        <v>1542</v>
      </c>
      <c r="E1097">
        <v>711</v>
      </c>
    </row>
    <row r="1098" spans="1:5" ht="14.1" customHeight="1">
      <c r="A1098" s="3"/>
      <c r="C1098">
        <v>645</v>
      </c>
      <c r="D1098" t="s">
        <v>1543</v>
      </c>
      <c r="E1098">
        <v>557</v>
      </c>
    </row>
    <row r="1099" spans="1:5" ht="14.1" customHeight="1">
      <c r="A1099" s="3"/>
      <c r="C1099">
        <v>3154</v>
      </c>
      <c r="D1099" t="s">
        <v>1544</v>
      </c>
      <c r="E1099">
        <v>0</v>
      </c>
    </row>
    <row r="1100" spans="1:5" ht="14.1" customHeight="1">
      <c r="A1100" s="3"/>
      <c r="C1100">
        <v>1990</v>
      </c>
      <c r="D1100" t="s">
        <v>1545</v>
      </c>
      <c r="E1100">
        <v>420</v>
      </c>
    </row>
    <row r="1101" spans="1:5" ht="14.1" customHeight="1">
      <c r="A1101" s="3"/>
      <c r="C1101">
        <v>955</v>
      </c>
      <c r="D1101" t="s">
        <v>1546</v>
      </c>
      <c r="E1101">
        <v>500</v>
      </c>
    </row>
    <row r="1102" spans="1:5" ht="14.1" customHeight="1">
      <c r="A1102" s="3"/>
      <c r="C1102">
        <v>272</v>
      </c>
      <c r="D1102" t="s">
        <v>140</v>
      </c>
      <c r="E1102">
        <v>370</v>
      </c>
    </row>
    <row r="1103" spans="1:5" ht="14.1" customHeight="1">
      <c r="A1103" s="3"/>
      <c r="C1103">
        <v>950</v>
      </c>
      <c r="D1103" t="s">
        <v>1547</v>
      </c>
      <c r="E1103">
        <v>473</v>
      </c>
    </row>
    <row r="1104" spans="1:5" ht="14.1" customHeight="1">
      <c r="A1104" s="3"/>
      <c r="C1104">
        <v>4871</v>
      </c>
      <c r="D1104" t="s">
        <v>3876</v>
      </c>
      <c r="E1104">
        <v>637</v>
      </c>
    </row>
    <row r="1105" spans="1:5" ht="14.1" customHeight="1">
      <c r="A1105" s="3"/>
      <c r="C1105">
        <v>4741</v>
      </c>
      <c r="D1105" t="s">
        <v>3877</v>
      </c>
      <c r="E1105">
        <v>0</v>
      </c>
    </row>
    <row r="1106" spans="1:5" ht="14.1" customHeight="1">
      <c r="A1106" s="3"/>
      <c r="C1106">
        <v>3016</v>
      </c>
      <c r="D1106" t="s">
        <v>141</v>
      </c>
      <c r="E1106">
        <v>0</v>
      </c>
    </row>
    <row r="1107" spans="1:5" ht="14.1" customHeight="1">
      <c r="A1107" s="3"/>
      <c r="C1107">
        <v>422</v>
      </c>
      <c r="D1107" t="s">
        <v>1548</v>
      </c>
      <c r="E1107">
        <v>395</v>
      </c>
    </row>
    <row r="1108" spans="1:5" ht="14.1" customHeight="1">
      <c r="A1108" s="3"/>
      <c r="C1108">
        <v>2100</v>
      </c>
      <c r="D1108" t="s">
        <v>1549</v>
      </c>
      <c r="E1108">
        <v>1056</v>
      </c>
    </row>
    <row r="1109" spans="1:5" ht="14.1" customHeight="1">
      <c r="A1109" s="3"/>
      <c r="C1109">
        <v>4140</v>
      </c>
      <c r="D1109" t="s">
        <v>1550</v>
      </c>
      <c r="E1109">
        <v>363</v>
      </c>
    </row>
    <row r="1110" spans="1:5" ht="14.1" customHeight="1">
      <c r="A1110" s="3"/>
      <c r="C1110">
        <v>4470</v>
      </c>
      <c r="D1110" t="s">
        <v>3623</v>
      </c>
      <c r="E1110">
        <v>369</v>
      </c>
    </row>
    <row r="1111" spans="1:5" ht="14.1" customHeight="1">
      <c r="A1111" s="3"/>
      <c r="C1111">
        <v>4141</v>
      </c>
      <c r="D1111" t="s">
        <v>1551</v>
      </c>
      <c r="E1111">
        <v>363</v>
      </c>
    </row>
    <row r="1112" spans="1:5" ht="14.1" customHeight="1">
      <c r="A1112" s="3"/>
      <c r="C1112">
        <v>392</v>
      </c>
      <c r="D1112" t="s">
        <v>142</v>
      </c>
      <c r="E1112">
        <v>486</v>
      </c>
    </row>
    <row r="1113" spans="1:5" ht="14.1" customHeight="1">
      <c r="A1113" s="3"/>
      <c r="C1113">
        <v>2673</v>
      </c>
      <c r="D1113" t="s">
        <v>1552</v>
      </c>
      <c r="E1113">
        <v>541</v>
      </c>
    </row>
    <row r="1114" spans="1:5" ht="14.1" customHeight="1">
      <c r="A1114" s="3"/>
      <c r="C1114">
        <v>4294</v>
      </c>
      <c r="D1114" t="s">
        <v>1553</v>
      </c>
      <c r="E1114">
        <v>479</v>
      </c>
    </row>
    <row r="1115" spans="1:5" ht="14.1" customHeight="1">
      <c r="A1115" s="3"/>
      <c r="C1115">
        <v>2290</v>
      </c>
      <c r="D1115" t="s">
        <v>1554</v>
      </c>
      <c r="E1115">
        <v>469</v>
      </c>
    </row>
    <row r="1116" spans="1:5" ht="14.1" customHeight="1">
      <c r="A1116" s="3"/>
      <c r="C1116">
        <v>1767</v>
      </c>
      <c r="D1116" t="s">
        <v>1555</v>
      </c>
      <c r="E1116">
        <v>587</v>
      </c>
    </row>
    <row r="1117" spans="1:5" ht="14.1" customHeight="1">
      <c r="A1117" s="3"/>
      <c r="C1117">
        <v>134</v>
      </c>
      <c r="D1117" t="s">
        <v>143</v>
      </c>
      <c r="E1117">
        <v>725</v>
      </c>
    </row>
    <row r="1118" spans="1:5" ht="14.1" customHeight="1">
      <c r="A1118" s="3"/>
      <c r="C1118">
        <v>2794</v>
      </c>
      <c r="D1118" t="s">
        <v>1556</v>
      </c>
      <c r="E1118">
        <v>620</v>
      </c>
    </row>
    <row r="1119" spans="1:5" ht="14.1" customHeight="1">
      <c r="A1119" s="3"/>
      <c r="C1119">
        <v>121</v>
      </c>
      <c r="D1119" t="s">
        <v>1557</v>
      </c>
      <c r="E1119">
        <v>1078</v>
      </c>
    </row>
    <row r="1120" spans="1:5" ht="14.1" customHeight="1">
      <c r="A1120" s="3"/>
      <c r="C1120">
        <v>3021</v>
      </c>
      <c r="D1120" t="s">
        <v>1558</v>
      </c>
      <c r="E1120">
        <v>0</v>
      </c>
    </row>
    <row r="1121" spans="3:5" ht="14.1" customHeight="1">
      <c r="C1121">
        <v>2988</v>
      </c>
      <c r="D1121" t="s">
        <v>1559</v>
      </c>
      <c r="E1121">
        <v>517</v>
      </c>
    </row>
    <row r="1122" spans="3:5" ht="14.1" customHeight="1">
      <c r="C1122">
        <v>189</v>
      </c>
      <c r="D1122" t="s">
        <v>426</v>
      </c>
      <c r="E1122">
        <v>440</v>
      </c>
    </row>
    <row r="1123" spans="3:5" ht="14.1" customHeight="1">
      <c r="C1123">
        <v>681</v>
      </c>
      <c r="D1123" t="s">
        <v>427</v>
      </c>
      <c r="E1123">
        <v>599</v>
      </c>
    </row>
    <row r="1124" spans="3:5" ht="14.1" customHeight="1">
      <c r="C1124">
        <v>3210</v>
      </c>
      <c r="D1124" t="s">
        <v>1560</v>
      </c>
      <c r="E1124">
        <v>0</v>
      </c>
    </row>
    <row r="1125" spans="3:5" ht="14.1" customHeight="1">
      <c r="C1125">
        <v>4356</v>
      </c>
      <c r="D1125" t="s">
        <v>3624</v>
      </c>
      <c r="E1125">
        <v>475</v>
      </c>
    </row>
    <row r="1126" spans="3:5" ht="14.1" customHeight="1">
      <c r="C1126">
        <v>5170</v>
      </c>
      <c r="D1126" t="s">
        <v>4240</v>
      </c>
      <c r="E1126">
        <v>467</v>
      </c>
    </row>
    <row r="1127" spans="3:5" ht="14.1" customHeight="1">
      <c r="C1127">
        <v>1704</v>
      </c>
      <c r="D1127" t="s">
        <v>1561</v>
      </c>
      <c r="E1127">
        <v>0</v>
      </c>
    </row>
    <row r="1128" spans="3:5" ht="14.1" customHeight="1">
      <c r="C1128">
        <v>1126</v>
      </c>
      <c r="D1128" t="s">
        <v>1562</v>
      </c>
      <c r="E1128">
        <v>559</v>
      </c>
    </row>
    <row r="1129" spans="3:5" ht="14.1" customHeight="1">
      <c r="C1129">
        <v>2721</v>
      </c>
      <c r="D1129" t="s">
        <v>1563</v>
      </c>
      <c r="E1129">
        <v>481</v>
      </c>
    </row>
    <row r="1130" spans="3:5" ht="14.1" customHeight="1">
      <c r="C1130">
        <v>853</v>
      </c>
      <c r="D1130" t="s">
        <v>428</v>
      </c>
      <c r="E1130">
        <v>1009</v>
      </c>
    </row>
    <row r="1131" spans="3:5" ht="14.1" customHeight="1">
      <c r="C1131">
        <v>1184</v>
      </c>
      <c r="D1131" t="s">
        <v>1564</v>
      </c>
      <c r="E1131">
        <v>549</v>
      </c>
    </row>
    <row r="1132" spans="3:5" ht="14.1" customHeight="1">
      <c r="C1132">
        <v>4697</v>
      </c>
      <c r="D1132" t="s">
        <v>3878</v>
      </c>
      <c r="E1132">
        <v>608</v>
      </c>
    </row>
    <row r="1133" spans="3:5" ht="14.1" customHeight="1">
      <c r="C1133">
        <v>4310</v>
      </c>
      <c r="D1133" t="s">
        <v>1565</v>
      </c>
      <c r="E1133">
        <v>546</v>
      </c>
    </row>
    <row r="1134" spans="3:5" ht="14.1" customHeight="1">
      <c r="C1134">
        <v>1762</v>
      </c>
      <c r="D1134" t="s">
        <v>1566</v>
      </c>
      <c r="E1134">
        <v>936</v>
      </c>
    </row>
    <row r="1135" spans="3:5" ht="14.1" customHeight="1">
      <c r="C1135">
        <v>4907</v>
      </c>
      <c r="D1135" t="s">
        <v>3879</v>
      </c>
      <c r="E1135">
        <v>391</v>
      </c>
    </row>
    <row r="1136" spans="3:5" ht="14.1" customHeight="1">
      <c r="C1136">
        <v>2126</v>
      </c>
      <c r="D1136" t="s">
        <v>1567</v>
      </c>
      <c r="E1136">
        <v>507</v>
      </c>
    </row>
    <row r="1137" spans="3:5" ht="14.1" customHeight="1">
      <c r="C1137">
        <v>726</v>
      </c>
      <c r="D1137" t="s">
        <v>429</v>
      </c>
      <c r="E1137">
        <v>983</v>
      </c>
    </row>
    <row r="1138" spans="3:5" ht="14.1" customHeight="1">
      <c r="C1138">
        <v>4474</v>
      </c>
      <c r="D1138" t="s">
        <v>3625</v>
      </c>
      <c r="E1138">
        <v>380</v>
      </c>
    </row>
    <row r="1139" spans="3:5" ht="14.1" customHeight="1">
      <c r="C1139">
        <v>4330</v>
      </c>
      <c r="D1139" t="s">
        <v>1568</v>
      </c>
      <c r="E1139">
        <v>711</v>
      </c>
    </row>
    <row r="1140" spans="3:5" ht="14.1" customHeight="1">
      <c r="C1140">
        <v>4341</v>
      </c>
      <c r="D1140" t="s">
        <v>1569</v>
      </c>
      <c r="E1140">
        <v>690</v>
      </c>
    </row>
    <row r="1141" spans="3:5" ht="14.1" customHeight="1">
      <c r="C1141">
        <v>1868</v>
      </c>
      <c r="D1141" t="s">
        <v>1570</v>
      </c>
      <c r="E1141">
        <v>441</v>
      </c>
    </row>
    <row r="1142" spans="3:5" ht="14.1" customHeight="1">
      <c r="C1142">
        <v>395</v>
      </c>
      <c r="D1142" t="s">
        <v>144</v>
      </c>
      <c r="E1142">
        <v>579</v>
      </c>
    </row>
    <row r="1143" spans="3:5" ht="14.1" customHeight="1">
      <c r="C1143">
        <v>1392</v>
      </c>
      <c r="D1143" t="s">
        <v>1571</v>
      </c>
      <c r="E1143">
        <v>651</v>
      </c>
    </row>
    <row r="1144" spans="3:5" ht="14.1" customHeight="1">
      <c r="C1144">
        <v>2672</v>
      </c>
      <c r="D1144" t="s">
        <v>1572</v>
      </c>
      <c r="E1144">
        <v>660</v>
      </c>
    </row>
    <row r="1145" spans="3:5" ht="14.1" customHeight="1">
      <c r="C1145">
        <v>3306</v>
      </c>
      <c r="D1145" t="s">
        <v>1573</v>
      </c>
      <c r="E1145">
        <v>490</v>
      </c>
    </row>
    <row r="1146" spans="3:5" ht="14.1" customHeight="1">
      <c r="C1146">
        <v>1556</v>
      </c>
      <c r="D1146" t="s">
        <v>1574</v>
      </c>
      <c r="E1146">
        <v>557</v>
      </c>
    </row>
    <row r="1147" spans="3:5" ht="14.1" customHeight="1">
      <c r="C1147">
        <v>288</v>
      </c>
      <c r="D1147" t="s">
        <v>430</v>
      </c>
      <c r="E1147">
        <v>327</v>
      </c>
    </row>
    <row r="1148" spans="3:5" ht="14.1" customHeight="1">
      <c r="C1148">
        <v>364</v>
      </c>
      <c r="D1148" t="s">
        <v>431</v>
      </c>
      <c r="E1148">
        <v>468</v>
      </c>
    </row>
    <row r="1149" spans="3:5" ht="14.1" customHeight="1">
      <c r="C1149">
        <v>1796</v>
      </c>
      <c r="D1149" t="s">
        <v>1575</v>
      </c>
      <c r="E1149">
        <v>468</v>
      </c>
    </row>
    <row r="1150" spans="3:5" ht="14.1" customHeight="1">
      <c r="C1150">
        <v>2342</v>
      </c>
      <c r="D1150" t="s">
        <v>1576</v>
      </c>
      <c r="E1150">
        <v>479</v>
      </c>
    </row>
    <row r="1151" spans="3:5" ht="14.1" customHeight="1">
      <c r="C1151">
        <v>2768</v>
      </c>
      <c r="D1151" t="s">
        <v>1577</v>
      </c>
      <c r="E1151">
        <v>627</v>
      </c>
    </row>
    <row r="1152" spans="3:5" ht="14.1" customHeight="1">
      <c r="C1152">
        <v>4178</v>
      </c>
      <c r="D1152" t="s">
        <v>1578</v>
      </c>
      <c r="E1152">
        <v>465</v>
      </c>
    </row>
    <row r="1153" spans="3:5" ht="14.1" customHeight="1">
      <c r="C1153">
        <v>4755</v>
      </c>
      <c r="D1153" t="s">
        <v>3880</v>
      </c>
      <c r="E1153">
        <v>568</v>
      </c>
    </row>
    <row r="1154" spans="3:5" ht="14.1" customHeight="1">
      <c r="C1154">
        <v>826</v>
      </c>
      <c r="D1154" t="s">
        <v>432</v>
      </c>
      <c r="E1154">
        <v>492</v>
      </c>
    </row>
    <row r="1155" spans="3:5" ht="14.1" customHeight="1">
      <c r="C1155">
        <v>2130</v>
      </c>
      <c r="D1155" t="s">
        <v>1579</v>
      </c>
      <c r="E1155">
        <v>493</v>
      </c>
    </row>
    <row r="1156" spans="3:5" ht="14.1" customHeight="1">
      <c r="C1156">
        <v>4768</v>
      </c>
      <c r="D1156" t="s">
        <v>3881</v>
      </c>
      <c r="E1156">
        <v>549</v>
      </c>
    </row>
    <row r="1157" spans="3:5" ht="14.1" customHeight="1">
      <c r="C1157">
        <v>2270</v>
      </c>
      <c r="D1157" t="s">
        <v>1580</v>
      </c>
      <c r="E1157">
        <v>498</v>
      </c>
    </row>
    <row r="1158" spans="3:5" ht="14.1" customHeight="1">
      <c r="C1158">
        <v>3295</v>
      </c>
      <c r="D1158" t="s">
        <v>1581</v>
      </c>
      <c r="E1158">
        <v>0</v>
      </c>
    </row>
    <row r="1159" spans="3:5" ht="14.1" customHeight="1">
      <c r="C1159">
        <v>5039</v>
      </c>
      <c r="D1159" t="s">
        <v>4241</v>
      </c>
      <c r="E1159">
        <v>798</v>
      </c>
    </row>
    <row r="1160" spans="3:5" ht="14.1" customHeight="1">
      <c r="C1160">
        <v>660</v>
      </c>
      <c r="D1160" t="s">
        <v>433</v>
      </c>
      <c r="E1160">
        <v>465</v>
      </c>
    </row>
    <row r="1161" spans="3:5" ht="14.1" customHeight="1">
      <c r="C1161">
        <v>2882</v>
      </c>
      <c r="D1161" t="s">
        <v>1582</v>
      </c>
      <c r="E1161">
        <v>410</v>
      </c>
    </row>
    <row r="1162" spans="3:5" ht="14.1" customHeight="1">
      <c r="C1162">
        <v>117</v>
      </c>
      <c r="D1162" t="s">
        <v>1583</v>
      </c>
      <c r="E1162">
        <v>793</v>
      </c>
    </row>
    <row r="1163" spans="3:5" ht="14.1" customHeight="1">
      <c r="C1163">
        <v>2099</v>
      </c>
      <c r="D1163" t="s">
        <v>1584</v>
      </c>
      <c r="E1163">
        <v>598</v>
      </c>
    </row>
    <row r="1164" spans="3:5" ht="14.1" customHeight="1">
      <c r="C1164">
        <v>3104</v>
      </c>
      <c r="D1164" t="s">
        <v>1585</v>
      </c>
      <c r="E1164">
        <v>0</v>
      </c>
    </row>
    <row r="1165" spans="3:5" ht="14.1" customHeight="1">
      <c r="C1165">
        <v>2054</v>
      </c>
      <c r="D1165" t="s">
        <v>1586</v>
      </c>
      <c r="E1165">
        <v>636</v>
      </c>
    </row>
    <row r="1166" spans="3:5" ht="14.1" customHeight="1">
      <c r="C1166">
        <v>1349</v>
      </c>
      <c r="D1166" t="s">
        <v>1587</v>
      </c>
      <c r="E1166">
        <v>681</v>
      </c>
    </row>
    <row r="1167" spans="3:5" ht="14.1" customHeight="1">
      <c r="C1167">
        <v>1628</v>
      </c>
      <c r="D1167" t="s">
        <v>1588</v>
      </c>
      <c r="E1167">
        <v>569</v>
      </c>
    </row>
    <row r="1168" spans="3:5" ht="14.1" customHeight="1">
      <c r="C1168">
        <v>2465</v>
      </c>
      <c r="D1168" t="s">
        <v>1589</v>
      </c>
      <c r="E1168">
        <v>685</v>
      </c>
    </row>
    <row r="1169" spans="3:5" ht="14.1" customHeight="1">
      <c r="C1169">
        <v>4237</v>
      </c>
      <c r="D1169" t="s">
        <v>1590</v>
      </c>
      <c r="E1169">
        <v>691</v>
      </c>
    </row>
    <row r="1170" spans="3:5" ht="14.1" customHeight="1">
      <c r="C1170">
        <v>5154</v>
      </c>
      <c r="D1170" t="s">
        <v>4242</v>
      </c>
      <c r="E1170">
        <v>476</v>
      </c>
    </row>
    <row r="1171" spans="3:5" ht="14.1" customHeight="1">
      <c r="C1171">
        <v>4551</v>
      </c>
      <c r="D1171" t="s">
        <v>3626</v>
      </c>
      <c r="E1171">
        <v>587</v>
      </c>
    </row>
    <row r="1172" spans="3:5" ht="14.1" customHeight="1">
      <c r="C1172">
        <v>2315</v>
      </c>
      <c r="D1172" t="s">
        <v>1591</v>
      </c>
      <c r="E1172">
        <v>329</v>
      </c>
    </row>
    <row r="1173" spans="3:5" ht="14.1" customHeight="1">
      <c r="C1173">
        <v>140</v>
      </c>
      <c r="D1173" t="s">
        <v>434</v>
      </c>
      <c r="E1173">
        <v>898</v>
      </c>
    </row>
    <row r="1174" spans="3:5" ht="14.1" customHeight="1">
      <c r="C1174">
        <v>4837</v>
      </c>
      <c r="D1174" t="s">
        <v>3882</v>
      </c>
      <c r="E1174">
        <v>733</v>
      </c>
    </row>
    <row r="1175" spans="3:5" ht="14.1" customHeight="1">
      <c r="C1175">
        <v>4369</v>
      </c>
      <c r="D1175" t="s">
        <v>3627</v>
      </c>
      <c r="E1175">
        <v>0</v>
      </c>
    </row>
    <row r="1176" spans="3:5" ht="14.1" customHeight="1">
      <c r="C1176">
        <v>2852</v>
      </c>
      <c r="D1176" t="s">
        <v>1592</v>
      </c>
      <c r="E1176">
        <v>623</v>
      </c>
    </row>
    <row r="1177" spans="3:5" ht="14.1" customHeight="1">
      <c r="C1177">
        <v>802</v>
      </c>
      <c r="D1177" t="s">
        <v>435</v>
      </c>
      <c r="E1177">
        <v>427</v>
      </c>
    </row>
    <row r="1178" spans="3:5" ht="14.1" customHeight="1">
      <c r="C1178">
        <v>4606</v>
      </c>
      <c r="D1178" t="s">
        <v>3883</v>
      </c>
      <c r="E1178">
        <v>513</v>
      </c>
    </row>
    <row r="1179" spans="3:5" ht="14.1" customHeight="1">
      <c r="C1179">
        <v>3300</v>
      </c>
      <c r="D1179" t="s">
        <v>1593</v>
      </c>
      <c r="E1179">
        <v>543</v>
      </c>
    </row>
    <row r="1180" spans="3:5" ht="14.1" customHeight="1">
      <c r="C1180">
        <v>5061</v>
      </c>
      <c r="D1180" t="s">
        <v>4243</v>
      </c>
      <c r="E1180">
        <v>397</v>
      </c>
    </row>
    <row r="1181" spans="3:5" ht="14.1" customHeight="1">
      <c r="C1181">
        <v>1443</v>
      </c>
      <c r="D1181" t="s">
        <v>1594</v>
      </c>
      <c r="E1181">
        <v>439</v>
      </c>
    </row>
    <row r="1182" spans="3:5" ht="14.1" customHeight="1">
      <c r="C1182">
        <v>4155</v>
      </c>
      <c r="D1182" t="s">
        <v>1595</v>
      </c>
      <c r="E1182">
        <v>506</v>
      </c>
    </row>
    <row r="1183" spans="3:5" ht="14.1" customHeight="1">
      <c r="C1183">
        <v>2814</v>
      </c>
      <c r="D1183" t="s">
        <v>1596</v>
      </c>
      <c r="E1183">
        <v>456</v>
      </c>
    </row>
    <row r="1184" spans="3:5" ht="14.1" customHeight="1">
      <c r="C1184">
        <v>1568</v>
      </c>
      <c r="D1184" t="s">
        <v>1597</v>
      </c>
      <c r="E1184">
        <v>442</v>
      </c>
    </row>
    <row r="1185" spans="3:5" ht="14.1" customHeight="1">
      <c r="C1185">
        <v>5187</v>
      </c>
      <c r="D1185" t="s">
        <v>4244</v>
      </c>
      <c r="E1185">
        <v>483</v>
      </c>
    </row>
    <row r="1186" spans="3:5" ht="14.1" customHeight="1">
      <c r="C1186">
        <v>2919</v>
      </c>
      <c r="D1186" t="s">
        <v>1598</v>
      </c>
      <c r="E1186">
        <v>784</v>
      </c>
    </row>
    <row r="1187" spans="3:5" ht="14.1" customHeight="1">
      <c r="C1187">
        <v>4362</v>
      </c>
      <c r="D1187" t="s">
        <v>1599</v>
      </c>
      <c r="E1187">
        <v>678</v>
      </c>
    </row>
    <row r="1188" spans="3:5" ht="14.1" customHeight="1">
      <c r="C1188">
        <v>1914</v>
      </c>
      <c r="D1188" t="s">
        <v>1600</v>
      </c>
      <c r="E1188">
        <v>627</v>
      </c>
    </row>
    <row r="1189" spans="3:5" ht="14.1" customHeight="1">
      <c r="C1189">
        <v>2616</v>
      </c>
      <c r="D1189" t="s">
        <v>1601</v>
      </c>
      <c r="E1189">
        <v>530</v>
      </c>
    </row>
    <row r="1190" spans="3:5" ht="14.1" customHeight="1">
      <c r="C1190">
        <v>5103</v>
      </c>
      <c r="D1190" t="s">
        <v>4245</v>
      </c>
      <c r="E1190">
        <v>237</v>
      </c>
    </row>
    <row r="1191" spans="3:5" ht="14.1" customHeight="1">
      <c r="C1191">
        <v>240</v>
      </c>
      <c r="D1191" t="s">
        <v>436</v>
      </c>
      <c r="E1191">
        <v>357</v>
      </c>
    </row>
    <row r="1192" spans="3:5" ht="14.1" customHeight="1">
      <c r="C1192">
        <v>4635</v>
      </c>
      <c r="D1192" t="s">
        <v>3884</v>
      </c>
      <c r="E1192">
        <v>500</v>
      </c>
    </row>
    <row r="1193" spans="3:5" ht="14.1" customHeight="1">
      <c r="C1193">
        <v>2688</v>
      </c>
      <c r="D1193" t="s">
        <v>1602</v>
      </c>
      <c r="E1193">
        <v>586</v>
      </c>
    </row>
    <row r="1194" spans="3:5" ht="14.1" customHeight="1">
      <c r="C1194">
        <v>2895</v>
      </c>
      <c r="D1194" t="s">
        <v>1603</v>
      </c>
      <c r="E1194">
        <v>440</v>
      </c>
    </row>
    <row r="1195" spans="3:5" ht="14.1" customHeight="1">
      <c r="C1195">
        <v>1949</v>
      </c>
      <c r="D1195" t="s">
        <v>1604</v>
      </c>
      <c r="E1195">
        <v>762</v>
      </c>
    </row>
    <row r="1196" spans="3:5" ht="14.1" customHeight="1">
      <c r="C1196">
        <v>3155</v>
      </c>
      <c r="D1196" t="s">
        <v>1605</v>
      </c>
      <c r="E1196">
        <v>0</v>
      </c>
    </row>
    <row r="1197" spans="3:5" ht="14.1" customHeight="1">
      <c r="C1197">
        <v>1583</v>
      </c>
      <c r="D1197" t="s">
        <v>1606</v>
      </c>
      <c r="E1197">
        <v>707</v>
      </c>
    </row>
    <row r="1198" spans="3:5" ht="14.1" customHeight="1">
      <c r="C1198">
        <v>1110</v>
      </c>
      <c r="D1198" t="s">
        <v>1607</v>
      </c>
      <c r="E1198">
        <v>534</v>
      </c>
    </row>
    <row r="1199" spans="3:5" ht="14.1" customHeight="1">
      <c r="C1199">
        <v>479</v>
      </c>
      <c r="D1199" t="s">
        <v>437</v>
      </c>
      <c r="E1199">
        <v>1147</v>
      </c>
    </row>
    <row r="1200" spans="3:5" ht="14.1" customHeight="1">
      <c r="C1200">
        <v>3361</v>
      </c>
      <c r="D1200" t="s">
        <v>1608</v>
      </c>
      <c r="E1200">
        <v>738</v>
      </c>
    </row>
    <row r="1201" spans="3:5" ht="14.1" customHeight="1">
      <c r="C1201">
        <v>1424</v>
      </c>
      <c r="D1201" t="s">
        <v>1609</v>
      </c>
      <c r="E1201">
        <v>552</v>
      </c>
    </row>
    <row r="1202" spans="3:5" ht="14.1" customHeight="1">
      <c r="C1202">
        <v>1445</v>
      </c>
      <c r="D1202" t="s">
        <v>1610</v>
      </c>
      <c r="E1202">
        <v>332</v>
      </c>
    </row>
    <row r="1203" spans="3:5" ht="14.1" customHeight="1">
      <c r="C1203">
        <v>532</v>
      </c>
      <c r="D1203" t="s">
        <v>438</v>
      </c>
      <c r="E1203">
        <v>534</v>
      </c>
    </row>
    <row r="1204" spans="3:5" ht="14.1" customHeight="1">
      <c r="C1204">
        <v>4291</v>
      </c>
      <c r="D1204" t="s">
        <v>1611</v>
      </c>
      <c r="E1204">
        <v>425</v>
      </c>
    </row>
    <row r="1205" spans="3:5" ht="14.1" customHeight="1">
      <c r="C1205">
        <v>3138</v>
      </c>
      <c r="D1205" t="s">
        <v>1612</v>
      </c>
      <c r="E1205">
        <v>0</v>
      </c>
    </row>
    <row r="1206" spans="3:5" ht="14.1" customHeight="1">
      <c r="C1206">
        <v>2830</v>
      </c>
      <c r="D1206" t="s">
        <v>1613</v>
      </c>
      <c r="E1206">
        <v>500</v>
      </c>
    </row>
    <row r="1207" spans="3:5" ht="14.1" customHeight="1">
      <c r="C1207">
        <v>530</v>
      </c>
      <c r="D1207" t="s">
        <v>439</v>
      </c>
      <c r="E1207">
        <v>768</v>
      </c>
    </row>
    <row r="1208" spans="3:5" ht="14.1" customHeight="1">
      <c r="C1208">
        <v>546</v>
      </c>
      <c r="D1208" t="s">
        <v>1614</v>
      </c>
      <c r="E1208">
        <v>493</v>
      </c>
    </row>
    <row r="1209" spans="3:5" ht="14.1" customHeight="1">
      <c r="C1209">
        <v>4710</v>
      </c>
      <c r="D1209" t="s">
        <v>3885</v>
      </c>
      <c r="E1209">
        <v>544</v>
      </c>
    </row>
    <row r="1210" spans="3:5" ht="14.1" customHeight="1">
      <c r="C1210">
        <v>4219</v>
      </c>
      <c r="D1210" t="s">
        <v>1615</v>
      </c>
      <c r="E1210">
        <v>521</v>
      </c>
    </row>
    <row r="1211" spans="3:5" ht="14.1" customHeight="1">
      <c r="C1211">
        <v>2735</v>
      </c>
      <c r="D1211" t="s">
        <v>1616</v>
      </c>
      <c r="E1211">
        <v>742</v>
      </c>
    </row>
    <row r="1212" spans="3:5" ht="14.1" customHeight="1">
      <c r="C1212">
        <v>2110</v>
      </c>
      <c r="D1212" t="s">
        <v>1617</v>
      </c>
      <c r="E1212">
        <v>810</v>
      </c>
    </row>
    <row r="1213" spans="3:5" ht="14.1" customHeight="1">
      <c r="C1213">
        <v>2111</v>
      </c>
      <c r="D1213" t="s">
        <v>1618</v>
      </c>
      <c r="E1213">
        <v>625</v>
      </c>
    </row>
    <row r="1214" spans="3:5" ht="14.1" customHeight="1">
      <c r="C1214">
        <v>5003</v>
      </c>
      <c r="D1214" t="s">
        <v>3886</v>
      </c>
      <c r="E1214">
        <v>546</v>
      </c>
    </row>
    <row r="1215" spans="3:5" ht="14.1" customHeight="1">
      <c r="C1215">
        <v>736</v>
      </c>
      <c r="D1215" t="s">
        <v>440</v>
      </c>
      <c r="E1215">
        <v>786</v>
      </c>
    </row>
    <row r="1216" spans="3:5" ht="14.1" customHeight="1">
      <c r="C1216">
        <v>1768</v>
      </c>
      <c r="D1216" t="s">
        <v>1619</v>
      </c>
      <c r="E1216">
        <v>466</v>
      </c>
    </row>
    <row r="1217" spans="3:5" ht="14.1" customHeight="1">
      <c r="C1217">
        <v>4231</v>
      </c>
      <c r="D1217" t="s">
        <v>1620</v>
      </c>
      <c r="E1217">
        <v>376</v>
      </c>
    </row>
    <row r="1218" spans="3:5" ht="14.1" customHeight="1">
      <c r="C1218">
        <v>881</v>
      </c>
      <c r="D1218" t="s">
        <v>441</v>
      </c>
      <c r="E1218">
        <v>345</v>
      </c>
    </row>
    <row r="1219" spans="3:5" ht="14.1" customHeight="1">
      <c r="C1219">
        <v>894</v>
      </c>
      <c r="D1219" t="s">
        <v>442</v>
      </c>
      <c r="E1219">
        <v>948</v>
      </c>
    </row>
    <row r="1220" spans="3:5" ht="14.1" customHeight="1">
      <c r="C1220">
        <v>4687</v>
      </c>
      <c r="D1220" t="s">
        <v>3887</v>
      </c>
      <c r="E1220">
        <v>391</v>
      </c>
    </row>
    <row r="1221" spans="3:5" ht="14.1" customHeight="1">
      <c r="C1221">
        <v>4353</v>
      </c>
      <c r="D1221" t="s">
        <v>3628</v>
      </c>
      <c r="E1221">
        <v>500</v>
      </c>
    </row>
    <row r="1222" spans="3:5" ht="14.1" customHeight="1">
      <c r="C1222">
        <v>1775</v>
      </c>
      <c r="D1222" t="s">
        <v>1621</v>
      </c>
      <c r="E1222">
        <v>462</v>
      </c>
    </row>
    <row r="1223" spans="3:5" ht="14.1" customHeight="1">
      <c r="C1223">
        <v>4798</v>
      </c>
      <c r="D1223" t="s">
        <v>3888</v>
      </c>
      <c r="E1223">
        <v>496</v>
      </c>
    </row>
    <row r="1224" spans="3:5" ht="14.1" customHeight="1">
      <c r="C1224">
        <v>2626</v>
      </c>
      <c r="D1224" t="s">
        <v>1622</v>
      </c>
      <c r="E1224">
        <v>596</v>
      </c>
    </row>
    <row r="1225" spans="3:5" ht="14.1" customHeight="1">
      <c r="C1225">
        <v>1937</v>
      </c>
      <c r="D1225" t="s">
        <v>1623</v>
      </c>
      <c r="E1225">
        <v>793</v>
      </c>
    </row>
    <row r="1226" spans="3:5" ht="14.1" customHeight="1">
      <c r="C1226">
        <v>2729</v>
      </c>
      <c r="D1226" t="s">
        <v>1624</v>
      </c>
      <c r="E1226">
        <v>541</v>
      </c>
    </row>
    <row r="1227" spans="3:5" ht="14.1" customHeight="1">
      <c r="C1227">
        <v>1988</v>
      </c>
      <c r="D1227" t="s">
        <v>1625</v>
      </c>
      <c r="E1227">
        <v>466</v>
      </c>
    </row>
    <row r="1228" spans="3:5" ht="14.1" customHeight="1">
      <c r="C1228">
        <v>4212</v>
      </c>
      <c r="D1228" t="s">
        <v>1626</v>
      </c>
      <c r="E1228">
        <v>587</v>
      </c>
    </row>
    <row r="1229" spans="3:5" ht="14.1" customHeight="1">
      <c r="C1229">
        <v>2095</v>
      </c>
      <c r="D1229" t="s">
        <v>1627</v>
      </c>
      <c r="E1229">
        <v>471</v>
      </c>
    </row>
    <row r="1230" spans="3:5" ht="14.1" customHeight="1">
      <c r="C1230">
        <v>1359</v>
      </c>
      <c r="D1230" t="s">
        <v>1628</v>
      </c>
      <c r="E1230">
        <v>709</v>
      </c>
    </row>
    <row r="1231" spans="3:5" ht="14.1" customHeight="1">
      <c r="C1231">
        <v>2106</v>
      </c>
      <c r="D1231" t="s">
        <v>1629</v>
      </c>
      <c r="E1231">
        <v>571</v>
      </c>
    </row>
    <row r="1232" spans="3:5" ht="14.1" customHeight="1">
      <c r="C1232">
        <v>110</v>
      </c>
      <c r="D1232" t="s">
        <v>443</v>
      </c>
      <c r="E1232">
        <v>1005</v>
      </c>
    </row>
    <row r="1233" spans="3:5" ht="14.1" customHeight="1">
      <c r="C1233">
        <v>1412</v>
      </c>
      <c r="D1233" t="s">
        <v>1630</v>
      </c>
      <c r="E1233">
        <v>584</v>
      </c>
    </row>
    <row r="1234" spans="3:5" ht="14.1" customHeight="1">
      <c r="C1234">
        <v>2116</v>
      </c>
      <c r="D1234" t="s">
        <v>1631</v>
      </c>
      <c r="E1234">
        <v>639</v>
      </c>
    </row>
    <row r="1235" spans="3:5" ht="14.1" customHeight="1">
      <c r="C1235">
        <v>513</v>
      </c>
      <c r="D1235" t="s">
        <v>444</v>
      </c>
      <c r="E1235">
        <v>548</v>
      </c>
    </row>
    <row r="1236" spans="3:5" ht="14.1" customHeight="1">
      <c r="C1236">
        <v>721</v>
      </c>
      <c r="D1236" t="s">
        <v>445</v>
      </c>
      <c r="E1236">
        <v>387</v>
      </c>
    </row>
    <row r="1237" spans="3:5" ht="14.1" customHeight="1">
      <c r="C1237">
        <v>2337</v>
      </c>
      <c r="D1237" t="s">
        <v>1632</v>
      </c>
      <c r="E1237">
        <v>494</v>
      </c>
    </row>
    <row r="1238" spans="3:5" ht="14.1" customHeight="1">
      <c r="C1238">
        <v>856</v>
      </c>
      <c r="D1238" t="s">
        <v>446</v>
      </c>
      <c r="E1238">
        <v>1109</v>
      </c>
    </row>
    <row r="1239" spans="3:5" ht="14.1" customHeight="1">
      <c r="C1239">
        <v>4591</v>
      </c>
      <c r="D1239" t="s">
        <v>3629</v>
      </c>
      <c r="E1239">
        <v>540</v>
      </c>
    </row>
    <row r="1240" spans="3:5" ht="14.1" customHeight="1">
      <c r="C1240">
        <v>537</v>
      </c>
      <c r="D1240" t="s">
        <v>447</v>
      </c>
      <c r="E1240">
        <v>823</v>
      </c>
    </row>
    <row r="1241" spans="3:5" ht="14.1" customHeight="1">
      <c r="C1241">
        <v>1765</v>
      </c>
      <c r="D1241" t="s">
        <v>1633</v>
      </c>
      <c r="E1241">
        <v>1112</v>
      </c>
    </row>
    <row r="1242" spans="3:5" ht="14.1" customHeight="1">
      <c r="C1242">
        <v>1886</v>
      </c>
      <c r="D1242" t="s">
        <v>1634</v>
      </c>
      <c r="E1242">
        <v>581</v>
      </c>
    </row>
    <row r="1243" spans="3:5" ht="14.1" customHeight="1">
      <c r="C1243">
        <v>1253</v>
      </c>
      <c r="D1243" t="s">
        <v>1635</v>
      </c>
      <c r="E1243">
        <v>529</v>
      </c>
    </row>
    <row r="1244" spans="3:5" ht="14.1" customHeight="1">
      <c r="C1244">
        <v>4964</v>
      </c>
      <c r="D1244" t="s">
        <v>3889</v>
      </c>
      <c r="E1244">
        <v>824</v>
      </c>
    </row>
    <row r="1245" spans="3:5" ht="14.1" customHeight="1">
      <c r="C1245">
        <v>880</v>
      </c>
      <c r="D1245" t="s">
        <v>448</v>
      </c>
      <c r="E1245">
        <v>415</v>
      </c>
    </row>
    <row r="1246" spans="3:5" ht="14.1" customHeight="1">
      <c r="C1246">
        <v>4751</v>
      </c>
      <c r="D1246" t="s">
        <v>3890</v>
      </c>
      <c r="E1246">
        <v>613</v>
      </c>
    </row>
    <row r="1247" spans="3:5" ht="14.1" customHeight="1">
      <c r="C1247">
        <v>4613</v>
      </c>
      <c r="D1247" t="s">
        <v>1636</v>
      </c>
      <c r="E1247">
        <v>0</v>
      </c>
    </row>
    <row r="1248" spans="3:5" ht="14.1" customHeight="1">
      <c r="C1248">
        <v>3258</v>
      </c>
      <c r="D1248" t="s">
        <v>1636</v>
      </c>
      <c r="E1248">
        <v>0</v>
      </c>
    </row>
    <row r="1249" spans="3:5" ht="14.1" customHeight="1">
      <c r="C1249">
        <v>3177</v>
      </c>
      <c r="D1249" t="s">
        <v>1637</v>
      </c>
      <c r="E1249">
        <v>0</v>
      </c>
    </row>
    <row r="1250" spans="3:5" ht="14.1" customHeight="1">
      <c r="C1250">
        <v>4550</v>
      </c>
      <c r="D1250" t="s">
        <v>3630</v>
      </c>
      <c r="E1250">
        <v>587</v>
      </c>
    </row>
    <row r="1251" spans="3:5" ht="14.1" customHeight="1">
      <c r="C1251">
        <v>1334</v>
      </c>
      <c r="D1251" t="s">
        <v>1638</v>
      </c>
      <c r="E1251">
        <v>537</v>
      </c>
    </row>
    <row r="1252" spans="3:5" ht="14.1" customHeight="1">
      <c r="C1252">
        <v>3118</v>
      </c>
      <c r="D1252" t="s">
        <v>1639</v>
      </c>
      <c r="E1252">
        <v>0</v>
      </c>
    </row>
    <row r="1253" spans="3:5" ht="14.1" customHeight="1">
      <c r="C1253">
        <v>96</v>
      </c>
      <c r="D1253" t="s">
        <v>449</v>
      </c>
      <c r="E1253">
        <v>389</v>
      </c>
    </row>
    <row r="1254" spans="3:5" ht="14.1" customHeight="1">
      <c r="C1254">
        <v>3129</v>
      </c>
      <c r="D1254" t="s">
        <v>1640</v>
      </c>
      <c r="E1254">
        <v>0</v>
      </c>
    </row>
    <row r="1255" spans="3:5" ht="14.1" customHeight="1">
      <c r="C1255">
        <v>3241</v>
      </c>
      <c r="D1255" t="s">
        <v>1641</v>
      </c>
      <c r="E1255">
        <v>0</v>
      </c>
    </row>
    <row r="1256" spans="3:5" ht="14.1" customHeight="1">
      <c r="C1256">
        <v>2615</v>
      </c>
      <c r="D1256" t="s">
        <v>1642</v>
      </c>
      <c r="E1256">
        <v>492</v>
      </c>
    </row>
    <row r="1257" spans="3:5" ht="14.1" customHeight="1">
      <c r="C1257">
        <v>2670</v>
      </c>
      <c r="D1257" t="s">
        <v>1643</v>
      </c>
      <c r="E1257">
        <v>549</v>
      </c>
    </row>
    <row r="1258" spans="3:5" ht="14.1" customHeight="1">
      <c r="C1258">
        <v>4508</v>
      </c>
      <c r="D1258" t="s">
        <v>3631</v>
      </c>
      <c r="E1258">
        <v>704</v>
      </c>
    </row>
    <row r="1259" spans="3:5" ht="14.1" customHeight="1">
      <c r="C1259">
        <v>764</v>
      </c>
      <c r="D1259" t="s">
        <v>450</v>
      </c>
      <c r="E1259">
        <v>533</v>
      </c>
    </row>
    <row r="1260" spans="3:5" ht="14.1" customHeight="1">
      <c r="C1260">
        <v>674</v>
      </c>
      <c r="D1260" t="s">
        <v>1644</v>
      </c>
      <c r="E1260">
        <v>1015</v>
      </c>
    </row>
    <row r="1261" spans="3:5" ht="14.1" customHeight="1">
      <c r="C1261">
        <v>910</v>
      </c>
      <c r="D1261" t="s">
        <v>451</v>
      </c>
      <c r="E1261">
        <v>393</v>
      </c>
    </row>
    <row r="1262" spans="3:5" ht="14.1" customHeight="1">
      <c r="C1262">
        <v>2161</v>
      </c>
      <c r="D1262" t="s">
        <v>1645</v>
      </c>
      <c r="E1262">
        <v>476</v>
      </c>
    </row>
    <row r="1263" spans="3:5" ht="14.1" customHeight="1">
      <c r="C1263">
        <v>1592</v>
      </c>
      <c r="D1263" t="s">
        <v>1646</v>
      </c>
      <c r="E1263">
        <v>0</v>
      </c>
    </row>
    <row r="1264" spans="3:5" ht="14.1" customHeight="1">
      <c r="C1264">
        <v>1231</v>
      </c>
      <c r="D1264" t="s">
        <v>1647</v>
      </c>
      <c r="E1264">
        <v>1148</v>
      </c>
    </row>
    <row r="1265" spans="3:5" ht="14.1" customHeight="1">
      <c r="C1265">
        <v>1539</v>
      </c>
      <c r="D1265" t="s">
        <v>1648</v>
      </c>
      <c r="E1265">
        <v>958</v>
      </c>
    </row>
    <row r="1266" spans="3:5" ht="14.1" customHeight="1">
      <c r="C1266">
        <v>1797</v>
      </c>
      <c r="D1266" t="s">
        <v>1649</v>
      </c>
      <c r="E1266">
        <v>451</v>
      </c>
    </row>
    <row r="1267" spans="3:5" ht="14.1" customHeight="1">
      <c r="C1267">
        <v>2440</v>
      </c>
      <c r="D1267" t="s">
        <v>1650</v>
      </c>
      <c r="E1267">
        <v>869</v>
      </c>
    </row>
    <row r="1268" spans="3:5" ht="14.1" customHeight="1">
      <c r="C1268">
        <v>2467</v>
      </c>
      <c r="D1268" t="s">
        <v>1651</v>
      </c>
      <c r="E1268">
        <v>665</v>
      </c>
    </row>
    <row r="1269" spans="3:5" ht="14.1" customHeight="1">
      <c r="C1269">
        <v>1263</v>
      </c>
      <c r="D1269" t="s">
        <v>1652</v>
      </c>
      <c r="E1269">
        <v>472</v>
      </c>
    </row>
    <row r="1270" spans="3:5" ht="14.1" customHeight="1">
      <c r="C1270">
        <v>1512</v>
      </c>
      <c r="D1270" t="s">
        <v>1653</v>
      </c>
      <c r="E1270">
        <v>761</v>
      </c>
    </row>
    <row r="1271" spans="3:5" ht="14.1" customHeight="1">
      <c r="C1271">
        <v>1657</v>
      </c>
      <c r="D1271" t="s">
        <v>1654</v>
      </c>
      <c r="E1271">
        <v>635</v>
      </c>
    </row>
    <row r="1272" spans="3:5" ht="14.1" customHeight="1">
      <c r="C1272">
        <v>1891</v>
      </c>
      <c r="D1272" t="s">
        <v>1655</v>
      </c>
      <c r="E1272">
        <v>421</v>
      </c>
    </row>
    <row r="1273" spans="3:5" ht="14.1" customHeight="1">
      <c r="C1273">
        <v>3266</v>
      </c>
      <c r="D1273" t="s">
        <v>1656</v>
      </c>
      <c r="E1273">
        <v>0</v>
      </c>
    </row>
    <row r="1274" spans="3:5" ht="14.1" customHeight="1">
      <c r="C1274">
        <v>2357</v>
      </c>
      <c r="D1274" t="s">
        <v>1657</v>
      </c>
      <c r="E1274">
        <v>470</v>
      </c>
    </row>
    <row r="1275" spans="3:5" ht="14.1" customHeight="1">
      <c r="C1275">
        <v>2776</v>
      </c>
      <c r="D1275" t="s">
        <v>1658</v>
      </c>
      <c r="E1275">
        <v>462</v>
      </c>
    </row>
    <row r="1276" spans="3:5" ht="14.1" customHeight="1">
      <c r="C1276">
        <v>2312</v>
      </c>
      <c r="D1276" t="s">
        <v>1659</v>
      </c>
      <c r="E1276">
        <v>986</v>
      </c>
    </row>
    <row r="1277" spans="3:5" ht="14.1" customHeight="1">
      <c r="C1277">
        <v>182</v>
      </c>
      <c r="D1277" t="s">
        <v>145</v>
      </c>
      <c r="E1277">
        <v>480</v>
      </c>
    </row>
    <row r="1278" spans="3:5" ht="14.1" customHeight="1">
      <c r="C1278">
        <v>2462</v>
      </c>
      <c r="D1278" t="s">
        <v>1660</v>
      </c>
      <c r="E1278">
        <v>674</v>
      </c>
    </row>
    <row r="1279" spans="3:5" ht="14.1" customHeight="1">
      <c r="C1279">
        <v>928</v>
      </c>
      <c r="D1279" t="s">
        <v>1661</v>
      </c>
      <c r="E1279">
        <v>611</v>
      </c>
    </row>
    <row r="1280" spans="3:5" ht="14.1" customHeight="1">
      <c r="C1280">
        <v>33</v>
      </c>
      <c r="D1280" t="s">
        <v>452</v>
      </c>
      <c r="E1280">
        <v>983</v>
      </c>
    </row>
    <row r="1281" spans="3:5" ht="14.1" customHeight="1">
      <c r="C1281">
        <v>2385</v>
      </c>
      <c r="D1281" t="s">
        <v>1662</v>
      </c>
      <c r="E1281">
        <v>362</v>
      </c>
    </row>
    <row r="1282" spans="3:5" ht="14.1" customHeight="1">
      <c r="C1282">
        <v>4601</v>
      </c>
      <c r="D1282" t="s">
        <v>1663</v>
      </c>
      <c r="E1282">
        <v>488</v>
      </c>
    </row>
    <row r="1283" spans="3:5" ht="14.1" customHeight="1">
      <c r="C1283">
        <v>3131</v>
      </c>
      <c r="D1283" t="s">
        <v>1664</v>
      </c>
      <c r="E1283">
        <v>0</v>
      </c>
    </row>
    <row r="1284" spans="3:5" ht="14.1" customHeight="1">
      <c r="C1284">
        <v>1191</v>
      </c>
      <c r="D1284" t="s">
        <v>1665</v>
      </c>
      <c r="E1284">
        <v>568</v>
      </c>
    </row>
    <row r="1285" spans="3:5" ht="14.1" customHeight="1">
      <c r="C1285">
        <v>828</v>
      </c>
      <c r="D1285" t="s">
        <v>453</v>
      </c>
      <c r="E1285">
        <v>535</v>
      </c>
    </row>
    <row r="1286" spans="3:5" ht="14.1" customHeight="1">
      <c r="C1286">
        <v>829</v>
      </c>
      <c r="D1286" t="s">
        <v>454</v>
      </c>
      <c r="E1286">
        <v>535</v>
      </c>
    </row>
    <row r="1287" spans="3:5" ht="14.1" customHeight="1">
      <c r="C1287">
        <v>1829</v>
      </c>
      <c r="D1287" t="s">
        <v>1666</v>
      </c>
      <c r="E1287">
        <v>402</v>
      </c>
    </row>
    <row r="1288" spans="3:5" ht="14.1" customHeight="1">
      <c r="C1288">
        <v>344</v>
      </c>
      <c r="D1288" t="s">
        <v>146</v>
      </c>
      <c r="E1288">
        <v>406</v>
      </c>
    </row>
    <row r="1289" spans="3:5" ht="14.1" customHeight="1">
      <c r="C1289">
        <v>1132</v>
      </c>
      <c r="D1289" t="s">
        <v>1667</v>
      </c>
      <c r="E1289">
        <v>580</v>
      </c>
    </row>
    <row r="1290" spans="3:5" ht="14.1" customHeight="1">
      <c r="C1290">
        <v>5166</v>
      </c>
      <c r="D1290" t="s">
        <v>4246</v>
      </c>
      <c r="E1290">
        <v>580</v>
      </c>
    </row>
    <row r="1291" spans="3:5" ht="14.1" customHeight="1">
      <c r="C1291">
        <v>852</v>
      </c>
      <c r="D1291" t="s">
        <v>455</v>
      </c>
      <c r="E1291">
        <v>1086</v>
      </c>
    </row>
    <row r="1292" spans="3:5" ht="14.1" customHeight="1">
      <c r="C1292">
        <v>5163</v>
      </c>
      <c r="D1292" t="s">
        <v>4247</v>
      </c>
      <c r="E1292">
        <v>496</v>
      </c>
    </row>
    <row r="1293" spans="3:5" ht="14.1" customHeight="1">
      <c r="C1293">
        <v>5019</v>
      </c>
      <c r="D1293" t="s">
        <v>3891</v>
      </c>
      <c r="E1293">
        <v>495</v>
      </c>
    </row>
    <row r="1294" spans="3:5" ht="14.1" customHeight="1">
      <c r="C1294">
        <v>4499</v>
      </c>
      <c r="D1294" t="s">
        <v>3632</v>
      </c>
      <c r="E1294">
        <v>869</v>
      </c>
    </row>
    <row r="1295" spans="3:5" ht="14.1" customHeight="1">
      <c r="C1295">
        <v>1147</v>
      </c>
      <c r="D1295" t="s">
        <v>1668</v>
      </c>
      <c r="E1295">
        <v>498</v>
      </c>
    </row>
    <row r="1296" spans="3:5" ht="14.1" customHeight="1">
      <c r="C1296">
        <v>1148</v>
      </c>
      <c r="D1296" t="s">
        <v>1669</v>
      </c>
      <c r="E1296">
        <v>606</v>
      </c>
    </row>
    <row r="1297" spans="3:5" ht="14.1" customHeight="1">
      <c r="C1297">
        <v>214</v>
      </c>
      <c r="D1297" t="s">
        <v>1670</v>
      </c>
      <c r="E1297">
        <v>597</v>
      </c>
    </row>
    <row r="1298" spans="3:5" ht="14.1" customHeight="1">
      <c r="C1298">
        <v>472</v>
      </c>
      <c r="D1298" t="s">
        <v>456</v>
      </c>
      <c r="E1298">
        <v>740</v>
      </c>
    </row>
    <row r="1299" spans="3:5" ht="14.1" customHeight="1">
      <c r="C1299">
        <v>1401</v>
      </c>
      <c r="D1299" t="s">
        <v>1671</v>
      </c>
      <c r="E1299">
        <v>715</v>
      </c>
    </row>
    <row r="1300" spans="3:5" ht="14.1" customHeight="1">
      <c r="C1300">
        <v>4495</v>
      </c>
      <c r="D1300" t="s">
        <v>3633</v>
      </c>
      <c r="E1300">
        <v>841</v>
      </c>
    </row>
    <row r="1301" spans="3:5" ht="14.1" customHeight="1">
      <c r="C1301">
        <v>1458</v>
      </c>
      <c r="D1301" t="s">
        <v>1672</v>
      </c>
      <c r="E1301">
        <v>362</v>
      </c>
    </row>
    <row r="1302" spans="3:5" ht="14.1" customHeight="1">
      <c r="C1302">
        <v>4521</v>
      </c>
      <c r="D1302" t="s">
        <v>3634</v>
      </c>
      <c r="E1302">
        <v>681</v>
      </c>
    </row>
    <row r="1303" spans="3:5" ht="14.1" customHeight="1">
      <c r="C1303">
        <v>4457</v>
      </c>
      <c r="D1303" t="s">
        <v>3635</v>
      </c>
      <c r="E1303">
        <v>762</v>
      </c>
    </row>
    <row r="1304" spans="3:5" ht="14.1" customHeight="1">
      <c r="C1304">
        <v>784</v>
      </c>
      <c r="D1304" t="s">
        <v>457</v>
      </c>
      <c r="E1304">
        <v>1093</v>
      </c>
    </row>
    <row r="1305" spans="3:5" ht="14.1" customHeight="1">
      <c r="C1305">
        <v>4987</v>
      </c>
      <c r="D1305" t="s">
        <v>3892</v>
      </c>
      <c r="E1305">
        <v>0</v>
      </c>
    </row>
    <row r="1306" spans="3:5" ht="14.1" customHeight="1">
      <c r="C1306">
        <v>2820</v>
      </c>
      <c r="D1306" t="s">
        <v>1673</v>
      </c>
      <c r="E1306">
        <v>479</v>
      </c>
    </row>
    <row r="1307" spans="3:5" ht="14.1" customHeight="1">
      <c r="C1307">
        <v>4803</v>
      </c>
      <c r="D1307" t="s">
        <v>3893</v>
      </c>
      <c r="E1307">
        <v>364</v>
      </c>
    </row>
    <row r="1308" spans="3:5" ht="14.1" customHeight="1">
      <c r="C1308">
        <v>1885</v>
      </c>
      <c r="D1308" t="s">
        <v>1674</v>
      </c>
      <c r="E1308">
        <v>391</v>
      </c>
    </row>
    <row r="1309" spans="3:5" ht="14.1" customHeight="1">
      <c r="C1309">
        <v>4449</v>
      </c>
      <c r="D1309" t="s">
        <v>3636</v>
      </c>
      <c r="E1309">
        <v>432</v>
      </c>
    </row>
    <row r="1310" spans="3:5" ht="14.1" customHeight="1">
      <c r="C1310">
        <v>4159</v>
      </c>
      <c r="D1310" t="s">
        <v>1675</v>
      </c>
      <c r="E1310">
        <v>558</v>
      </c>
    </row>
    <row r="1311" spans="3:5" ht="14.1" customHeight="1">
      <c r="C1311">
        <v>999</v>
      </c>
      <c r="D1311" t="s">
        <v>1676</v>
      </c>
      <c r="E1311">
        <v>290</v>
      </c>
    </row>
    <row r="1312" spans="3:5" ht="14.1" customHeight="1">
      <c r="C1312">
        <v>4727</v>
      </c>
      <c r="D1312" t="s">
        <v>3894</v>
      </c>
      <c r="E1312">
        <v>447</v>
      </c>
    </row>
    <row r="1313" spans="3:5" ht="14.1" customHeight="1">
      <c r="C1313">
        <v>24</v>
      </c>
      <c r="D1313" t="s">
        <v>458</v>
      </c>
      <c r="E1313">
        <v>1002</v>
      </c>
    </row>
    <row r="1314" spans="3:5" ht="14.1" customHeight="1">
      <c r="C1314">
        <v>657</v>
      </c>
      <c r="D1314" t="s">
        <v>459</v>
      </c>
      <c r="E1314">
        <v>653</v>
      </c>
    </row>
    <row r="1315" spans="3:5" ht="14.1" customHeight="1">
      <c r="C1315">
        <v>2232</v>
      </c>
      <c r="D1315" t="s">
        <v>1677</v>
      </c>
      <c r="E1315">
        <v>470</v>
      </c>
    </row>
    <row r="1316" spans="3:5" ht="14.1" customHeight="1">
      <c r="C1316">
        <v>670</v>
      </c>
      <c r="D1316" t="s">
        <v>460</v>
      </c>
      <c r="E1316">
        <v>566</v>
      </c>
    </row>
    <row r="1317" spans="3:5" ht="14.1" customHeight="1">
      <c r="C1317">
        <v>2690</v>
      </c>
      <c r="D1317" t="s">
        <v>1678</v>
      </c>
      <c r="E1317">
        <v>640</v>
      </c>
    </row>
    <row r="1318" spans="3:5" ht="14.1" customHeight="1">
      <c r="C1318">
        <v>2093</v>
      </c>
      <c r="D1318" t="s">
        <v>1679</v>
      </c>
      <c r="E1318">
        <v>403</v>
      </c>
    </row>
    <row r="1319" spans="3:5" ht="14.1" customHeight="1">
      <c r="C1319">
        <v>2208</v>
      </c>
      <c r="D1319" t="s">
        <v>1680</v>
      </c>
      <c r="E1319">
        <v>500</v>
      </c>
    </row>
    <row r="1320" spans="3:5" ht="14.1" customHeight="1">
      <c r="C1320">
        <v>4133</v>
      </c>
      <c r="D1320" t="s">
        <v>1681</v>
      </c>
      <c r="E1320">
        <v>440</v>
      </c>
    </row>
    <row r="1321" spans="3:5" ht="14.1" customHeight="1">
      <c r="C1321">
        <v>1820</v>
      </c>
      <c r="D1321" t="s">
        <v>1682</v>
      </c>
      <c r="E1321">
        <v>365</v>
      </c>
    </row>
    <row r="1322" spans="3:5" ht="14.1" customHeight="1">
      <c r="C1322">
        <v>528</v>
      </c>
      <c r="D1322" t="s">
        <v>1683</v>
      </c>
      <c r="E1322">
        <v>603</v>
      </c>
    </row>
    <row r="1323" spans="3:5" ht="14.1" customHeight="1">
      <c r="C1323">
        <v>1835</v>
      </c>
      <c r="D1323" t="s">
        <v>1684</v>
      </c>
      <c r="E1323">
        <v>625</v>
      </c>
    </row>
    <row r="1324" spans="3:5" ht="14.1" customHeight="1">
      <c r="C1324">
        <v>795</v>
      </c>
      <c r="D1324" t="s">
        <v>1685</v>
      </c>
      <c r="E1324">
        <v>558</v>
      </c>
    </row>
    <row r="1325" spans="3:5" ht="14.1" customHeight="1">
      <c r="C1325">
        <v>2305</v>
      </c>
      <c r="D1325" t="s">
        <v>1686</v>
      </c>
      <c r="E1325">
        <v>476</v>
      </c>
    </row>
    <row r="1326" spans="3:5" ht="14.1" customHeight="1">
      <c r="C1326">
        <v>305</v>
      </c>
      <c r="D1326" t="s">
        <v>461</v>
      </c>
      <c r="E1326">
        <v>532</v>
      </c>
    </row>
    <row r="1327" spans="3:5" ht="14.1" customHeight="1">
      <c r="C1327">
        <v>672</v>
      </c>
      <c r="D1327" t="s">
        <v>462</v>
      </c>
      <c r="E1327">
        <v>1198</v>
      </c>
    </row>
    <row r="1328" spans="3:5" ht="14.1" customHeight="1">
      <c r="C1328">
        <v>673</v>
      </c>
      <c r="D1328" t="s">
        <v>463</v>
      </c>
      <c r="E1328">
        <v>952</v>
      </c>
    </row>
    <row r="1329" spans="3:5" ht="14.1" customHeight="1">
      <c r="C1329">
        <v>2619</v>
      </c>
      <c r="D1329" t="s">
        <v>1687</v>
      </c>
      <c r="E1329">
        <v>488</v>
      </c>
    </row>
    <row r="1330" spans="3:5" ht="14.1" customHeight="1">
      <c r="C1330">
        <v>1125</v>
      </c>
      <c r="D1330" t="s">
        <v>1688</v>
      </c>
      <c r="E1330">
        <v>526</v>
      </c>
    </row>
    <row r="1331" spans="3:5" ht="14.1" customHeight="1">
      <c r="C1331">
        <v>4460</v>
      </c>
      <c r="D1331" t="s">
        <v>3637</v>
      </c>
      <c r="E1331">
        <v>561</v>
      </c>
    </row>
    <row r="1332" spans="3:5" ht="14.1" customHeight="1">
      <c r="C1332">
        <v>4463</v>
      </c>
      <c r="D1332" t="s">
        <v>3638</v>
      </c>
      <c r="E1332">
        <v>577</v>
      </c>
    </row>
    <row r="1333" spans="3:5" ht="14.1" customHeight="1">
      <c r="C1333">
        <v>221</v>
      </c>
      <c r="D1333" t="s">
        <v>1689</v>
      </c>
      <c r="E1333">
        <v>647</v>
      </c>
    </row>
    <row r="1334" spans="3:5" ht="14.1" customHeight="1">
      <c r="C1334">
        <v>480</v>
      </c>
      <c r="D1334" t="s">
        <v>464</v>
      </c>
      <c r="E1334">
        <v>516</v>
      </c>
    </row>
    <row r="1335" spans="3:5" ht="14.1" customHeight="1">
      <c r="C1335">
        <v>1877</v>
      </c>
      <c r="D1335" t="s">
        <v>1690</v>
      </c>
      <c r="E1335">
        <v>700</v>
      </c>
    </row>
    <row r="1336" spans="3:5" ht="14.1" customHeight="1">
      <c r="C1336">
        <v>2426</v>
      </c>
      <c r="D1336" t="s">
        <v>1691</v>
      </c>
      <c r="E1336">
        <v>893</v>
      </c>
    </row>
    <row r="1337" spans="3:5" ht="14.1" customHeight="1">
      <c r="C1337">
        <v>4575</v>
      </c>
      <c r="D1337" t="s">
        <v>3895</v>
      </c>
      <c r="E1337">
        <v>448</v>
      </c>
    </row>
    <row r="1338" spans="3:5" ht="14.1" customHeight="1">
      <c r="C1338">
        <v>851</v>
      </c>
      <c r="D1338" t="s">
        <v>465</v>
      </c>
      <c r="E1338">
        <v>726</v>
      </c>
    </row>
    <row r="1339" spans="3:5" ht="14.1" customHeight="1">
      <c r="C1339">
        <v>817</v>
      </c>
      <c r="D1339" t="s">
        <v>466</v>
      </c>
      <c r="E1339">
        <v>431</v>
      </c>
    </row>
    <row r="1340" spans="3:5" ht="14.1" customHeight="1">
      <c r="C1340">
        <v>1220</v>
      </c>
      <c r="D1340" t="s">
        <v>1692</v>
      </c>
      <c r="E1340">
        <v>745</v>
      </c>
    </row>
    <row r="1341" spans="3:5" ht="14.1" customHeight="1">
      <c r="C1341">
        <v>2532</v>
      </c>
      <c r="D1341" t="s">
        <v>1693</v>
      </c>
      <c r="E1341">
        <v>560</v>
      </c>
    </row>
    <row r="1342" spans="3:5" ht="14.1" customHeight="1">
      <c r="C1342">
        <v>698</v>
      </c>
      <c r="D1342" t="s">
        <v>467</v>
      </c>
      <c r="E1342">
        <v>388</v>
      </c>
    </row>
    <row r="1343" spans="3:5" ht="14.1" customHeight="1">
      <c r="C1343">
        <v>294</v>
      </c>
      <c r="D1343" t="s">
        <v>468</v>
      </c>
      <c r="E1343">
        <v>784</v>
      </c>
    </row>
    <row r="1344" spans="3:5" ht="14.1" customHeight="1">
      <c r="C1344">
        <v>1209</v>
      </c>
      <c r="D1344" t="s">
        <v>1694</v>
      </c>
      <c r="E1344">
        <v>699</v>
      </c>
    </row>
    <row r="1345" spans="3:5" ht="14.1" customHeight="1">
      <c r="C1345">
        <v>1103</v>
      </c>
      <c r="D1345" t="s">
        <v>1695</v>
      </c>
      <c r="E1345">
        <v>667</v>
      </c>
    </row>
    <row r="1346" spans="3:5" ht="14.1" customHeight="1">
      <c r="C1346">
        <v>547</v>
      </c>
      <c r="D1346" t="s">
        <v>1696</v>
      </c>
      <c r="E1346">
        <v>1007</v>
      </c>
    </row>
    <row r="1347" spans="3:5" ht="14.1" customHeight="1">
      <c r="C1347">
        <v>4702</v>
      </c>
      <c r="D1347" t="s">
        <v>3896</v>
      </c>
      <c r="E1347">
        <v>0</v>
      </c>
    </row>
    <row r="1348" spans="3:5" ht="14.1" customHeight="1">
      <c r="C1348">
        <v>4976</v>
      </c>
      <c r="D1348" t="s">
        <v>3897</v>
      </c>
      <c r="E1348">
        <v>0</v>
      </c>
    </row>
    <row r="1349" spans="3:5" ht="14.1" customHeight="1">
      <c r="C1349">
        <v>1104</v>
      </c>
      <c r="D1349" t="s">
        <v>3774</v>
      </c>
      <c r="E1349">
        <v>764</v>
      </c>
    </row>
    <row r="1350" spans="3:5" ht="14.1" customHeight="1">
      <c r="C1350">
        <v>3321</v>
      </c>
      <c r="D1350" t="s">
        <v>1697</v>
      </c>
      <c r="E1350">
        <v>0</v>
      </c>
    </row>
    <row r="1351" spans="3:5" ht="14.1" customHeight="1">
      <c r="C1351">
        <v>2513</v>
      </c>
      <c r="D1351" t="s">
        <v>1698</v>
      </c>
      <c r="E1351">
        <v>387</v>
      </c>
    </row>
    <row r="1352" spans="3:5" ht="14.1" customHeight="1">
      <c r="C1352">
        <v>252</v>
      </c>
      <c r="D1352" t="s">
        <v>1699</v>
      </c>
      <c r="E1352">
        <v>595</v>
      </c>
    </row>
    <row r="1353" spans="3:5" ht="14.1" customHeight="1">
      <c r="C1353">
        <v>553</v>
      </c>
      <c r="D1353" t="s">
        <v>469</v>
      </c>
      <c r="E1353">
        <v>668</v>
      </c>
    </row>
    <row r="1354" spans="3:5" ht="14.1" customHeight="1">
      <c r="C1354">
        <v>3215</v>
      </c>
      <c r="D1354" t="s">
        <v>1700</v>
      </c>
      <c r="E1354">
        <v>0</v>
      </c>
    </row>
    <row r="1355" spans="3:5" ht="14.1" customHeight="1">
      <c r="C1355">
        <v>863</v>
      </c>
      <c r="D1355" t="s">
        <v>1701</v>
      </c>
      <c r="E1355">
        <v>867</v>
      </c>
    </row>
    <row r="1356" spans="3:5" ht="14.1" customHeight="1">
      <c r="C1356">
        <v>2732</v>
      </c>
      <c r="D1356" t="s">
        <v>1702</v>
      </c>
      <c r="E1356">
        <v>628</v>
      </c>
    </row>
    <row r="1357" spans="3:5" ht="14.1" customHeight="1">
      <c r="C1357">
        <v>834</v>
      </c>
      <c r="D1357" t="s">
        <v>470</v>
      </c>
      <c r="E1357">
        <v>494</v>
      </c>
    </row>
    <row r="1358" spans="3:5" ht="14.1" customHeight="1">
      <c r="C1358">
        <v>5194</v>
      </c>
      <c r="D1358" t="s">
        <v>4248</v>
      </c>
      <c r="E1358">
        <v>625</v>
      </c>
    </row>
    <row r="1359" spans="3:5" ht="14.1" customHeight="1">
      <c r="C1359">
        <v>5183</v>
      </c>
      <c r="D1359" t="s">
        <v>4249</v>
      </c>
      <c r="E1359">
        <v>499</v>
      </c>
    </row>
    <row r="1360" spans="3:5" ht="14.1" customHeight="1">
      <c r="C1360">
        <v>2759</v>
      </c>
      <c r="D1360" t="s">
        <v>1703</v>
      </c>
      <c r="E1360">
        <v>588</v>
      </c>
    </row>
    <row r="1361" spans="3:5" ht="14.1" customHeight="1">
      <c r="C1361">
        <v>2744</v>
      </c>
      <c r="D1361" t="s">
        <v>1704</v>
      </c>
      <c r="E1361">
        <v>664</v>
      </c>
    </row>
    <row r="1362" spans="3:5" ht="14.1" customHeight="1">
      <c r="C1362">
        <v>2475</v>
      </c>
      <c r="D1362" t="s">
        <v>1705</v>
      </c>
      <c r="E1362">
        <v>642</v>
      </c>
    </row>
    <row r="1363" spans="3:5" ht="14.1" customHeight="1">
      <c r="C1363">
        <v>12</v>
      </c>
      <c r="D1363" t="s">
        <v>147</v>
      </c>
      <c r="E1363">
        <v>329</v>
      </c>
    </row>
    <row r="1364" spans="3:5" ht="14.1" customHeight="1">
      <c r="C1364">
        <v>4938</v>
      </c>
      <c r="D1364" t="s">
        <v>3898</v>
      </c>
      <c r="E1364">
        <v>371</v>
      </c>
    </row>
    <row r="1365" spans="3:5" ht="14.1" customHeight="1">
      <c r="C1365">
        <v>2387</v>
      </c>
      <c r="D1365" t="s">
        <v>1706</v>
      </c>
      <c r="E1365">
        <v>349</v>
      </c>
    </row>
    <row r="1366" spans="3:5" ht="14.1" customHeight="1">
      <c r="C1366">
        <v>2390</v>
      </c>
      <c r="D1366" t="s">
        <v>1707</v>
      </c>
      <c r="E1366">
        <v>350</v>
      </c>
    </row>
    <row r="1367" spans="3:5" ht="14.1" customHeight="1">
      <c r="C1367">
        <v>2786</v>
      </c>
      <c r="D1367" t="s">
        <v>1708</v>
      </c>
      <c r="E1367">
        <v>500</v>
      </c>
    </row>
    <row r="1368" spans="3:5" ht="14.1" customHeight="1">
      <c r="C1368">
        <v>1244</v>
      </c>
      <c r="D1368" t="s">
        <v>1709</v>
      </c>
      <c r="E1368">
        <v>431</v>
      </c>
    </row>
    <row r="1369" spans="3:5" ht="14.1" customHeight="1">
      <c r="C1369">
        <v>868</v>
      </c>
      <c r="D1369" t="s">
        <v>471</v>
      </c>
      <c r="E1369">
        <v>548</v>
      </c>
    </row>
    <row r="1370" spans="3:5" ht="14.1" customHeight="1">
      <c r="C1370">
        <v>1107</v>
      </c>
      <c r="D1370" t="s">
        <v>1710</v>
      </c>
      <c r="E1370">
        <v>510</v>
      </c>
    </row>
    <row r="1371" spans="3:5" ht="14.1" customHeight="1">
      <c r="C1371">
        <v>2603</v>
      </c>
      <c r="D1371" t="s">
        <v>1711</v>
      </c>
      <c r="E1371">
        <v>481</v>
      </c>
    </row>
    <row r="1372" spans="3:5" ht="14.1" customHeight="1">
      <c r="C1372">
        <v>1887</v>
      </c>
      <c r="D1372" t="s">
        <v>1712</v>
      </c>
      <c r="E1372">
        <v>508</v>
      </c>
    </row>
    <row r="1373" spans="3:5" ht="14.1" customHeight="1">
      <c r="C1373">
        <v>5000</v>
      </c>
      <c r="D1373" t="s">
        <v>3899</v>
      </c>
      <c r="E1373">
        <v>543</v>
      </c>
    </row>
    <row r="1374" spans="3:5" ht="14.1" customHeight="1">
      <c r="C1374">
        <v>1123</v>
      </c>
      <c r="D1374" t="s">
        <v>1713</v>
      </c>
      <c r="E1374">
        <v>658</v>
      </c>
    </row>
    <row r="1375" spans="3:5" ht="14.1" customHeight="1">
      <c r="C1375">
        <v>448</v>
      </c>
      <c r="D1375" t="s">
        <v>272</v>
      </c>
      <c r="E1375">
        <v>578</v>
      </c>
    </row>
    <row r="1376" spans="3:5" ht="14.1" customHeight="1">
      <c r="C1376">
        <v>1482</v>
      </c>
      <c r="D1376" t="s">
        <v>1714</v>
      </c>
      <c r="E1376">
        <v>578</v>
      </c>
    </row>
    <row r="1377" spans="3:5" ht="14.1" customHeight="1">
      <c r="C1377">
        <v>2714</v>
      </c>
      <c r="D1377" t="s">
        <v>1715</v>
      </c>
      <c r="E1377">
        <v>599</v>
      </c>
    </row>
    <row r="1378" spans="3:5" ht="14.1" customHeight="1">
      <c r="C1378">
        <v>4691</v>
      </c>
      <c r="D1378" t="s">
        <v>3900</v>
      </c>
      <c r="E1378">
        <v>0</v>
      </c>
    </row>
    <row r="1379" spans="3:5" ht="14.1" customHeight="1">
      <c r="C1379">
        <v>888</v>
      </c>
      <c r="D1379" t="s">
        <v>472</v>
      </c>
      <c r="E1379">
        <v>754</v>
      </c>
    </row>
    <row r="1380" spans="3:5" ht="14.1" customHeight="1">
      <c r="C1380">
        <v>4777</v>
      </c>
      <c r="D1380" t="s">
        <v>3901</v>
      </c>
      <c r="E1380">
        <v>590</v>
      </c>
    </row>
    <row r="1381" spans="3:5" ht="14.1" customHeight="1">
      <c r="C1381">
        <v>4960</v>
      </c>
      <c r="D1381" t="s">
        <v>3902</v>
      </c>
      <c r="E1381">
        <v>419</v>
      </c>
    </row>
    <row r="1382" spans="3:5" ht="14.1" customHeight="1">
      <c r="C1382">
        <v>1748</v>
      </c>
      <c r="D1382" t="s">
        <v>1716</v>
      </c>
      <c r="E1382">
        <v>948</v>
      </c>
    </row>
    <row r="1383" spans="3:5" ht="14.1" customHeight="1">
      <c r="C1383">
        <v>2585</v>
      </c>
      <c r="D1383" t="s">
        <v>1717</v>
      </c>
      <c r="E1383">
        <v>567</v>
      </c>
    </row>
    <row r="1384" spans="3:5" ht="14.1" customHeight="1">
      <c r="C1384">
        <v>650</v>
      </c>
      <c r="D1384" t="s">
        <v>473</v>
      </c>
      <c r="E1384">
        <v>564</v>
      </c>
    </row>
    <row r="1385" spans="3:5" ht="14.1" customHeight="1">
      <c r="C1385">
        <v>3057</v>
      </c>
      <c r="D1385" t="s">
        <v>1718</v>
      </c>
      <c r="E1385">
        <v>0</v>
      </c>
    </row>
    <row r="1386" spans="3:5" ht="14.1" customHeight="1">
      <c r="C1386">
        <v>2090</v>
      </c>
      <c r="D1386" t="s">
        <v>1719</v>
      </c>
      <c r="E1386">
        <v>502</v>
      </c>
    </row>
    <row r="1387" spans="3:5" ht="14.1" customHeight="1">
      <c r="C1387">
        <v>2091</v>
      </c>
      <c r="D1387" t="s">
        <v>1720</v>
      </c>
      <c r="E1387">
        <v>402</v>
      </c>
    </row>
    <row r="1388" spans="3:5" ht="14.1" customHeight="1">
      <c r="C1388">
        <v>4413</v>
      </c>
      <c r="D1388" t="s">
        <v>474</v>
      </c>
      <c r="E1388">
        <v>844</v>
      </c>
    </row>
    <row r="1389" spans="3:5" ht="14.1" customHeight="1">
      <c r="C1389">
        <v>502</v>
      </c>
      <c r="D1389" t="s">
        <v>475</v>
      </c>
      <c r="E1389">
        <v>469</v>
      </c>
    </row>
    <row r="1390" spans="3:5" ht="14.1" customHeight="1">
      <c r="C1390">
        <v>4450</v>
      </c>
      <c r="D1390" t="s">
        <v>3639</v>
      </c>
      <c r="E1390">
        <v>395</v>
      </c>
    </row>
    <row r="1391" spans="3:5" ht="14.1" customHeight="1">
      <c r="C1391">
        <v>4446</v>
      </c>
      <c r="D1391" t="s">
        <v>3640</v>
      </c>
      <c r="E1391">
        <v>420</v>
      </c>
    </row>
    <row r="1392" spans="3:5" ht="14.1" customHeight="1">
      <c r="C1392">
        <v>538</v>
      </c>
      <c r="D1392" t="s">
        <v>476</v>
      </c>
      <c r="E1392">
        <v>716</v>
      </c>
    </row>
    <row r="1393" spans="3:5" ht="14.1" customHeight="1">
      <c r="C1393">
        <v>1921</v>
      </c>
      <c r="D1393" t="s">
        <v>1721</v>
      </c>
      <c r="E1393">
        <v>458</v>
      </c>
    </row>
    <row r="1394" spans="3:5" ht="14.1" customHeight="1">
      <c r="C1394">
        <v>2041</v>
      </c>
      <c r="D1394" t="s">
        <v>1722</v>
      </c>
      <c r="E1394">
        <v>583</v>
      </c>
    </row>
    <row r="1395" spans="3:5" ht="14.1" customHeight="1">
      <c r="C1395">
        <v>1854</v>
      </c>
      <c r="D1395" t="s">
        <v>1723</v>
      </c>
      <c r="E1395">
        <v>671</v>
      </c>
    </row>
    <row r="1396" spans="3:5" ht="14.1" customHeight="1">
      <c r="C1396">
        <v>2607</v>
      </c>
      <c r="D1396" t="s">
        <v>1724</v>
      </c>
      <c r="E1396">
        <v>558</v>
      </c>
    </row>
    <row r="1397" spans="3:5" ht="14.1" customHeight="1">
      <c r="C1397">
        <v>3324</v>
      </c>
      <c r="D1397" t="s">
        <v>1725</v>
      </c>
      <c r="E1397">
        <v>0</v>
      </c>
    </row>
    <row r="1398" spans="3:5" ht="14.1" customHeight="1">
      <c r="C1398">
        <v>968</v>
      </c>
      <c r="D1398" t="s">
        <v>1726</v>
      </c>
      <c r="E1398">
        <v>433</v>
      </c>
    </row>
    <row r="1399" spans="3:5" ht="14.1" customHeight="1">
      <c r="C1399">
        <v>572</v>
      </c>
      <c r="D1399" t="s">
        <v>477</v>
      </c>
      <c r="E1399">
        <v>516</v>
      </c>
    </row>
    <row r="1400" spans="3:5" ht="14.1" customHeight="1">
      <c r="C1400">
        <v>3034</v>
      </c>
      <c r="D1400" t="s">
        <v>1727</v>
      </c>
      <c r="E1400">
        <v>0</v>
      </c>
    </row>
    <row r="1401" spans="3:5" ht="14.1" customHeight="1">
      <c r="C1401">
        <v>1818</v>
      </c>
      <c r="D1401" t="s">
        <v>1728</v>
      </c>
      <c r="E1401">
        <v>336</v>
      </c>
    </row>
    <row r="1402" spans="3:5" ht="14.1" customHeight="1">
      <c r="C1402">
        <v>3286</v>
      </c>
      <c r="D1402" t="s">
        <v>1729</v>
      </c>
      <c r="E1402">
        <v>0</v>
      </c>
    </row>
    <row r="1403" spans="3:5" ht="14.1" customHeight="1">
      <c r="C1403">
        <v>1925</v>
      </c>
      <c r="D1403" t="s">
        <v>1730</v>
      </c>
      <c r="E1403">
        <v>570</v>
      </c>
    </row>
    <row r="1404" spans="3:5" ht="14.1" customHeight="1">
      <c r="C1404">
        <v>2908</v>
      </c>
      <c r="D1404" t="s">
        <v>1731</v>
      </c>
      <c r="E1404">
        <v>438</v>
      </c>
    </row>
    <row r="1405" spans="3:5" ht="14.1" customHeight="1">
      <c r="C1405">
        <v>4326</v>
      </c>
      <c r="D1405" t="s">
        <v>1732</v>
      </c>
      <c r="E1405">
        <v>750</v>
      </c>
    </row>
    <row r="1406" spans="3:5" ht="14.1" customHeight="1">
      <c r="C1406">
        <v>119</v>
      </c>
      <c r="D1406" t="s">
        <v>478</v>
      </c>
      <c r="E1406">
        <v>1095</v>
      </c>
    </row>
    <row r="1407" spans="3:5" ht="14.1" customHeight="1">
      <c r="C1407">
        <v>1271</v>
      </c>
      <c r="D1407" t="s">
        <v>1733</v>
      </c>
      <c r="E1407">
        <v>440</v>
      </c>
    </row>
    <row r="1408" spans="3:5" ht="14.1" customHeight="1">
      <c r="C1408">
        <v>1274</v>
      </c>
      <c r="D1408" t="s">
        <v>1734</v>
      </c>
      <c r="E1408">
        <v>427</v>
      </c>
    </row>
    <row r="1409" spans="3:5" ht="14.1" customHeight="1">
      <c r="C1409">
        <v>2120</v>
      </c>
      <c r="D1409" t="s">
        <v>1735</v>
      </c>
      <c r="E1409">
        <v>630</v>
      </c>
    </row>
    <row r="1410" spans="3:5" ht="14.1" customHeight="1">
      <c r="C1410">
        <v>2985</v>
      </c>
      <c r="D1410" t="s">
        <v>1736</v>
      </c>
      <c r="E1410">
        <v>589</v>
      </c>
    </row>
    <row r="1411" spans="3:5" ht="14.1" customHeight="1">
      <c r="C1411">
        <v>4453</v>
      </c>
      <c r="D1411" t="s">
        <v>3641</v>
      </c>
      <c r="E1411">
        <v>419</v>
      </c>
    </row>
    <row r="1412" spans="3:5" ht="14.1" customHeight="1">
      <c r="C1412">
        <v>1490</v>
      </c>
      <c r="D1412" t="s">
        <v>1737</v>
      </c>
      <c r="E1412">
        <v>666</v>
      </c>
    </row>
    <row r="1413" spans="3:5" ht="14.1" customHeight="1">
      <c r="C1413">
        <v>2485</v>
      </c>
      <c r="D1413" t="s">
        <v>1738</v>
      </c>
      <c r="E1413">
        <v>666</v>
      </c>
    </row>
    <row r="1414" spans="3:5" ht="14.1" customHeight="1">
      <c r="C1414">
        <v>2310</v>
      </c>
      <c r="D1414" t="s">
        <v>1739</v>
      </c>
      <c r="E1414">
        <v>1111</v>
      </c>
    </row>
    <row r="1415" spans="3:5" ht="14.1" customHeight="1">
      <c r="C1415">
        <v>2019</v>
      </c>
      <c r="D1415" t="s">
        <v>1740</v>
      </c>
      <c r="E1415">
        <v>466</v>
      </c>
    </row>
    <row r="1416" spans="3:5" ht="14.1" customHeight="1">
      <c r="C1416">
        <v>4350</v>
      </c>
      <c r="D1416" t="s">
        <v>3642</v>
      </c>
      <c r="E1416">
        <v>0</v>
      </c>
    </row>
    <row r="1417" spans="3:5" ht="14.1" customHeight="1">
      <c r="C1417">
        <v>1452</v>
      </c>
      <c r="D1417" t="s">
        <v>1741</v>
      </c>
      <c r="E1417">
        <v>527</v>
      </c>
    </row>
    <row r="1418" spans="3:5" ht="14.1" customHeight="1">
      <c r="C1418">
        <v>4225</v>
      </c>
      <c r="D1418" t="s">
        <v>1742</v>
      </c>
      <c r="E1418">
        <v>582</v>
      </c>
    </row>
    <row r="1419" spans="3:5" ht="14.1" customHeight="1">
      <c r="C1419">
        <v>1666</v>
      </c>
      <c r="D1419" t="s">
        <v>1743</v>
      </c>
      <c r="E1419">
        <v>903</v>
      </c>
    </row>
    <row r="1420" spans="3:5" ht="14.1" customHeight="1">
      <c r="C1420">
        <v>1485</v>
      </c>
      <c r="D1420" t="s">
        <v>1744</v>
      </c>
      <c r="E1420">
        <v>763</v>
      </c>
    </row>
    <row r="1421" spans="3:5" ht="14.1" customHeight="1">
      <c r="C1421">
        <v>4437</v>
      </c>
      <c r="D1421" t="s">
        <v>3643</v>
      </c>
      <c r="E1421">
        <v>495</v>
      </c>
    </row>
    <row r="1422" spans="3:5" ht="14.1" customHeight="1">
      <c r="C1422">
        <v>1667</v>
      </c>
      <c r="D1422" t="s">
        <v>1745</v>
      </c>
      <c r="E1422">
        <v>921</v>
      </c>
    </row>
    <row r="1423" spans="3:5" ht="14.1" customHeight="1">
      <c r="C1423">
        <v>1043</v>
      </c>
      <c r="D1423" t="s">
        <v>1746</v>
      </c>
      <c r="E1423">
        <v>864</v>
      </c>
    </row>
    <row r="1424" spans="3:5" ht="14.1" customHeight="1">
      <c r="C1424">
        <v>1935</v>
      </c>
      <c r="D1424" t="s">
        <v>1747</v>
      </c>
      <c r="E1424">
        <v>1045</v>
      </c>
    </row>
    <row r="1425" spans="3:5" ht="14.1" customHeight="1">
      <c r="C1425">
        <v>4980</v>
      </c>
      <c r="D1425" t="s">
        <v>3903</v>
      </c>
      <c r="E1425">
        <v>390</v>
      </c>
    </row>
    <row r="1426" spans="3:5" ht="14.1" customHeight="1">
      <c r="C1426">
        <v>1924</v>
      </c>
      <c r="D1426" t="s">
        <v>1748</v>
      </c>
      <c r="E1426">
        <v>571</v>
      </c>
    </row>
    <row r="1427" spans="3:5" ht="14.1" customHeight="1">
      <c r="C1427">
        <v>2102</v>
      </c>
      <c r="D1427" t="s">
        <v>1749</v>
      </c>
      <c r="E1427">
        <v>780</v>
      </c>
    </row>
    <row r="1428" spans="3:5" ht="14.1" customHeight="1">
      <c r="C1428">
        <v>2788</v>
      </c>
      <c r="D1428" t="s">
        <v>1750</v>
      </c>
      <c r="E1428">
        <v>598</v>
      </c>
    </row>
    <row r="1429" spans="3:5" ht="14.1" customHeight="1">
      <c r="C1429">
        <v>1783</v>
      </c>
      <c r="D1429" t="s">
        <v>1751</v>
      </c>
      <c r="E1429">
        <v>423</v>
      </c>
    </row>
    <row r="1430" spans="3:5" ht="14.1" customHeight="1">
      <c r="C1430">
        <v>1663</v>
      </c>
      <c r="D1430" t="s">
        <v>1752</v>
      </c>
      <c r="E1430">
        <v>668</v>
      </c>
    </row>
    <row r="1431" spans="3:5" ht="14.1" customHeight="1">
      <c r="C1431">
        <v>2036</v>
      </c>
      <c r="D1431" t="s">
        <v>1753</v>
      </c>
      <c r="E1431">
        <v>664</v>
      </c>
    </row>
    <row r="1432" spans="3:5" ht="14.1" customHeight="1">
      <c r="C1432">
        <v>1297</v>
      </c>
      <c r="D1432" t="s">
        <v>1754</v>
      </c>
      <c r="E1432">
        <v>398</v>
      </c>
    </row>
    <row r="1433" spans="3:5" ht="14.1" customHeight="1">
      <c r="C1433">
        <v>1791</v>
      </c>
      <c r="D1433" t="s">
        <v>1755</v>
      </c>
      <c r="E1433">
        <v>456</v>
      </c>
    </row>
    <row r="1434" spans="3:5" ht="14.1" customHeight="1">
      <c r="C1434">
        <v>1019</v>
      </c>
      <c r="D1434" t="s">
        <v>1756</v>
      </c>
      <c r="E1434">
        <v>899</v>
      </c>
    </row>
    <row r="1435" spans="3:5" ht="14.1" customHeight="1">
      <c r="C1435">
        <v>2238</v>
      </c>
      <c r="D1435" t="s">
        <v>1757</v>
      </c>
      <c r="E1435">
        <v>527</v>
      </c>
    </row>
    <row r="1436" spans="3:5" ht="14.1" customHeight="1">
      <c r="C1436">
        <v>2132</v>
      </c>
      <c r="D1436" t="s">
        <v>1758</v>
      </c>
      <c r="E1436">
        <v>503</v>
      </c>
    </row>
    <row r="1437" spans="3:5" ht="14.1" customHeight="1">
      <c r="C1437">
        <v>778</v>
      </c>
      <c r="D1437" t="s">
        <v>479</v>
      </c>
      <c r="E1437">
        <v>743</v>
      </c>
    </row>
    <row r="1438" spans="3:5" ht="14.1" customHeight="1">
      <c r="C1438">
        <v>2790</v>
      </c>
      <c r="D1438" t="s">
        <v>1759</v>
      </c>
      <c r="E1438">
        <v>595</v>
      </c>
    </row>
    <row r="1439" spans="3:5" ht="14.1" customHeight="1">
      <c r="C1439">
        <v>144</v>
      </c>
      <c r="D1439" t="s">
        <v>1760</v>
      </c>
      <c r="E1439">
        <v>926</v>
      </c>
    </row>
    <row r="1440" spans="3:5" ht="14.1" customHeight="1">
      <c r="C1440">
        <v>1998</v>
      </c>
      <c r="D1440" t="s">
        <v>1761</v>
      </c>
      <c r="E1440">
        <v>438</v>
      </c>
    </row>
    <row r="1441" spans="3:5" ht="14.1" customHeight="1">
      <c r="C1441">
        <v>401</v>
      </c>
      <c r="D1441" t="s">
        <v>480</v>
      </c>
      <c r="E1441">
        <v>578</v>
      </c>
    </row>
    <row r="1442" spans="3:5" ht="14.1" customHeight="1">
      <c r="C1442">
        <v>236</v>
      </c>
      <c r="D1442" t="s">
        <v>481</v>
      </c>
      <c r="E1442">
        <v>296</v>
      </c>
    </row>
    <row r="1443" spans="3:5" ht="14.1" customHeight="1">
      <c r="C1443">
        <v>3147</v>
      </c>
      <c r="D1443" t="s">
        <v>1762</v>
      </c>
      <c r="E1443">
        <v>0</v>
      </c>
    </row>
    <row r="1444" spans="3:5" ht="14.1" customHeight="1">
      <c r="C1444">
        <v>5149</v>
      </c>
      <c r="D1444" t="s">
        <v>4250</v>
      </c>
      <c r="E1444">
        <v>652</v>
      </c>
    </row>
    <row r="1445" spans="3:5" ht="14.1" customHeight="1">
      <c r="C1445">
        <v>1394</v>
      </c>
      <c r="D1445" t="s">
        <v>1763</v>
      </c>
      <c r="E1445">
        <v>692</v>
      </c>
    </row>
    <row r="1446" spans="3:5" ht="14.1" customHeight="1">
      <c r="C1446">
        <v>2118</v>
      </c>
      <c r="D1446" t="s">
        <v>1764</v>
      </c>
      <c r="E1446">
        <v>953</v>
      </c>
    </row>
    <row r="1447" spans="3:5" ht="14.1" customHeight="1">
      <c r="C1447">
        <v>5153</v>
      </c>
      <c r="D1447" t="s">
        <v>4251</v>
      </c>
      <c r="E1447">
        <v>0</v>
      </c>
    </row>
    <row r="1448" spans="3:5" ht="14.1" customHeight="1">
      <c r="C1448">
        <v>146</v>
      </c>
      <c r="D1448" t="s">
        <v>148</v>
      </c>
      <c r="E1448">
        <v>761</v>
      </c>
    </row>
    <row r="1449" spans="3:5" ht="14.1" customHeight="1">
      <c r="C1449">
        <v>3092</v>
      </c>
      <c r="D1449" t="s">
        <v>1765</v>
      </c>
      <c r="E1449">
        <v>0</v>
      </c>
    </row>
    <row r="1450" spans="3:5" ht="14.1" customHeight="1">
      <c r="C1450">
        <v>4935</v>
      </c>
      <c r="D1450" t="s">
        <v>3904</v>
      </c>
      <c r="E1450">
        <v>682</v>
      </c>
    </row>
    <row r="1451" spans="3:5" ht="14.1" customHeight="1">
      <c r="C1451">
        <v>4816</v>
      </c>
      <c r="D1451" t="s">
        <v>3905</v>
      </c>
      <c r="E1451">
        <v>615</v>
      </c>
    </row>
    <row r="1452" spans="3:5" ht="14.1" customHeight="1">
      <c r="C1452">
        <v>2057</v>
      </c>
      <c r="D1452" t="s">
        <v>1766</v>
      </c>
      <c r="E1452">
        <v>693</v>
      </c>
    </row>
    <row r="1453" spans="3:5" ht="14.1" customHeight="1">
      <c r="C1453">
        <v>1732</v>
      </c>
      <c r="D1453" t="s">
        <v>1767</v>
      </c>
      <c r="E1453">
        <v>602</v>
      </c>
    </row>
    <row r="1454" spans="3:5" ht="14.1" customHeight="1">
      <c r="C1454">
        <v>5048</v>
      </c>
      <c r="D1454" t="s">
        <v>4252</v>
      </c>
      <c r="E1454">
        <v>410</v>
      </c>
    </row>
    <row r="1455" spans="3:5" ht="14.1" customHeight="1">
      <c r="C1455">
        <v>841</v>
      </c>
      <c r="D1455" t="s">
        <v>482</v>
      </c>
      <c r="E1455">
        <v>860</v>
      </c>
    </row>
    <row r="1456" spans="3:5" ht="14.1" customHeight="1">
      <c r="C1456">
        <v>4972</v>
      </c>
      <c r="D1456" t="s">
        <v>3906</v>
      </c>
      <c r="E1456">
        <v>691</v>
      </c>
    </row>
    <row r="1457" spans="3:5" ht="14.1" customHeight="1">
      <c r="C1457">
        <v>2443</v>
      </c>
      <c r="D1457" t="s">
        <v>1768</v>
      </c>
      <c r="E1457">
        <v>690</v>
      </c>
    </row>
    <row r="1458" spans="3:5" ht="14.1" customHeight="1">
      <c r="C1458">
        <v>1167</v>
      </c>
      <c r="D1458" t="s">
        <v>1769</v>
      </c>
      <c r="E1458">
        <v>864</v>
      </c>
    </row>
    <row r="1459" spans="3:5" ht="14.1" customHeight="1">
      <c r="C1459">
        <v>5161</v>
      </c>
      <c r="D1459" t="s">
        <v>4253</v>
      </c>
      <c r="E1459">
        <v>463</v>
      </c>
    </row>
    <row r="1460" spans="3:5" ht="14.1" customHeight="1">
      <c r="C1460">
        <v>4249</v>
      </c>
      <c r="D1460" t="s">
        <v>3644</v>
      </c>
      <c r="E1460">
        <v>355</v>
      </c>
    </row>
    <row r="1461" spans="3:5" ht="14.1" customHeight="1">
      <c r="C1461">
        <v>397</v>
      </c>
      <c r="D1461" t="s">
        <v>483</v>
      </c>
      <c r="E1461">
        <v>543</v>
      </c>
    </row>
    <row r="1462" spans="3:5" ht="14.1" customHeight="1">
      <c r="C1462">
        <v>1208</v>
      </c>
      <c r="D1462" t="s">
        <v>1770</v>
      </c>
      <c r="E1462">
        <v>709</v>
      </c>
    </row>
    <row r="1463" spans="3:5" ht="14.1" customHeight="1">
      <c r="C1463">
        <v>455</v>
      </c>
      <c r="D1463" t="s">
        <v>273</v>
      </c>
      <c r="E1463">
        <v>486</v>
      </c>
    </row>
    <row r="1464" spans="3:5" ht="14.1" customHeight="1">
      <c r="C1464">
        <v>2827</v>
      </c>
      <c r="D1464" t="s">
        <v>1771</v>
      </c>
      <c r="E1464">
        <v>513</v>
      </c>
    </row>
    <row r="1465" spans="3:5" ht="14.1" customHeight="1">
      <c r="C1465">
        <v>3331</v>
      </c>
      <c r="D1465" t="s">
        <v>1772</v>
      </c>
      <c r="E1465">
        <v>0</v>
      </c>
    </row>
    <row r="1466" spans="3:5" ht="14.1" customHeight="1">
      <c r="C1466">
        <v>4640</v>
      </c>
      <c r="D1466" t="s">
        <v>3907</v>
      </c>
      <c r="E1466">
        <v>514</v>
      </c>
    </row>
    <row r="1467" spans="3:5" ht="14.1" customHeight="1">
      <c r="C1467">
        <v>1926</v>
      </c>
      <c r="D1467" t="s">
        <v>1773</v>
      </c>
      <c r="E1467">
        <v>570</v>
      </c>
    </row>
    <row r="1468" spans="3:5" ht="14.1" customHeight="1">
      <c r="C1468">
        <v>2356</v>
      </c>
      <c r="D1468" t="s">
        <v>1774</v>
      </c>
      <c r="E1468">
        <v>540</v>
      </c>
    </row>
    <row r="1469" spans="3:5" ht="14.1" customHeight="1">
      <c r="C1469">
        <v>889</v>
      </c>
      <c r="D1469" t="s">
        <v>484</v>
      </c>
      <c r="E1469">
        <v>669</v>
      </c>
    </row>
    <row r="1470" spans="3:5" ht="14.1" customHeight="1">
      <c r="C1470">
        <v>2957</v>
      </c>
      <c r="D1470" t="s">
        <v>1775</v>
      </c>
      <c r="E1470">
        <v>537</v>
      </c>
    </row>
    <row r="1471" spans="3:5" ht="14.1" customHeight="1">
      <c r="C1471">
        <v>4753</v>
      </c>
      <c r="D1471" t="s">
        <v>3908</v>
      </c>
      <c r="E1471">
        <v>608</v>
      </c>
    </row>
    <row r="1472" spans="3:5" ht="14.1" customHeight="1">
      <c r="C1472">
        <v>145</v>
      </c>
      <c r="D1472" t="s">
        <v>149</v>
      </c>
      <c r="E1472">
        <v>758</v>
      </c>
    </row>
    <row r="1473" spans="3:5" ht="14.1" customHeight="1">
      <c r="C1473">
        <v>1582</v>
      </c>
      <c r="D1473" t="s">
        <v>1776</v>
      </c>
      <c r="E1473">
        <v>767</v>
      </c>
    </row>
    <row r="1474" spans="3:5" ht="14.1" customHeight="1">
      <c r="C1474">
        <v>192</v>
      </c>
      <c r="D1474" t="s">
        <v>485</v>
      </c>
      <c r="E1474">
        <v>821</v>
      </c>
    </row>
    <row r="1475" spans="3:5" ht="14.1" customHeight="1">
      <c r="C1475">
        <v>1210</v>
      </c>
      <c r="D1475" t="s">
        <v>1777</v>
      </c>
      <c r="E1475">
        <v>664</v>
      </c>
    </row>
    <row r="1476" spans="3:5" ht="14.1" customHeight="1">
      <c r="C1476">
        <v>923</v>
      </c>
      <c r="D1476" t="s">
        <v>1778</v>
      </c>
      <c r="E1476">
        <v>611</v>
      </c>
    </row>
    <row r="1477" spans="3:5" ht="14.1" customHeight="1">
      <c r="C1477">
        <v>1218</v>
      </c>
      <c r="D1477" t="s">
        <v>1779</v>
      </c>
      <c r="E1477">
        <v>505</v>
      </c>
    </row>
    <row r="1478" spans="3:5" ht="14.1" customHeight="1">
      <c r="C1478">
        <v>193</v>
      </c>
      <c r="D1478" t="s">
        <v>1780</v>
      </c>
      <c r="E1478">
        <v>568</v>
      </c>
    </row>
    <row r="1479" spans="3:5" ht="14.1" customHeight="1">
      <c r="C1479">
        <v>2394</v>
      </c>
      <c r="D1479" t="s">
        <v>3909</v>
      </c>
      <c r="E1479">
        <v>425</v>
      </c>
    </row>
    <row r="1480" spans="3:5" ht="14.1" customHeight="1">
      <c r="C1480">
        <v>44</v>
      </c>
      <c r="D1480" t="s">
        <v>150</v>
      </c>
      <c r="E1480">
        <v>819</v>
      </c>
    </row>
    <row r="1481" spans="3:5" ht="14.1" customHeight="1">
      <c r="C1481">
        <v>3260</v>
      </c>
      <c r="D1481" t="s">
        <v>1781</v>
      </c>
      <c r="E1481">
        <v>632</v>
      </c>
    </row>
    <row r="1482" spans="3:5" ht="14.1" customHeight="1">
      <c r="C1482">
        <v>3218</v>
      </c>
      <c r="D1482" t="s">
        <v>1782</v>
      </c>
      <c r="E1482">
        <v>0</v>
      </c>
    </row>
    <row r="1483" spans="3:5" ht="14.1" customHeight="1">
      <c r="C1483">
        <v>731</v>
      </c>
      <c r="D1483" t="s">
        <v>486</v>
      </c>
      <c r="E1483">
        <v>751</v>
      </c>
    </row>
    <row r="1484" spans="3:5" ht="14.1" customHeight="1">
      <c r="C1484">
        <v>4639</v>
      </c>
      <c r="D1484" t="s">
        <v>3910</v>
      </c>
      <c r="E1484">
        <v>528</v>
      </c>
    </row>
    <row r="1485" spans="3:5" ht="14.1" customHeight="1">
      <c r="C1485">
        <v>4198</v>
      </c>
      <c r="D1485" t="s">
        <v>1783</v>
      </c>
      <c r="E1485">
        <v>442</v>
      </c>
    </row>
    <row r="1486" spans="3:5" ht="14.1" customHeight="1">
      <c r="C1486">
        <v>73</v>
      </c>
      <c r="D1486" t="s">
        <v>487</v>
      </c>
      <c r="E1486">
        <v>716</v>
      </c>
    </row>
    <row r="1487" spans="3:5" ht="14.1" customHeight="1">
      <c r="C1487">
        <v>4187</v>
      </c>
      <c r="D1487" t="s">
        <v>1784</v>
      </c>
      <c r="E1487">
        <v>441</v>
      </c>
    </row>
    <row r="1488" spans="3:5" ht="14.1" customHeight="1">
      <c r="C1488">
        <v>1959</v>
      </c>
      <c r="D1488" t="s">
        <v>1785</v>
      </c>
      <c r="E1488">
        <v>784</v>
      </c>
    </row>
    <row r="1489" spans="3:5" ht="14.1" customHeight="1">
      <c r="C1489">
        <v>2097</v>
      </c>
      <c r="D1489" t="s">
        <v>1786</v>
      </c>
      <c r="E1489">
        <v>460</v>
      </c>
    </row>
    <row r="1490" spans="3:5" ht="14.1" customHeight="1">
      <c r="C1490">
        <v>1920</v>
      </c>
      <c r="D1490" t="s">
        <v>1787</v>
      </c>
      <c r="E1490">
        <v>486</v>
      </c>
    </row>
    <row r="1491" spans="3:5" ht="14.1" customHeight="1">
      <c r="C1491">
        <v>2873</v>
      </c>
      <c r="D1491" t="s">
        <v>1788</v>
      </c>
      <c r="E1491">
        <v>361</v>
      </c>
    </row>
    <row r="1492" spans="3:5" ht="14.1" customHeight="1">
      <c r="C1492">
        <v>2269</v>
      </c>
      <c r="D1492" t="s">
        <v>1789</v>
      </c>
      <c r="E1492">
        <v>522</v>
      </c>
    </row>
    <row r="1493" spans="3:5" ht="14.1" customHeight="1">
      <c r="C1493">
        <v>3220</v>
      </c>
      <c r="D1493" t="s">
        <v>1790</v>
      </c>
      <c r="E1493">
        <v>0</v>
      </c>
    </row>
    <row r="1494" spans="3:5" ht="14.1" customHeight="1">
      <c r="C1494">
        <v>5079</v>
      </c>
      <c r="D1494" t="s">
        <v>4254</v>
      </c>
      <c r="E1494">
        <v>784</v>
      </c>
    </row>
    <row r="1495" spans="3:5" ht="14.1" customHeight="1">
      <c r="C1495">
        <v>2612</v>
      </c>
      <c r="D1495" t="s">
        <v>1791</v>
      </c>
      <c r="E1495">
        <v>763</v>
      </c>
    </row>
    <row r="1496" spans="3:5" ht="14.1" customHeight="1">
      <c r="C1496">
        <v>3288</v>
      </c>
      <c r="D1496" t="s">
        <v>1792</v>
      </c>
      <c r="E1496">
        <v>0</v>
      </c>
    </row>
    <row r="1497" spans="3:5" ht="14.1" customHeight="1">
      <c r="C1497">
        <v>2640</v>
      </c>
      <c r="D1497" t="s">
        <v>1793</v>
      </c>
      <c r="E1497">
        <v>605</v>
      </c>
    </row>
    <row r="1498" spans="3:5" ht="14.1" customHeight="1">
      <c r="C1498">
        <v>676</v>
      </c>
      <c r="D1498" t="s">
        <v>488</v>
      </c>
      <c r="E1498">
        <v>875</v>
      </c>
    </row>
    <row r="1499" spans="3:5" ht="14.1" customHeight="1">
      <c r="C1499">
        <v>803</v>
      </c>
      <c r="D1499" t="s">
        <v>489</v>
      </c>
      <c r="E1499">
        <v>441</v>
      </c>
    </row>
    <row r="1500" spans="3:5" ht="14.1" customHeight="1">
      <c r="C1500">
        <v>2798</v>
      </c>
      <c r="D1500" t="s">
        <v>1794</v>
      </c>
      <c r="E1500">
        <v>495</v>
      </c>
    </row>
    <row r="1501" spans="3:5" ht="14.1" customHeight="1">
      <c r="C1501">
        <v>4147</v>
      </c>
      <c r="D1501" t="s">
        <v>1795</v>
      </c>
      <c r="E1501">
        <v>588</v>
      </c>
    </row>
    <row r="1502" spans="3:5" ht="14.1" customHeight="1">
      <c r="C1502">
        <v>4659</v>
      </c>
      <c r="D1502" t="s">
        <v>3911</v>
      </c>
      <c r="E1502">
        <v>1048</v>
      </c>
    </row>
    <row r="1503" spans="3:5" ht="14.1" customHeight="1">
      <c r="C1503">
        <v>2668</v>
      </c>
      <c r="D1503" t="s">
        <v>1796</v>
      </c>
      <c r="E1503">
        <v>565</v>
      </c>
    </row>
    <row r="1504" spans="3:5" ht="14.1" customHeight="1">
      <c r="C1504">
        <v>2</v>
      </c>
      <c r="D1504" t="s">
        <v>490</v>
      </c>
      <c r="E1504">
        <v>1151</v>
      </c>
    </row>
    <row r="1505" spans="3:5" ht="14.1" customHeight="1">
      <c r="C1505">
        <v>1538</v>
      </c>
      <c r="D1505" t="s">
        <v>1797</v>
      </c>
      <c r="E1505">
        <v>826</v>
      </c>
    </row>
    <row r="1506" spans="3:5" ht="14.1" customHeight="1">
      <c r="C1506">
        <v>4963</v>
      </c>
      <c r="D1506" t="s">
        <v>3912</v>
      </c>
      <c r="E1506">
        <v>815</v>
      </c>
    </row>
    <row r="1507" spans="3:5" ht="14.1" customHeight="1">
      <c r="C1507">
        <v>3203</v>
      </c>
      <c r="D1507" t="s">
        <v>1798</v>
      </c>
      <c r="E1507">
        <v>0</v>
      </c>
    </row>
    <row r="1508" spans="3:5" ht="14.1" customHeight="1">
      <c r="C1508">
        <v>1463</v>
      </c>
      <c r="D1508" t="s">
        <v>1799</v>
      </c>
      <c r="E1508">
        <v>451</v>
      </c>
    </row>
    <row r="1509" spans="3:5" ht="14.1" customHeight="1">
      <c r="C1509">
        <v>22</v>
      </c>
      <c r="D1509" t="s">
        <v>151</v>
      </c>
      <c r="E1509">
        <v>718</v>
      </c>
    </row>
    <row r="1510" spans="3:5" ht="14.1" customHeight="1">
      <c r="C1510">
        <v>1729</v>
      </c>
      <c r="D1510" t="s">
        <v>1800</v>
      </c>
      <c r="E1510">
        <v>682</v>
      </c>
    </row>
    <row r="1511" spans="3:5" ht="14.1" customHeight="1">
      <c r="C1511">
        <v>4947</v>
      </c>
      <c r="D1511" t="s">
        <v>3913</v>
      </c>
      <c r="E1511">
        <v>380</v>
      </c>
    </row>
    <row r="1512" spans="3:5" ht="14.1" customHeight="1">
      <c r="C1512">
        <v>244</v>
      </c>
      <c r="D1512" t="s">
        <v>491</v>
      </c>
      <c r="E1512">
        <v>641</v>
      </c>
    </row>
    <row r="1513" spans="3:5" ht="14.1" customHeight="1">
      <c r="C1513">
        <v>2023</v>
      </c>
      <c r="D1513" t="s">
        <v>1801</v>
      </c>
      <c r="E1513">
        <v>550</v>
      </c>
    </row>
    <row r="1514" spans="3:5" ht="14.1" customHeight="1">
      <c r="C1514">
        <v>5129</v>
      </c>
      <c r="D1514" t="s">
        <v>4255</v>
      </c>
      <c r="E1514">
        <v>560</v>
      </c>
    </row>
    <row r="1515" spans="3:5" ht="14.1" customHeight="1">
      <c r="C1515">
        <v>4784</v>
      </c>
      <c r="D1515" t="s">
        <v>3914</v>
      </c>
      <c r="E1515">
        <v>430</v>
      </c>
    </row>
    <row r="1516" spans="3:5" ht="14.1" customHeight="1">
      <c r="C1516">
        <v>493</v>
      </c>
      <c r="D1516" t="s">
        <v>1802</v>
      </c>
      <c r="E1516">
        <v>486</v>
      </c>
    </row>
    <row r="1517" spans="3:5" ht="14.1" customHeight="1">
      <c r="C1517">
        <v>5046</v>
      </c>
      <c r="D1517" t="s">
        <v>4256</v>
      </c>
      <c r="E1517">
        <v>478</v>
      </c>
    </row>
    <row r="1518" spans="3:5" ht="14.1" customHeight="1">
      <c r="C1518">
        <v>3123</v>
      </c>
      <c r="D1518" t="s">
        <v>1803</v>
      </c>
      <c r="E1518">
        <v>0</v>
      </c>
    </row>
    <row r="1519" spans="3:5" ht="14.1" customHeight="1">
      <c r="C1519">
        <v>4283</v>
      </c>
      <c r="D1519" t="s">
        <v>1804</v>
      </c>
      <c r="E1519">
        <v>455</v>
      </c>
    </row>
    <row r="1520" spans="3:5" ht="14.1" customHeight="1">
      <c r="C1520">
        <v>755</v>
      </c>
      <c r="D1520" t="s">
        <v>492</v>
      </c>
      <c r="E1520">
        <v>799</v>
      </c>
    </row>
    <row r="1521" spans="3:5" ht="14.1" customHeight="1">
      <c r="C1521">
        <v>2658</v>
      </c>
      <c r="D1521" t="s">
        <v>1805</v>
      </c>
      <c r="E1521">
        <v>576</v>
      </c>
    </row>
    <row r="1522" spans="3:5" ht="14.1" customHeight="1">
      <c r="C1522">
        <v>2659</v>
      </c>
      <c r="D1522" t="s">
        <v>1806</v>
      </c>
      <c r="E1522">
        <v>616</v>
      </c>
    </row>
    <row r="1523" spans="3:5" ht="14.1" customHeight="1">
      <c r="C1523">
        <v>450</v>
      </c>
      <c r="D1523" t="s">
        <v>274</v>
      </c>
      <c r="E1523">
        <v>549</v>
      </c>
    </row>
    <row r="1524" spans="3:5" ht="14.1" customHeight="1">
      <c r="C1524">
        <v>17</v>
      </c>
      <c r="D1524" t="s">
        <v>1807</v>
      </c>
      <c r="E1524">
        <v>624</v>
      </c>
    </row>
    <row r="1525" spans="3:5" ht="14.1" customHeight="1">
      <c r="C1525">
        <v>2669</v>
      </c>
      <c r="D1525" t="s">
        <v>1808</v>
      </c>
      <c r="E1525">
        <v>572</v>
      </c>
    </row>
    <row r="1526" spans="3:5" ht="14.1" customHeight="1">
      <c r="C1526">
        <v>4674</v>
      </c>
      <c r="D1526" t="s">
        <v>3915</v>
      </c>
      <c r="E1526">
        <v>609</v>
      </c>
    </row>
    <row r="1527" spans="3:5" ht="14.1" customHeight="1">
      <c r="C1527">
        <v>691</v>
      </c>
      <c r="D1527" t="s">
        <v>493</v>
      </c>
      <c r="E1527">
        <v>584</v>
      </c>
    </row>
    <row r="1528" spans="3:5" ht="14.1" customHeight="1">
      <c r="C1528">
        <v>3172</v>
      </c>
      <c r="D1528" t="s">
        <v>1809</v>
      </c>
      <c r="E1528">
        <v>0</v>
      </c>
    </row>
    <row r="1529" spans="3:5" ht="14.1" customHeight="1">
      <c r="C1529">
        <v>3151</v>
      </c>
      <c r="D1529" t="s">
        <v>1810</v>
      </c>
      <c r="E1529">
        <v>0</v>
      </c>
    </row>
    <row r="1530" spans="3:5" ht="14.1" customHeight="1">
      <c r="C1530">
        <v>1416</v>
      </c>
      <c r="D1530" t="s">
        <v>1811</v>
      </c>
      <c r="E1530">
        <v>586</v>
      </c>
    </row>
    <row r="1531" spans="3:5" ht="14.1" customHeight="1">
      <c r="C1531">
        <v>4298</v>
      </c>
      <c r="D1531" t="s">
        <v>1812</v>
      </c>
      <c r="E1531">
        <v>464</v>
      </c>
    </row>
    <row r="1532" spans="3:5" ht="14.1" customHeight="1">
      <c r="C1532">
        <v>1330</v>
      </c>
      <c r="D1532" t="s">
        <v>1813</v>
      </c>
      <c r="E1532">
        <v>607</v>
      </c>
    </row>
    <row r="1533" spans="3:5" ht="14.1" customHeight="1">
      <c r="C1533">
        <v>2890</v>
      </c>
      <c r="D1533" t="s">
        <v>1814</v>
      </c>
      <c r="E1533">
        <v>508</v>
      </c>
    </row>
    <row r="1534" spans="3:5" ht="14.1" customHeight="1">
      <c r="C1534">
        <v>1860</v>
      </c>
      <c r="D1534" t="s">
        <v>1815</v>
      </c>
      <c r="E1534">
        <v>565</v>
      </c>
    </row>
    <row r="1535" spans="3:5" ht="14.1" customHeight="1">
      <c r="C1535">
        <v>113</v>
      </c>
      <c r="D1535" t="s">
        <v>152</v>
      </c>
      <c r="E1535">
        <v>1000</v>
      </c>
    </row>
    <row r="1536" spans="3:5" ht="14.1" customHeight="1">
      <c r="C1536">
        <v>1442</v>
      </c>
      <c r="D1536" t="s">
        <v>1816</v>
      </c>
      <c r="E1536">
        <v>393</v>
      </c>
    </row>
    <row r="1537" spans="3:5" ht="14.1" customHeight="1">
      <c r="C1537">
        <v>4715</v>
      </c>
      <c r="D1537" t="s">
        <v>3916</v>
      </c>
      <c r="E1537">
        <v>491</v>
      </c>
    </row>
    <row r="1538" spans="3:5" ht="14.1" customHeight="1">
      <c r="C1538">
        <v>1006</v>
      </c>
      <c r="D1538" t="s">
        <v>1817</v>
      </c>
      <c r="E1538">
        <v>447</v>
      </c>
    </row>
    <row r="1539" spans="3:5" ht="14.1" customHeight="1">
      <c r="C1539">
        <v>4270</v>
      </c>
      <c r="D1539" t="s">
        <v>1818</v>
      </c>
      <c r="E1539">
        <v>483</v>
      </c>
    </row>
    <row r="1540" spans="3:5" ht="14.1" customHeight="1">
      <c r="C1540">
        <v>1308</v>
      </c>
      <c r="D1540" t="s">
        <v>1819</v>
      </c>
      <c r="E1540">
        <v>387</v>
      </c>
    </row>
    <row r="1541" spans="3:5" ht="14.1" customHeight="1">
      <c r="C1541">
        <v>2593</v>
      </c>
      <c r="D1541" t="s">
        <v>1820</v>
      </c>
      <c r="E1541">
        <v>637</v>
      </c>
    </row>
    <row r="1542" spans="3:5" ht="14.1" customHeight="1">
      <c r="C1542">
        <v>2622</v>
      </c>
      <c r="D1542" t="s">
        <v>1821</v>
      </c>
      <c r="E1542">
        <v>610</v>
      </c>
    </row>
    <row r="1543" spans="3:5" ht="14.1" customHeight="1">
      <c r="C1543">
        <v>3320</v>
      </c>
      <c r="D1543" t="s">
        <v>1822</v>
      </c>
      <c r="E1543">
        <v>0</v>
      </c>
    </row>
    <row r="1544" spans="3:5" ht="14.1" customHeight="1">
      <c r="C1544">
        <v>2280</v>
      </c>
      <c r="D1544" t="s">
        <v>1823</v>
      </c>
      <c r="E1544">
        <v>373</v>
      </c>
    </row>
    <row r="1545" spans="3:5" ht="14.1" customHeight="1">
      <c r="C1545">
        <v>2521</v>
      </c>
      <c r="D1545" t="s">
        <v>1824</v>
      </c>
      <c r="E1545">
        <v>397</v>
      </c>
    </row>
    <row r="1546" spans="3:5" ht="14.1" customHeight="1">
      <c r="C1546">
        <v>804</v>
      </c>
      <c r="D1546" t="s">
        <v>494</v>
      </c>
      <c r="E1546">
        <v>409</v>
      </c>
    </row>
    <row r="1547" spans="3:5" ht="14.1" customHeight="1">
      <c r="C1547">
        <v>1720</v>
      </c>
      <c r="D1547" t="s">
        <v>1825</v>
      </c>
      <c r="E1547">
        <v>0</v>
      </c>
    </row>
    <row r="1548" spans="3:5" ht="14.1" customHeight="1">
      <c r="C1548">
        <v>4497</v>
      </c>
      <c r="D1548" t="s">
        <v>3645</v>
      </c>
      <c r="E1548">
        <v>767</v>
      </c>
    </row>
    <row r="1549" spans="3:5" ht="14.1" customHeight="1">
      <c r="C1549">
        <v>185</v>
      </c>
      <c r="D1549" t="s">
        <v>495</v>
      </c>
      <c r="E1549">
        <v>587</v>
      </c>
    </row>
    <row r="1550" spans="3:5" ht="14.1" customHeight="1">
      <c r="C1550">
        <v>633</v>
      </c>
      <c r="D1550" t="s">
        <v>496</v>
      </c>
      <c r="E1550">
        <v>647</v>
      </c>
    </row>
    <row r="1551" spans="3:5" ht="14.1" customHeight="1">
      <c r="C1551">
        <v>717</v>
      </c>
      <c r="D1551" t="s">
        <v>497</v>
      </c>
      <c r="E1551">
        <v>689</v>
      </c>
    </row>
    <row r="1552" spans="3:5" ht="14.1" customHeight="1">
      <c r="C1552">
        <v>4191</v>
      </c>
      <c r="D1552" t="s">
        <v>1826</v>
      </c>
      <c r="E1552">
        <v>475</v>
      </c>
    </row>
    <row r="1553" spans="3:5" ht="14.1" customHeight="1">
      <c r="C1553">
        <v>2027</v>
      </c>
      <c r="D1553" t="s">
        <v>1827</v>
      </c>
      <c r="E1553">
        <v>472</v>
      </c>
    </row>
    <row r="1554" spans="3:5" ht="14.1" customHeight="1">
      <c r="C1554">
        <v>467</v>
      </c>
      <c r="D1554" t="s">
        <v>498</v>
      </c>
      <c r="E1554">
        <v>877</v>
      </c>
    </row>
    <row r="1555" spans="3:5" ht="14.1" customHeight="1">
      <c r="C1555">
        <v>3022</v>
      </c>
      <c r="D1555" t="s">
        <v>1828</v>
      </c>
      <c r="E1555">
        <v>0</v>
      </c>
    </row>
    <row r="1556" spans="3:5" ht="14.1" customHeight="1">
      <c r="C1556">
        <v>114</v>
      </c>
      <c r="D1556" t="s">
        <v>1829</v>
      </c>
      <c r="E1556">
        <v>921</v>
      </c>
    </row>
    <row r="1557" spans="3:5" ht="14.1" customHeight="1">
      <c r="C1557">
        <v>2257</v>
      </c>
      <c r="D1557" t="s">
        <v>1830</v>
      </c>
      <c r="E1557">
        <v>0</v>
      </c>
    </row>
    <row r="1558" spans="3:5" ht="14.1" customHeight="1">
      <c r="C1558">
        <v>2017</v>
      </c>
      <c r="D1558" t="s">
        <v>1831</v>
      </c>
      <c r="E1558">
        <v>511</v>
      </c>
    </row>
    <row r="1559" spans="3:5" ht="14.1" customHeight="1">
      <c r="C1559">
        <v>557</v>
      </c>
      <c r="D1559" t="s">
        <v>499</v>
      </c>
      <c r="E1559">
        <v>778</v>
      </c>
    </row>
    <row r="1560" spans="3:5" ht="14.1" customHeight="1">
      <c r="C1560">
        <v>2605</v>
      </c>
      <c r="D1560" t="s">
        <v>1832</v>
      </c>
      <c r="E1560">
        <v>558</v>
      </c>
    </row>
    <row r="1561" spans="3:5" ht="14.1" customHeight="1">
      <c r="C1561">
        <v>4965</v>
      </c>
      <c r="D1561" t="s">
        <v>3917</v>
      </c>
      <c r="E1561">
        <v>721</v>
      </c>
    </row>
    <row r="1562" spans="3:5" ht="14.1" customHeight="1">
      <c r="C1562">
        <v>4767</v>
      </c>
      <c r="D1562" t="s">
        <v>3918</v>
      </c>
      <c r="E1562">
        <v>589</v>
      </c>
    </row>
    <row r="1563" spans="3:5" ht="14.1" customHeight="1">
      <c r="C1563">
        <v>787</v>
      </c>
      <c r="D1563" t="s">
        <v>500</v>
      </c>
      <c r="E1563">
        <v>620</v>
      </c>
    </row>
    <row r="1564" spans="3:5" ht="14.1" customHeight="1">
      <c r="C1564">
        <v>4234</v>
      </c>
      <c r="D1564" t="s">
        <v>1833</v>
      </c>
      <c r="E1564">
        <v>320</v>
      </c>
    </row>
    <row r="1565" spans="3:5" ht="14.1" customHeight="1">
      <c r="C1565">
        <v>4771</v>
      </c>
      <c r="D1565" t="s">
        <v>3919</v>
      </c>
      <c r="E1565">
        <v>578</v>
      </c>
    </row>
    <row r="1566" spans="3:5" ht="14.1" customHeight="1">
      <c r="C1566">
        <v>5157</v>
      </c>
      <c r="D1566" t="s">
        <v>4257</v>
      </c>
      <c r="E1566">
        <v>478</v>
      </c>
    </row>
    <row r="1567" spans="3:5" ht="14.1" customHeight="1">
      <c r="C1567">
        <v>2402</v>
      </c>
      <c r="D1567" t="s">
        <v>1834</v>
      </c>
      <c r="E1567">
        <v>324</v>
      </c>
    </row>
    <row r="1568" spans="3:5" ht="14.1" customHeight="1">
      <c r="C1568">
        <v>415</v>
      </c>
      <c r="D1568" t="s">
        <v>153</v>
      </c>
      <c r="E1568">
        <v>531</v>
      </c>
    </row>
    <row r="1569" spans="3:5" ht="14.1" customHeight="1">
      <c r="C1569">
        <v>1659</v>
      </c>
      <c r="D1569" t="s">
        <v>1835</v>
      </c>
      <c r="E1569">
        <v>592</v>
      </c>
    </row>
    <row r="1570" spans="3:5" ht="14.1" customHeight="1">
      <c r="C1570">
        <v>4742</v>
      </c>
      <c r="D1570" t="s">
        <v>3920</v>
      </c>
      <c r="E1570">
        <v>0</v>
      </c>
    </row>
    <row r="1571" spans="3:5" ht="14.1" customHeight="1">
      <c r="C1571">
        <v>2583</v>
      </c>
      <c r="D1571" t="s">
        <v>1836</v>
      </c>
      <c r="E1571">
        <v>0</v>
      </c>
    </row>
    <row r="1572" spans="3:5" ht="14.1" customHeight="1">
      <c r="C1572">
        <v>4180</v>
      </c>
      <c r="D1572" t="s">
        <v>1837</v>
      </c>
      <c r="E1572">
        <v>500</v>
      </c>
    </row>
    <row r="1573" spans="3:5" ht="14.1" customHeight="1">
      <c r="C1573">
        <v>2867</v>
      </c>
      <c r="D1573" t="s">
        <v>1838</v>
      </c>
      <c r="E1573">
        <v>371</v>
      </c>
    </row>
    <row r="1574" spans="3:5" ht="14.1" customHeight="1">
      <c r="C1574">
        <v>2081</v>
      </c>
      <c r="D1574" t="s">
        <v>1839</v>
      </c>
      <c r="E1574">
        <v>624</v>
      </c>
    </row>
    <row r="1575" spans="3:5" ht="14.1" customHeight="1">
      <c r="C1575">
        <v>2595</v>
      </c>
      <c r="D1575" t="s">
        <v>1840</v>
      </c>
      <c r="E1575">
        <v>438</v>
      </c>
    </row>
    <row r="1576" spans="3:5" ht="14.1" customHeight="1">
      <c r="C1576">
        <v>5097</v>
      </c>
      <c r="D1576" t="s">
        <v>4258</v>
      </c>
      <c r="E1576">
        <v>434</v>
      </c>
    </row>
    <row r="1577" spans="3:5" ht="14.1" customHeight="1">
      <c r="C1577">
        <v>2456</v>
      </c>
      <c r="D1577" t="s">
        <v>1841</v>
      </c>
      <c r="E1577">
        <v>700</v>
      </c>
    </row>
    <row r="1578" spans="3:5" ht="14.1" customHeight="1">
      <c r="C1578">
        <v>1173</v>
      </c>
      <c r="D1578" t="s">
        <v>1842</v>
      </c>
      <c r="E1578">
        <v>814</v>
      </c>
    </row>
    <row r="1579" spans="3:5" ht="14.1" customHeight="1">
      <c r="C1579">
        <v>1309</v>
      </c>
      <c r="D1579" t="s">
        <v>1843</v>
      </c>
      <c r="E1579">
        <v>377</v>
      </c>
    </row>
    <row r="1580" spans="3:5" ht="14.1" customHeight="1">
      <c r="C1580">
        <v>1585</v>
      </c>
      <c r="D1580" t="s">
        <v>1844</v>
      </c>
      <c r="E1580">
        <v>574</v>
      </c>
    </row>
    <row r="1581" spans="3:5" ht="14.1" customHeight="1">
      <c r="C1581">
        <v>385</v>
      </c>
      <c r="D1581" t="s">
        <v>154</v>
      </c>
      <c r="E1581">
        <v>391</v>
      </c>
    </row>
    <row r="1582" spans="3:5" ht="14.1" customHeight="1">
      <c r="C1582">
        <v>2685</v>
      </c>
      <c r="D1582" t="s">
        <v>1845</v>
      </c>
      <c r="E1582">
        <v>605</v>
      </c>
    </row>
    <row r="1583" spans="3:5" ht="14.1" customHeight="1">
      <c r="C1583">
        <v>3145</v>
      </c>
      <c r="D1583" t="s">
        <v>1846</v>
      </c>
      <c r="E1583">
        <v>0</v>
      </c>
    </row>
    <row r="1584" spans="3:5" ht="14.1" customHeight="1">
      <c r="C1584">
        <v>3116</v>
      </c>
      <c r="D1584" t="s">
        <v>1847</v>
      </c>
      <c r="E1584">
        <v>0</v>
      </c>
    </row>
    <row r="1585" spans="3:5" ht="14.1" customHeight="1">
      <c r="C1585">
        <v>840</v>
      </c>
      <c r="D1585" t="s">
        <v>501</v>
      </c>
      <c r="E1585">
        <v>587</v>
      </c>
    </row>
    <row r="1586" spans="3:5" ht="14.1" customHeight="1">
      <c r="C1586">
        <v>540</v>
      </c>
      <c r="D1586" t="s">
        <v>502</v>
      </c>
      <c r="E1586">
        <v>402</v>
      </c>
    </row>
    <row r="1587" spans="3:5" ht="14.1" customHeight="1">
      <c r="C1587">
        <v>4242</v>
      </c>
      <c r="D1587" t="s">
        <v>1848</v>
      </c>
      <c r="E1587">
        <v>511</v>
      </c>
    </row>
    <row r="1588" spans="3:5" ht="14.1" customHeight="1">
      <c r="C1588">
        <v>2877</v>
      </c>
      <c r="D1588" t="s">
        <v>1849</v>
      </c>
      <c r="E1588">
        <v>488</v>
      </c>
    </row>
    <row r="1589" spans="3:5" ht="14.1" customHeight="1">
      <c r="C1589">
        <v>1652</v>
      </c>
      <c r="D1589" t="s">
        <v>1850</v>
      </c>
      <c r="E1589">
        <v>630</v>
      </c>
    </row>
    <row r="1590" spans="3:5" ht="14.1" customHeight="1">
      <c r="C1590">
        <v>2259</v>
      </c>
      <c r="D1590" t="s">
        <v>1851</v>
      </c>
      <c r="E1590">
        <v>938</v>
      </c>
    </row>
    <row r="1591" spans="3:5" ht="14.1" customHeight="1">
      <c r="C1591">
        <v>1843</v>
      </c>
      <c r="D1591" t="s">
        <v>1852</v>
      </c>
      <c r="E1591">
        <v>586</v>
      </c>
    </row>
    <row r="1592" spans="3:5" ht="14.1" customHeight="1">
      <c r="C1592">
        <v>1936</v>
      </c>
      <c r="D1592" t="s">
        <v>1853</v>
      </c>
      <c r="E1592">
        <v>836</v>
      </c>
    </row>
    <row r="1593" spans="3:5" ht="14.1" customHeight="1">
      <c r="C1593">
        <v>2158</v>
      </c>
      <c r="D1593" t="s">
        <v>1854</v>
      </c>
      <c r="E1593">
        <v>996</v>
      </c>
    </row>
    <row r="1594" spans="3:5" ht="14.1" customHeight="1">
      <c r="C1594">
        <v>346</v>
      </c>
      <c r="D1594" t="s">
        <v>503</v>
      </c>
      <c r="E1594">
        <v>905</v>
      </c>
    </row>
    <row r="1595" spans="3:5" ht="14.1" customHeight="1">
      <c r="C1595">
        <v>1098</v>
      </c>
      <c r="D1595" t="s">
        <v>1855</v>
      </c>
      <c r="E1595">
        <v>526</v>
      </c>
    </row>
    <row r="1596" spans="3:5" ht="14.1" customHeight="1">
      <c r="C1596">
        <v>1381</v>
      </c>
      <c r="D1596" t="s">
        <v>1856</v>
      </c>
      <c r="E1596">
        <v>667</v>
      </c>
    </row>
    <row r="1597" spans="3:5" ht="14.1" customHeight="1">
      <c r="C1597">
        <v>2734</v>
      </c>
      <c r="D1597" t="s">
        <v>1857</v>
      </c>
      <c r="E1597">
        <v>755</v>
      </c>
    </row>
    <row r="1598" spans="3:5" ht="14.1" customHeight="1">
      <c r="C1598">
        <v>2003</v>
      </c>
      <c r="D1598" t="s">
        <v>1858</v>
      </c>
      <c r="E1598">
        <v>390</v>
      </c>
    </row>
    <row r="1599" spans="3:5" ht="14.1" customHeight="1">
      <c r="C1599">
        <v>2948</v>
      </c>
      <c r="D1599" t="s">
        <v>1859</v>
      </c>
      <c r="E1599">
        <v>512</v>
      </c>
    </row>
    <row r="1600" spans="3:5" ht="14.1" customHeight="1">
      <c r="C1600">
        <v>5077</v>
      </c>
      <c r="D1600" t="s">
        <v>4259</v>
      </c>
      <c r="E1600">
        <v>377</v>
      </c>
    </row>
    <row r="1601" spans="3:5" ht="14.1" customHeight="1">
      <c r="C1601">
        <v>4209</v>
      </c>
      <c r="D1601" t="s">
        <v>1860</v>
      </c>
      <c r="E1601">
        <v>596</v>
      </c>
    </row>
    <row r="1602" spans="3:5" ht="14.1" customHeight="1">
      <c r="C1602">
        <v>4492</v>
      </c>
      <c r="D1602" t="s">
        <v>3646</v>
      </c>
      <c r="E1602">
        <v>905</v>
      </c>
    </row>
    <row r="1603" spans="3:5" ht="14.1" customHeight="1">
      <c r="C1603">
        <v>4953</v>
      </c>
      <c r="D1603" t="s">
        <v>3921</v>
      </c>
      <c r="E1603">
        <v>372</v>
      </c>
    </row>
    <row r="1604" spans="3:5" ht="14.1" customHeight="1">
      <c r="C1604">
        <v>4203</v>
      </c>
      <c r="D1604" t="s">
        <v>1861</v>
      </c>
      <c r="E1604">
        <v>426</v>
      </c>
    </row>
    <row r="1605" spans="3:5" ht="14.1" customHeight="1">
      <c r="C1605">
        <v>76</v>
      </c>
      <c r="D1605" t="s">
        <v>504</v>
      </c>
      <c r="E1605">
        <v>672</v>
      </c>
    </row>
    <row r="1606" spans="3:5" ht="14.1" customHeight="1">
      <c r="C1606">
        <v>2307</v>
      </c>
      <c r="D1606" t="s">
        <v>1862</v>
      </c>
      <c r="E1606">
        <v>1092</v>
      </c>
    </row>
    <row r="1607" spans="3:5" ht="14.1" customHeight="1">
      <c r="C1607">
        <v>2515</v>
      </c>
      <c r="D1607" t="s">
        <v>1863</v>
      </c>
      <c r="E1607">
        <v>524</v>
      </c>
    </row>
    <row r="1608" spans="3:5" ht="14.1" customHeight="1">
      <c r="C1608">
        <v>1815</v>
      </c>
      <c r="D1608" t="s">
        <v>1864</v>
      </c>
      <c r="E1608">
        <v>445</v>
      </c>
    </row>
    <row r="1609" spans="3:5" ht="14.1" customHeight="1">
      <c r="C1609">
        <v>4546</v>
      </c>
      <c r="D1609" t="s">
        <v>3647</v>
      </c>
      <c r="E1609">
        <v>567</v>
      </c>
    </row>
    <row r="1610" spans="3:5" ht="14.1" customHeight="1">
      <c r="C1610">
        <v>1532</v>
      </c>
      <c r="D1610" t="s">
        <v>1865</v>
      </c>
      <c r="E1610">
        <v>973</v>
      </c>
    </row>
    <row r="1611" spans="3:5" ht="14.1" customHeight="1">
      <c r="C1611">
        <v>925</v>
      </c>
      <c r="D1611" t="s">
        <v>1866</v>
      </c>
      <c r="E1611">
        <v>601</v>
      </c>
    </row>
    <row r="1612" spans="3:5" ht="14.1" customHeight="1">
      <c r="C1612">
        <v>1630</v>
      </c>
      <c r="D1612" t="s">
        <v>1867</v>
      </c>
      <c r="E1612">
        <v>510</v>
      </c>
    </row>
    <row r="1613" spans="3:5" ht="14.1" customHeight="1">
      <c r="C1613">
        <v>3294</v>
      </c>
      <c r="D1613" t="s">
        <v>1868</v>
      </c>
      <c r="E1613">
        <v>0</v>
      </c>
    </row>
    <row r="1614" spans="3:5" ht="14.1" customHeight="1">
      <c r="C1614">
        <v>504</v>
      </c>
      <c r="D1614" t="s">
        <v>1869</v>
      </c>
      <c r="E1614">
        <v>802</v>
      </c>
    </row>
    <row r="1615" spans="3:5" ht="14.1" customHeight="1">
      <c r="C1615">
        <v>4796</v>
      </c>
      <c r="D1615" t="s">
        <v>3922</v>
      </c>
      <c r="E1615">
        <v>460</v>
      </c>
    </row>
    <row r="1616" spans="3:5" ht="14.1" customHeight="1">
      <c r="C1616">
        <v>4797</v>
      </c>
      <c r="D1616" t="s">
        <v>3923</v>
      </c>
      <c r="E1616">
        <v>460</v>
      </c>
    </row>
    <row r="1617" spans="3:5" ht="14.1" customHeight="1">
      <c r="C1617">
        <v>1080</v>
      </c>
      <c r="D1617" t="s">
        <v>1870</v>
      </c>
      <c r="E1617">
        <v>503</v>
      </c>
    </row>
    <row r="1618" spans="3:5" ht="14.1" customHeight="1">
      <c r="C1618">
        <v>1011</v>
      </c>
      <c r="D1618" t="s">
        <v>1871</v>
      </c>
      <c r="E1618">
        <v>294</v>
      </c>
    </row>
    <row r="1619" spans="3:5" ht="14.1" customHeight="1">
      <c r="C1619">
        <v>4136</v>
      </c>
      <c r="D1619" t="s">
        <v>1872</v>
      </c>
      <c r="E1619">
        <v>447</v>
      </c>
    </row>
    <row r="1620" spans="3:5" ht="14.1" customHeight="1">
      <c r="C1620">
        <v>625</v>
      </c>
      <c r="D1620" t="s">
        <v>505</v>
      </c>
      <c r="E1620">
        <v>0</v>
      </c>
    </row>
    <row r="1621" spans="3:5" ht="14.1" customHeight="1">
      <c r="C1621">
        <v>1492</v>
      </c>
      <c r="D1621" t="s">
        <v>1873</v>
      </c>
      <c r="E1621">
        <v>791</v>
      </c>
    </row>
    <row r="1622" spans="3:5" ht="14.1" customHeight="1">
      <c r="C1622">
        <v>4543</v>
      </c>
      <c r="D1622" t="s">
        <v>3924</v>
      </c>
      <c r="E1622">
        <v>574</v>
      </c>
    </row>
    <row r="1623" spans="3:5" ht="14.1" customHeight="1">
      <c r="C1623">
        <v>4851</v>
      </c>
      <c r="D1623" t="s">
        <v>3925</v>
      </c>
      <c r="E1623">
        <v>713</v>
      </c>
    </row>
    <row r="1624" spans="3:5" ht="14.1" customHeight="1">
      <c r="C1624">
        <v>4261</v>
      </c>
      <c r="D1624" t="s">
        <v>1874</v>
      </c>
      <c r="E1624">
        <v>398</v>
      </c>
    </row>
    <row r="1625" spans="3:5" ht="14.1" customHeight="1">
      <c r="C1625">
        <v>4761</v>
      </c>
      <c r="D1625" t="s">
        <v>3926</v>
      </c>
      <c r="E1625">
        <v>573</v>
      </c>
    </row>
    <row r="1626" spans="3:5" ht="14.1" customHeight="1">
      <c r="C1626">
        <v>1332</v>
      </c>
      <c r="D1626" t="s">
        <v>1875</v>
      </c>
      <c r="E1626">
        <v>567</v>
      </c>
    </row>
    <row r="1627" spans="3:5" ht="14.1" customHeight="1">
      <c r="C1627">
        <v>2187</v>
      </c>
      <c r="D1627" t="s">
        <v>1876</v>
      </c>
      <c r="E1627">
        <v>577</v>
      </c>
    </row>
    <row r="1628" spans="3:5" ht="14.1" customHeight="1">
      <c r="C1628">
        <v>1031</v>
      </c>
      <c r="D1628" t="s">
        <v>1877</v>
      </c>
      <c r="E1628">
        <v>624</v>
      </c>
    </row>
    <row r="1629" spans="3:5" ht="14.1" customHeight="1">
      <c r="C1629">
        <v>51</v>
      </c>
      <c r="D1629" t="s">
        <v>506</v>
      </c>
      <c r="E1629">
        <v>760</v>
      </c>
    </row>
    <row r="1630" spans="3:5" ht="14.1" customHeight="1">
      <c r="C1630">
        <v>2382</v>
      </c>
      <c r="D1630" t="s">
        <v>1878</v>
      </c>
      <c r="E1630">
        <v>417</v>
      </c>
    </row>
    <row r="1631" spans="3:5" ht="14.1" customHeight="1">
      <c r="C1631">
        <v>4414</v>
      </c>
      <c r="D1631" t="s">
        <v>3648</v>
      </c>
      <c r="E1631">
        <v>445</v>
      </c>
    </row>
    <row r="1632" spans="3:5" ht="14.1" customHeight="1">
      <c r="C1632">
        <v>1945</v>
      </c>
      <c r="D1632" t="s">
        <v>1879</v>
      </c>
      <c r="E1632">
        <v>455</v>
      </c>
    </row>
    <row r="1633" spans="3:5" ht="14.1" customHeight="1">
      <c r="C1633">
        <v>3036</v>
      </c>
      <c r="D1633" t="s">
        <v>1880</v>
      </c>
      <c r="E1633">
        <v>0</v>
      </c>
    </row>
    <row r="1634" spans="3:5" ht="14.1" customHeight="1">
      <c r="C1634">
        <v>4267</v>
      </c>
      <c r="D1634" t="s">
        <v>1881</v>
      </c>
      <c r="E1634">
        <v>440</v>
      </c>
    </row>
    <row r="1635" spans="3:5" ht="14.1" customHeight="1">
      <c r="C1635">
        <v>418</v>
      </c>
      <c r="D1635" t="s">
        <v>1882</v>
      </c>
      <c r="E1635">
        <v>393</v>
      </c>
    </row>
    <row r="1636" spans="3:5" ht="14.1" customHeight="1">
      <c r="C1636">
        <v>3025</v>
      </c>
      <c r="D1636" t="s">
        <v>1883</v>
      </c>
      <c r="E1636">
        <v>0</v>
      </c>
    </row>
    <row r="1637" spans="3:5" ht="14.1" customHeight="1">
      <c r="C1637">
        <v>393</v>
      </c>
      <c r="D1637" t="s">
        <v>155</v>
      </c>
      <c r="E1637">
        <v>492</v>
      </c>
    </row>
    <row r="1638" spans="3:5" ht="14.1" customHeight="1">
      <c r="C1638">
        <v>394</v>
      </c>
      <c r="D1638" t="s">
        <v>507</v>
      </c>
      <c r="E1638">
        <v>484</v>
      </c>
    </row>
    <row r="1639" spans="3:5" ht="14.1" customHeight="1">
      <c r="C1639">
        <v>2363</v>
      </c>
      <c r="D1639" t="s">
        <v>1884</v>
      </c>
      <c r="E1639">
        <v>331</v>
      </c>
    </row>
    <row r="1640" spans="3:5" ht="14.1" customHeight="1">
      <c r="C1640">
        <v>2401</v>
      </c>
      <c r="D1640" t="s">
        <v>1885</v>
      </c>
      <c r="E1640">
        <v>329</v>
      </c>
    </row>
    <row r="1641" spans="3:5" ht="14.1" customHeight="1">
      <c r="C1641">
        <v>4740</v>
      </c>
      <c r="D1641" t="s">
        <v>3927</v>
      </c>
      <c r="E1641">
        <v>0</v>
      </c>
    </row>
    <row r="1642" spans="3:5" ht="14.1" customHeight="1">
      <c r="C1642">
        <v>30</v>
      </c>
      <c r="D1642" t="s">
        <v>508</v>
      </c>
      <c r="E1642">
        <v>502</v>
      </c>
    </row>
    <row r="1643" spans="3:5" ht="14.1" customHeight="1">
      <c r="C1643">
        <v>919</v>
      </c>
      <c r="D1643" t="s">
        <v>509</v>
      </c>
      <c r="E1643">
        <v>615</v>
      </c>
    </row>
    <row r="1644" spans="3:5" ht="14.1" customHeight="1">
      <c r="C1644">
        <v>2938</v>
      </c>
      <c r="D1644" t="s">
        <v>1886</v>
      </c>
      <c r="E1644">
        <v>677</v>
      </c>
    </row>
    <row r="1645" spans="3:5" ht="14.1" customHeight="1">
      <c r="C1645">
        <v>2476</v>
      </c>
      <c r="D1645" t="s">
        <v>1887</v>
      </c>
      <c r="E1645">
        <v>675</v>
      </c>
    </row>
    <row r="1646" spans="3:5" ht="14.1" customHeight="1">
      <c r="C1646">
        <v>4861</v>
      </c>
      <c r="D1646" t="s">
        <v>3928</v>
      </c>
      <c r="E1646">
        <v>778</v>
      </c>
    </row>
    <row r="1647" spans="3:5" ht="14.1" customHeight="1">
      <c r="C1647">
        <v>2936</v>
      </c>
      <c r="D1647" t="s">
        <v>1888</v>
      </c>
      <c r="E1647">
        <v>672</v>
      </c>
    </row>
    <row r="1648" spans="3:5" ht="14.1" customHeight="1">
      <c r="C1648">
        <v>2131</v>
      </c>
      <c r="D1648" t="s">
        <v>1889</v>
      </c>
      <c r="E1648">
        <v>493</v>
      </c>
    </row>
    <row r="1649" spans="3:5" ht="14.1" customHeight="1">
      <c r="C1649">
        <v>1735</v>
      </c>
      <c r="D1649" t="s">
        <v>1890</v>
      </c>
      <c r="E1649">
        <v>712</v>
      </c>
    </row>
    <row r="1650" spans="3:5" ht="14.1" customHeight="1">
      <c r="C1650">
        <v>5098</v>
      </c>
      <c r="D1650" t="s">
        <v>4260</v>
      </c>
      <c r="E1650">
        <v>647</v>
      </c>
    </row>
    <row r="1651" spans="3:5" ht="14.1" customHeight="1">
      <c r="C1651">
        <v>791</v>
      </c>
      <c r="D1651" t="s">
        <v>510</v>
      </c>
      <c r="E1651">
        <v>720</v>
      </c>
    </row>
    <row r="1652" spans="3:5" ht="14.1" customHeight="1">
      <c r="C1652">
        <v>631</v>
      </c>
      <c r="D1652" t="s">
        <v>511</v>
      </c>
      <c r="E1652">
        <v>772</v>
      </c>
    </row>
    <row r="1653" spans="3:5" ht="14.1" customHeight="1">
      <c r="C1653">
        <v>1052</v>
      </c>
      <c r="D1653" t="s">
        <v>1891</v>
      </c>
      <c r="E1653">
        <v>722</v>
      </c>
    </row>
    <row r="1654" spans="3:5" ht="14.1" customHeight="1">
      <c r="C1654">
        <v>899</v>
      </c>
      <c r="D1654" t="s">
        <v>512</v>
      </c>
      <c r="E1654">
        <v>664</v>
      </c>
    </row>
    <row r="1655" spans="3:5" ht="14.1" customHeight="1">
      <c r="C1655">
        <v>2937</v>
      </c>
      <c r="D1655" t="s">
        <v>1892</v>
      </c>
      <c r="E1655">
        <v>679</v>
      </c>
    </row>
    <row r="1656" spans="3:5" ht="14.1" customHeight="1">
      <c r="C1656">
        <v>370</v>
      </c>
      <c r="D1656" t="s">
        <v>156</v>
      </c>
      <c r="E1656">
        <v>420</v>
      </c>
    </row>
    <row r="1657" spans="3:5" ht="14.1" customHeight="1">
      <c r="C1657">
        <v>1379</v>
      </c>
      <c r="D1657" t="s">
        <v>1893</v>
      </c>
      <c r="E1657">
        <v>659</v>
      </c>
    </row>
    <row r="1658" spans="3:5" ht="14.1" customHeight="1">
      <c r="C1658">
        <v>371</v>
      </c>
      <c r="D1658" t="s">
        <v>157</v>
      </c>
      <c r="E1658">
        <v>480</v>
      </c>
    </row>
    <row r="1659" spans="3:5" ht="14.1" customHeight="1">
      <c r="C1659">
        <v>1378</v>
      </c>
      <c r="D1659" t="s">
        <v>1894</v>
      </c>
      <c r="E1659">
        <v>659</v>
      </c>
    </row>
    <row r="1660" spans="3:5" ht="14.1" customHeight="1">
      <c r="C1660">
        <v>4281</v>
      </c>
      <c r="D1660" t="s">
        <v>1895</v>
      </c>
      <c r="E1660">
        <v>439</v>
      </c>
    </row>
    <row r="1661" spans="3:5" ht="14.1" customHeight="1">
      <c r="C1661">
        <v>4194</v>
      </c>
      <c r="D1661" t="s">
        <v>1896</v>
      </c>
      <c r="E1661">
        <v>436</v>
      </c>
    </row>
    <row r="1662" spans="3:5" ht="14.1" customHeight="1">
      <c r="C1662">
        <v>5124</v>
      </c>
      <c r="D1662" t="s">
        <v>4261</v>
      </c>
      <c r="E1662">
        <v>0</v>
      </c>
    </row>
    <row r="1663" spans="3:5" ht="14.1" customHeight="1">
      <c r="C1663">
        <v>4988</v>
      </c>
      <c r="D1663" t="s">
        <v>3929</v>
      </c>
      <c r="E1663">
        <v>0</v>
      </c>
    </row>
    <row r="1664" spans="3:5" ht="14.1" customHeight="1">
      <c r="C1664">
        <v>5092</v>
      </c>
      <c r="D1664" t="s">
        <v>4262</v>
      </c>
      <c r="E1664">
        <v>383</v>
      </c>
    </row>
    <row r="1665" spans="3:5" ht="14.1" customHeight="1">
      <c r="C1665">
        <v>949</v>
      </c>
      <c r="D1665" t="s">
        <v>1897</v>
      </c>
      <c r="E1665">
        <v>407</v>
      </c>
    </row>
    <row r="1666" spans="3:5" ht="14.1" customHeight="1">
      <c r="C1666">
        <v>2564</v>
      </c>
      <c r="D1666" t="s">
        <v>1898</v>
      </c>
      <c r="E1666">
        <v>544</v>
      </c>
    </row>
    <row r="1667" spans="3:5" ht="14.1" customHeight="1">
      <c r="C1667">
        <v>16</v>
      </c>
      <c r="D1667" t="s">
        <v>158</v>
      </c>
      <c r="E1667">
        <v>717</v>
      </c>
    </row>
    <row r="1668" spans="3:5" ht="14.1" customHeight="1">
      <c r="C1668">
        <v>1688</v>
      </c>
      <c r="D1668" t="s">
        <v>1899</v>
      </c>
      <c r="E1668">
        <v>849</v>
      </c>
    </row>
    <row r="1669" spans="3:5" ht="14.1" customHeight="1">
      <c r="C1669">
        <v>4297</v>
      </c>
      <c r="D1669" t="s">
        <v>1900</v>
      </c>
      <c r="E1669">
        <v>447</v>
      </c>
    </row>
    <row r="1670" spans="3:5" ht="14.1" customHeight="1">
      <c r="C1670">
        <v>4230</v>
      </c>
      <c r="D1670" t="s">
        <v>1901</v>
      </c>
      <c r="E1670">
        <v>426</v>
      </c>
    </row>
    <row r="1671" spans="3:5" ht="14.1" customHeight="1">
      <c r="C1671">
        <v>4599</v>
      </c>
      <c r="D1671" t="s">
        <v>3930</v>
      </c>
      <c r="E1671">
        <v>525</v>
      </c>
    </row>
    <row r="1672" spans="3:5" ht="14.1" customHeight="1">
      <c r="C1672">
        <v>871</v>
      </c>
      <c r="D1672" t="s">
        <v>513</v>
      </c>
      <c r="E1672">
        <v>480</v>
      </c>
    </row>
    <row r="1673" spans="3:5" ht="14.1" customHeight="1">
      <c r="C1673">
        <v>1276</v>
      </c>
      <c r="D1673" t="s">
        <v>1902</v>
      </c>
      <c r="E1673">
        <v>371</v>
      </c>
    </row>
    <row r="1674" spans="3:5" ht="14.1" customHeight="1">
      <c r="C1674">
        <v>4661</v>
      </c>
      <c r="D1674" t="s">
        <v>3931</v>
      </c>
      <c r="E1674">
        <v>870</v>
      </c>
    </row>
    <row r="1675" spans="3:5" ht="14.1" customHeight="1">
      <c r="C1675">
        <v>5057</v>
      </c>
      <c r="D1675" t="s">
        <v>4263</v>
      </c>
      <c r="E1675">
        <v>406</v>
      </c>
    </row>
    <row r="1676" spans="3:5" ht="14.1" customHeight="1">
      <c r="C1676">
        <v>2737</v>
      </c>
      <c r="D1676" t="s">
        <v>1903</v>
      </c>
      <c r="E1676">
        <v>687</v>
      </c>
    </row>
    <row r="1677" spans="3:5" ht="14.1" customHeight="1">
      <c r="C1677">
        <v>2466</v>
      </c>
      <c r="D1677" t="s">
        <v>1904</v>
      </c>
      <c r="E1677">
        <v>685</v>
      </c>
    </row>
    <row r="1678" spans="3:5" ht="14.1" customHeight="1">
      <c r="C1678">
        <v>655</v>
      </c>
      <c r="D1678" t="s">
        <v>514</v>
      </c>
      <c r="E1678">
        <v>598</v>
      </c>
    </row>
    <row r="1679" spans="3:5" ht="14.1" customHeight="1">
      <c r="C1679">
        <v>3061</v>
      </c>
      <c r="D1679" t="s">
        <v>1905</v>
      </c>
      <c r="E1679">
        <v>0</v>
      </c>
    </row>
    <row r="1680" spans="3:5" ht="14.1" customHeight="1">
      <c r="C1680">
        <v>1545</v>
      </c>
      <c r="D1680" t="s">
        <v>1906</v>
      </c>
      <c r="E1680">
        <v>552</v>
      </c>
    </row>
    <row r="1681" spans="3:5" ht="14.1" customHeight="1">
      <c r="C1681">
        <v>4581</v>
      </c>
      <c r="D1681" t="s">
        <v>3649</v>
      </c>
      <c r="E1681">
        <v>0</v>
      </c>
    </row>
    <row r="1682" spans="3:5" ht="14.1" customHeight="1">
      <c r="C1682">
        <v>2360</v>
      </c>
      <c r="D1682" t="s">
        <v>1907</v>
      </c>
      <c r="E1682">
        <v>456</v>
      </c>
    </row>
    <row r="1683" spans="3:5" ht="14.1" customHeight="1">
      <c r="C1683">
        <v>4977</v>
      </c>
      <c r="D1683" t="s">
        <v>3932</v>
      </c>
      <c r="E1683">
        <v>400</v>
      </c>
    </row>
    <row r="1684" spans="3:5" ht="14.1" customHeight="1">
      <c r="C1684">
        <v>1430</v>
      </c>
      <c r="D1684" t="s">
        <v>1908</v>
      </c>
      <c r="E1684">
        <v>632</v>
      </c>
    </row>
    <row r="1685" spans="3:5" ht="14.1" customHeight="1">
      <c r="C1685">
        <v>4583</v>
      </c>
      <c r="D1685" t="s">
        <v>3650</v>
      </c>
      <c r="E1685">
        <v>300</v>
      </c>
    </row>
    <row r="1686" spans="3:5" ht="14.1" customHeight="1">
      <c r="C1686">
        <v>133</v>
      </c>
      <c r="D1686" t="s">
        <v>515</v>
      </c>
      <c r="E1686">
        <v>664</v>
      </c>
    </row>
    <row r="1687" spans="3:5" ht="14.1" customHeight="1">
      <c r="C1687">
        <v>1962</v>
      </c>
      <c r="D1687" t="s">
        <v>1909</v>
      </c>
      <c r="E1687">
        <v>871</v>
      </c>
    </row>
    <row r="1688" spans="3:5" ht="14.1" customHeight="1">
      <c r="C1688">
        <v>4371</v>
      </c>
      <c r="D1688" t="s">
        <v>3651</v>
      </c>
      <c r="E1688">
        <v>678</v>
      </c>
    </row>
    <row r="1689" spans="3:5" ht="14.1" customHeight="1">
      <c r="C1689">
        <v>5104</v>
      </c>
      <c r="D1689" t="s">
        <v>4264</v>
      </c>
      <c r="E1689">
        <v>246</v>
      </c>
    </row>
    <row r="1690" spans="3:5" ht="14.1" customHeight="1">
      <c r="C1690">
        <v>4518</v>
      </c>
      <c r="D1690" t="s">
        <v>3652</v>
      </c>
      <c r="E1690">
        <v>685</v>
      </c>
    </row>
    <row r="1691" spans="3:5" ht="14.1" customHeight="1">
      <c r="C1691">
        <v>282</v>
      </c>
      <c r="D1691" t="s">
        <v>159</v>
      </c>
      <c r="E1691">
        <v>419</v>
      </c>
    </row>
    <row r="1692" spans="3:5" ht="14.1" customHeight="1">
      <c r="C1692">
        <v>989</v>
      </c>
      <c r="D1692" t="s">
        <v>1910</v>
      </c>
      <c r="E1692">
        <v>442</v>
      </c>
    </row>
    <row r="1693" spans="3:5" ht="14.1" customHeight="1">
      <c r="C1693">
        <v>1002</v>
      </c>
      <c r="D1693" t="s">
        <v>1911</v>
      </c>
      <c r="E1693">
        <v>345</v>
      </c>
    </row>
    <row r="1694" spans="3:5" ht="14.1" customHeight="1">
      <c r="C1694">
        <v>2614</v>
      </c>
      <c r="D1694" t="s">
        <v>1912</v>
      </c>
      <c r="E1694">
        <v>555</v>
      </c>
    </row>
    <row r="1695" spans="3:5" ht="14.1" customHeight="1">
      <c r="C1695">
        <v>3142</v>
      </c>
      <c r="D1695" t="s">
        <v>1913</v>
      </c>
      <c r="E1695">
        <v>0</v>
      </c>
    </row>
    <row r="1696" spans="3:5" ht="14.1" customHeight="1">
      <c r="C1696">
        <v>4424</v>
      </c>
      <c r="D1696" t="s">
        <v>3653</v>
      </c>
      <c r="E1696">
        <v>0</v>
      </c>
    </row>
    <row r="1697" spans="3:5" ht="14.1" customHeight="1">
      <c r="C1697">
        <v>135</v>
      </c>
      <c r="D1697" t="s">
        <v>1914</v>
      </c>
      <c r="E1697">
        <v>770</v>
      </c>
    </row>
    <row r="1698" spans="3:5" ht="14.1" customHeight="1">
      <c r="C1698">
        <v>173</v>
      </c>
      <c r="D1698" t="s">
        <v>1915</v>
      </c>
      <c r="E1698">
        <v>775</v>
      </c>
    </row>
    <row r="1699" spans="3:5" ht="14.1" customHeight="1">
      <c r="C1699">
        <v>4858</v>
      </c>
      <c r="D1699" t="s">
        <v>516</v>
      </c>
      <c r="E1699">
        <v>639</v>
      </c>
    </row>
    <row r="1700" spans="3:5" ht="14.1" customHeight="1">
      <c r="C1700">
        <v>332</v>
      </c>
      <c r="D1700" t="s">
        <v>517</v>
      </c>
      <c r="E1700">
        <v>543</v>
      </c>
    </row>
    <row r="1701" spans="3:5" ht="14.1" customHeight="1">
      <c r="C1701">
        <v>1722</v>
      </c>
      <c r="D1701" t="s">
        <v>1916</v>
      </c>
      <c r="E1701">
        <v>533</v>
      </c>
    </row>
    <row r="1702" spans="3:5" ht="14.1" customHeight="1">
      <c r="C1702">
        <v>2383</v>
      </c>
      <c r="D1702" t="s">
        <v>1917</v>
      </c>
      <c r="E1702">
        <v>417</v>
      </c>
    </row>
    <row r="1703" spans="3:5" ht="14.1" customHeight="1">
      <c r="C1703">
        <v>987</v>
      </c>
      <c r="D1703" t="s">
        <v>1918</v>
      </c>
      <c r="E1703">
        <v>567</v>
      </c>
    </row>
    <row r="1704" spans="3:5" ht="14.1" customHeight="1">
      <c r="C1704">
        <v>2225</v>
      </c>
      <c r="D1704" t="s">
        <v>1919</v>
      </c>
      <c r="E1704">
        <v>459</v>
      </c>
    </row>
    <row r="1705" spans="3:5" ht="14.1" customHeight="1">
      <c r="C1705">
        <v>1801</v>
      </c>
      <c r="D1705" t="s">
        <v>1920</v>
      </c>
      <c r="E1705">
        <v>460</v>
      </c>
    </row>
    <row r="1706" spans="3:5" ht="14.1" customHeight="1">
      <c r="C1706">
        <v>2314</v>
      </c>
      <c r="D1706" t="s">
        <v>1921</v>
      </c>
      <c r="E1706">
        <v>612</v>
      </c>
    </row>
    <row r="1707" spans="3:5" ht="14.1" customHeight="1">
      <c r="C1707">
        <v>75</v>
      </c>
      <c r="D1707" t="s">
        <v>160</v>
      </c>
      <c r="E1707">
        <v>353</v>
      </c>
    </row>
    <row r="1708" spans="3:5" ht="14.1" customHeight="1">
      <c r="C1708">
        <v>2930</v>
      </c>
      <c r="D1708" t="s">
        <v>1922</v>
      </c>
      <c r="E1708">
        <v>525</v>
      </c>
    </row>
    <row r="1709" spans="3:5" ht="14.1" customHeight="1">
      <c r="C1709">
        <v>4343</v>
      </c>
      <c r="D1709" t="s">
        <v>1923</v>
      </c>
      <c r="E1709">
        <v>676</v>
      </c>
    </row>
    <row r="1710" spans="3:5" ht="14.1" customHeight="1">
      <c r="C1710">
        <v>4832</v>
      </c>
      <c r="D1710" t="s">
        <v>3933</v>
      </c>
      <c r="E1710">
        <v>575</v>
      </c>
    </row>
    <row r="1711" spans="3:5" ht="14.1" customHeight="1">
      <c r="C1711">
        <v>641</v>
      </c>
      <c r="D1711" t="s">
        <v>518</v>
      </c>
      <c r="E1711">
        <v>820</v>
      </c>
    </row>
    <row r="1712" spans="3:5" ht="14.1" customHeight="1">
      <c r="C1712">
        <v>1689</v>
      </c>
      <c r="D1712" t="s">
        <v>1924</v>
      </c>
      <c r="E1712">
        <v>685</v>
      </c>
    </row>
    <row r="1713" spans="3:5" ht="14.1" customHeight="1">
      <c r="C1713">
        <v>1300</v>
      </c>
      <c r="D1713" t="s">
        <v>1925</v>
      </c>
      <c r="E1713">
        <v>479</v>
      </c>
    </row>
    <row r="1714" spans="3:5" ht="14.1" customHeight="1">
      <c r="C1714">
        <v>1090</v>
      </c>
      <c r="D1714" t="s">
        <v>1926</v>
      </c>
      <c r="E1714">
        <v>599</v>
      </c>
    </row>
    <row r="1715" spans="3:5" ht="14.1" customHeight="1">
      <c r="C1715">
        <v>4646</v>
      </c>
      <c r="D1715" t="s">
        <v>3934</v>
      </c>
      <c r="E1715">
        <v>542</v>
      </c>
    </row>
    <row r="1716" spans="3:5" ht="14.1" customHeight="1">
      <c r="C1716">
        <v>4898</v>
      </c>
      <c r="D1716" t="s">
        <v>3935</v>
      </c>
      <c r="E1716">
        <v>0</v>
      </c>
    </row>
    <row r="1717" spans="3:5" ht="14.1" customHeight="1">
      <c r="C1717">
        <v>1237</v>
      </c>
      <c r="D1717" t="s">
        <v>1927</v>
      </c>
      <c r="E1717">
        <v>498</v>
      </c>
    </row>
    <row r="1718" spans="3:5" ht="14.1" customHeight="1">
      <c r="C1718">
        <v>4826</v>
      </c>
      <c r="D1718" t="s">
        <v>3936</v>
      </c>
      <c r="E1718">
        <v>638</v>
      </c>
    </row>
    <row r="1719" spans="3:5" ht="14.1" customHeight="1">
      <c r="C1719">
        <v>887</v>
      </c>
      <c r="D1719" t="s">
        <v>519</v>
      </c>
      <c r="E1719">
        <v>626</v>
      </c>
    </row>
    <row r="1720" spans="3:5" ht="14.1" customHeight="1">
      <c r="C1720">
        <v>683</v>
      </c>
      <c r="D1720" t="s">
        <v>520</v>
      </c>
      <c r="E1720">
        <v>619</v>
      </c>
    </row>
    <row r="1721" spans="3:5" ht="14.1" customHeight="1">
      <c r="C1721">
        <v>2152</v>
      </c>
      <c r="D1721" t="s">
        <v>1928</v>
      </c>
      <c r="E1721">
        <v>737</v>
      </c>
    </row>
    <row r="1722" spans="3:5" ht="14.1" customHeight="1">
      <c r="C1722">
        <v>1196</v>
      </c>
      <c r="D1722" t="s">
        <v>1929</v>
      </c>
      <c r="E1722">
        <v>620</v>
      </c>
    </row>
    <row r="1723" spans="3:5" ht="14.1" customHeight="1">
      <c r="C1723">
        <v>1197</v>
      </c>
      <c r="D1723" t="s">
        <v>1930</v>
      </c>
      <c r="E1723">
        <v>617</v>
      </c>
    </row>
    <row r="1724" spans="3:5" ht="14.1" customHeight="1">
      <c r="C1724">
        <v>2029</v>
      </c>
      <c r="D1724" t="s">
        <v>1931</v>
      </c>
      <c r="E1724">
        <v>555</v>
      </c>
    </row>
    <row r="1725" spans="3:5" ht="14.1" customHeight="1">
      <c r="C1725">
        <v>2934</v>
      </c>
      <c r="D1725" t="s">
        <v>1932</v>
      </c>
      <c r="E1725">
        <v>660</v>
      </c>
    </row>
    <row r="1726" spans="3:5" ht="14.1" customHeight="1">
      <c r="C1726">
        <v>1984</v>
      </c>
      <c r="D1726" t="s">
        <v>1933</v>
      </c>
      <c r="E1726">
        <v>600</v>
      </c>
    </row>
    <row r="1727" spans="3:5" ht="14.1" customHeight="1">
      <c r="C1727">
        <v>2078</v>
      </c>
      <c r="D1727" t="s">
        <v>1934</v>
      </c>
      <c r="E1727">
        <v>476</v>
      </c>
    </row>
    <row r="1728" spans="3:5" ht="14.1" customHeight="1">
      <c r="C1728">
        <v>3289</v>
      </c>
      <c r="D1728" t="s">
        <v>1935</v>
      </c>
      <c r="E1728">
        <v>407</v>
      </c>
    </row>
    <row r="1729" spans="3:5" ht="14.1" customHeight="1">
      <c r="C1729">
        <v>544</v>
      </c>
      <c r="D1729" t="s">
        <v>521</v>
      </c>
      <c r="E1729">
        <v>738</v>
      </c>
    </row>
    <row r="1730" spans="3:5" ht="14.1" customHeight="1">
      <c r="C1730">
        <v>209</v>
      </c>
      <c r="D1730" t="s">
        <v>522</v>
      </c>
      <c r="E1730">
        <v>540</v>
      </c>
    </row>
    <row r="1731" spans="3:5" ht="14.1" customHeight="1">
      <c r="C1731">
        <v>2388</v>
      </c>
      <c r="D1731" t="s">
        <v>1936</v>
      </c>
      <c r="E1731">
        <v>356</v>
      </c>
    </row>
    <row r="1732" spans="3:5" ht="14.1" customHeight="1">
      <c r="C1732">
        <v>1264</v>
      </c>
      <c r="D1732" t="s">
        <v>1937</v>
      </c>
      <c r="E1732">
        <v>533</v>
      </c>
    </row>
    <row r="1733" spans="3:5" ht="14.1" customHeight="1">
      <c r="C1733">
        <v>487</v>
      </c>
      <c r="D1733" t="s">
        <v>523</v>
      </c>
      <c r="E1733">
        <v>753</v>
      </c>
    </row>
    <row r="1734" spans="3:5" ht="14.1" customHeight="1">
      <c r="C1734">
        <v>2996</v>
      </c>
      <c r="D1734" t="s">
        <v>1938</v>
      </c>
      <c r="E1734">
        <v>0</v>
      </c>
    </row>
    <row r="1735" spans="3:5" ht="14.1" customHeight="1">
      <c r="C1735">
        <v>141</v>
      </c>
      <c r="D1735" t="s">
        <v>161</v>
      </c>
      <c r="E1735">
        <v>739</v>
      </c>
    </row>
    <row r="1736" spans="3:5" ht="14.1" customHeight="1">
      <c r="C1736">
        <v>142</v>
      </c>
      <c r="D1736" t="s">
        <v>162</v>
      </c>
      <c r="E1736">
        <v>780</v>
      </c>
    </row>
    <row r="1737" spans="3:5" ht="14.1" customHeight="1">
      <c r="C1737">
        <v>4534</v>
      </c>
      <c r="D1737" t="s">
        <v>3654</v>
      </c>
      <c r="E1737">
        <v>661</v>
      </c>
    </row>
    <row r="1738" spans="3:5" ht="14.1" customHeight="1">
      <c r="C1738">
        <v>2535</v>
      </c>
      <c r="D1738" t="s">
        <v>1939</v>
      </c>
      <c r="E1738">
        <v>517</v>
      </c>
    </row>
    <row r="1739" spans="3:5" ht="14.1" customHeight="1">
      <c r="C1739">
        <v>4157</v>
      </c>
      <c r="D1739" t="s">
        <v>1940</v>
      </c>
      <c r="E1739">
        <v>459</v>
      </c>
    </row>
    <row r="1740" spans="3:5" ht="14.1" customHeight="1">
      <c r="C1740">
        <v>642</v>
      </c>
      <c r="D1740" t="s">
        <v>524</v>
      </c>
      <c r="E1740">
        <v>820</v>
      </c>
    </row>
    <row r="1741" spans="3:5" ht="14.1" customHeight="1">
      <c r="C1741">
        <v>4733</v>
      </c>
      <c r="D1741" t="s">
        <v>3937</v>
      </c>
      <c r="E1741">
        <v>399</v>
      </c>
    </row>
    <row r="1742" spans="3:5" ht="14.1" customHeight="1">
      <c r="C1742">
        <v>4940</v>
      </c>
      <c r="D1742" t="s">
        <v>3938</v>
      </c>
      <c r="E1742">
        <v>374</v>
      </c>
    </row>
    <row r="1743" spans="3:5" ht="14.1" customHeight="1">
      <c r="C1743">
        <v>922</v>
      </c>
      <c r="D1743" t="s">
        <v>1941</v>
      </c>
      <c r="E1743">
        <v>546</v>
      </c>
    </row>
    <row r="1744" spans="3:5" ht="14.1" customHeight="1">
      <c r="C1744">
        <v>1598</v>
      </c>
      <c r="D1744" t="s">
        <v>1942</v>
      </c>
      <c r="E1744">
        <v>464</v>
      </c>
    </row>
    <row r="1745" spans="3:5" ht="14.1" customHeight="1">
      <c r="C1745">
        <v>524</v>
      </c>
      <c r="D1745" t="s">
        <v>525</v>
      </c>
      <c r="E1745">
        <v>626</v>
      </c>
    </row>
    <row r="1746" spans="3:5" ht="14.1" customHeight="1">
      <c r="C1746">
        <v>404</v>
      </c>
      <c r="D1746" t="s">
        <v>163</v>
      </c>
      <c r="E1746">
        <v>500</v>
      </c>
    </row>
    <row r="1747" spans="3:5" ht="14.1" customHeight="1">
      <c r="C1747">
        <v>2354</v>
      </c>
      <c r="D1747" t="s">
        <v>1943</v>
      </c>
      <c r="E1747">
        <v>507</v>
      </c>
    </row>
    <row r="1748" spans="3:5" ht="14.1" customHeight="1">
      <c r="C1748">
        <v>1845</v>
      </c>
      <c r="D1748" t="s">
        <v>1944</v>
      </c>
      <c r="E1748">
        <v>596</v>
      </c>
    </row>
    <row r="1749" spans="3:5" ht="14.1" customHeight="1">
      <c r="C1749">
        <v>4885</v>
      </c>
      <c r="D1749" t="s">
        <v>3939</v>
      </c>
      <c r="E1749">
        <v>480</v>
      </c>
    </row>
    <row r="1750" spans="3:5" ht="14.1" customHeight="1">
      <c r="C1750">
        <v>200</v>
      </c>
      <c r="D1750" t="s">
        <v>1945</v>
      </c>
      <c r="E1750">
        <v>613</v>
      </c>
    </row>
    <row r="1751" spans="3:5" ht="14.1" customHeight="1">
      <c r="C1751">
        <v>4372</v>
      </c>
      <c r="D1751" t="s">
        <v>3940</v>
      </c>
      <c r="E1751">
        <v>529</v>
      </c>
    </row>
    <row r="1752" spans="3:5" ht="14.1" customHeight="1">
      <c r="C1752">
        <v>1465</v>
      </c>
      <c r="D1752" t="s">
        <v>1946</v>
      </c>
      <c r="E1752">
        <v>524</v>
      </c>
    </row>
    <row r="1753" spans="3:5" ht="14.1" customHeight="1">
      <c r="C1753">
        <v>1698</v>
      </c>
      <c r="D1753" t="s">
        <v>1947</v>
      </c>
      <c r="E1753">
        <v>494</v>
      </c>
    </row>
    <row r="1754" spans="3:5" ht="14.1" customHeight="1">
      <c r="C1754">
        <v>5123</v>
      </c>
      <c r="D1754" t="s">
        <v>4265</v>
      </c>
      <c r="E1754">
        <v>572</v>
      </c>
    </row>
    <row r="1755" spans="3:5" ht="14.1" customHeight="1">
      <c r="C1755">
        <v>2235</v>
      </c>
      <c r="D1755" t="s">
        <v>1948</v>
      </c>
      <c r="E1755">
        <v>443</v>
      </c>
    </row>
    <row r="1756" spans="3:5" ht="14.1" customHeight="1">
      <c r="C1756">
        <v>2216</v>
      </c>
      <c r="D1756" t="s">
        <v>1949</v>
      </c>
      <c r="E1756">
        <v>466</v>
      </c>
    </row>
    <row r="1757" spans="3:5" ht="14.1" customHeight="1">
      <c r="C1757">
        <v>2367</v>
      </c>
      <c r="D1757" t="s">
        <v>1950</v>
      </c>
      <c r="E1757">
        <v>385</v>
      </c>
    </row>
    <row r="1758" spans="3:5" ht="14.1" customHeight="1">
      <c r="C1758">
        <v>4716</v>
      </c>
      <c r="D1758" t="s">
        <v>3941</v>
      </c>
      <c r="E1758">
        <v>612</v>
      </c>
    </row>
    <row r="1759" spans="3:5" ht="14.1" customHeight="1">
      <c r="C1759">
        <v>960</v>
      </c>
      <c r="D1759" t="s">
        <v>1951</v>
      </c>
      <c r="E1759">
        <v>592</v>
      </c>
    </row>
    <row r="1760" spans="3:5" ht="14.1" customHeight="1">
      <c r="C1760">
        <v>3256</v>
      </c>
      <c r="D1760" t="s">
        <v>1952</v>
      </c>
      <c r="E1760">
        <v>0</v>
      </c>
    </row>
    <row r="1761" spans="3:5" ht="14.1" customHeight="1">
      <c r="C1761">
        <v>3278</v>
      </c>
      <c r="D1761" t="s">
        <v>1953</v>
      </c>
      <c r="E1761">
        <v>0</v>
      </c>
    </row>
    <row r="1762" spans="3:5" ht="14.1" customHeight="1">
      <c r="C1762">
        <v>1711</v>
      </c>
      <c r="D1762" t="s">
        <v>1954</v>
      </c>
      <c r="E1762">
        <v>0</v>
      </c>
    </row>
    <row r="1763" spans="3:5" ht="14.1" customHeight="1">
      <c r="C1763">
        <v>2141</v>
      </c>
      <c r="D1763" t="s">
        <v>1955</v>
      </c>
      <c r="E1763">
        <v>566</v>
      </c>
    </row>
    <row r="1764" spans="3:5" ht="14.1" customHeight="1">
      <c r="C1764">
        <v>3292</v>
      </c>
      <c r="D1764" t="s">
        <v>1956</v>
      </c>
      <c r="E1764">
        <v>0</v>
      </c>
    </row>
    <row r="1765" spans="3:5" ht="14.1" customHeight="1">
      <c r="C1765">
        <v>3097</v>
      </c>
      <c r="D1765" t="s">
        <v>1957</v>
      </c>
      <c r="E1765">
        <v>0</v>
      </c>
    </row>
    <row r="1766" spans="3:5" ht="14.1" customHeight="1">
      <c r="C1766">
        <v>1593</v>
      </c>
      <c r="D1766" t="s">
        <v>1958</v>
      </c>
      <c r="E1766">
        <v>0</v>
      </c>
    </row>
    <row r="1767" spans="3:5" ht="14.1" customHeight="1">
      <c r="C1767">
        <v>1333</v>
      </c>
      <c r="D1767" t="s">
        <v>1959</v>
      </c>
      <c r="E1767">
        <v>567</v>
      </c>
    </row>
    <row r="1768" spans="3:5" ht="14.1" customHeight="1">
      <c r="C1768">
        <v>4919</v>
      </c>
      <c r="D1768" t="s">
        <v>3942</v>
      </c>
      <c r="E1768">
        <v>499</v>
      </c>
    </row>
    <row r="1769" spans="3:5" ht="14.1" customHeight="1">
      <c r="C1769">
        <v>3102</v>
      </c>
      <c r="D1769" t="s">
        <v>1960</v>
      </c>
      <c r="E1769">
        <v>0</v>
      </c>
    </row>
    <row r="1770" spans="3:5" ht="14.1" customHeight="1">
      <c r="C1770">
        <v>2648</v>
      </c>
      <c r="D1770" t="s">
        <v>1961</v>
      </c>
      <c r="E1770">
        <v>635</v>
      </c>
    </row>
    <row r="1771" spans="3:5" ht="14.1" customHeight="1">
      <c r="C1771">
        <v>3365</v>
      </c>
      <c r="D1771" t="s">
        <v>1962</v>
      </c>
      <c r="E1771">
        <v>496</v>
      </c>
    </row>
    <row r="1772" spans="3:5" ht="14.1" customHeight="1">
      <c r="C1772">
        <v>4933</v>
      </c>
      <c r="D1772" t="s">
        <v>3943</v>
      </c>
      <c r="E1772">
        <v>473</v>
      </c>
    </row>
    <row r="1773" spans="3:5" ht="14.1" customHeight="1">
      <c r="C1773">
        <v>1913</v>
      </c>
      <c r="D1773" t="s">
        <v>1963</v>
      </c>
      <c r="E1773">
        <v>565</v>
      </c>
    </row>
    <row r="1774" spans="3:5" ht="14.1" customHeight="1">
      <c r="C1774">
        <v>435</v>
      </c>
      <c r="D1774" t="s">
        <v>3944</v>
      </c>
      <c r="E1774">
        <v>627</v>
      </c>
    </row>
    <row r="1775" spans="3:5" ht="14.1" customHeight="1">
      <c r="C1775">
        <v>5169</v>
      </c>
      <c r="D1775" t="s">
        <v>4266</v>
      </c>
      <c r="E1775">
        <v>648</v>
      </c>
    </row>
    <row r="1776" spans="3:5" ht="14.1" customHeight="1">
      <c r="C1776">
        <v>5012</v>
      </c>
      <c r="D1776" t="s">
        <v>3945</v>
      </c>
      <c r="E1776">
        <v>631</v>
      </c>
    </row>
    <row r="1777" spans="3:5" ht="14.1" customHeight="1">
      <c r="C1777">
        <v>3298</v>
      </c>
      <c r="D1777" t="s">
        <v>1964</v>
      </c>
      <c r="E1777">
        <v>0</v>
      </c>
    </row>
    <row r="1778" spans="3:5" ht="14.1" customHeight="1">
      <c r="C1778">
        <v>3233</v>
      </c>
      <c r="D1778" t="s">
        <v>1965</v>
      </c>
      <c r="E1778">
        <v>0</v>
      </c>
    </row>
    <row r="1779" spans="3:5" ht="14.1" customHeight="1">
      <c r="C1779">
        <v>2345</v>
      </c>
      <c r="D1779" t="s">
        <v>1966</v>
      </c>
      <c r="E1779">
        <v>800</v>
      </c>
    </row>
    <row r="1780" spans="3:5" ht="14.1" customHeight="1">
      <c r="C1780">
        <v>4384</v>
      </c>
      <c r="D1780" t="s">
        <v>3655</v>
      </c>
      <c r="E1780">
        <v>491</v>
      </c>
    </row>
    <row r="1781" spans="3:5" ht="14.1" customHeight="1">
      <c r="C1781">
        <v>678</v>
      </c>
      <c r="D1781" t="s">
        <v>526</v>
      </c>
      <c r="E1781">
        <v>956</v>
      </c>
    </row>
    <row r="1782" spans="3:5" ht="14.1" customHeight="1">
      <c r="C1782">
        <v>3070</v>
      </c>
      <c r="D1782" t="s">
        <v>1967</v>
      </c>
      <c r="E1782">
        <v>0</v>
      </c>
    </row>
    <row r="1783" spans="3:5" ht="14.1" customHeight="1">
      <c r="C1783">
        <v>250</v>
      </c>
      <c r="D1783" t="s">
        <v>164</v>
      </c>
      <c r="E1783">
        <v>380</v>
      </c>
    </row>
    <row r="1784" spans="3:5" ht="14.1" customHeight="1">
      <c r="C1784">
        <v>136</v>
      </c>
      <c r="D1784" t="s">
        <v>1968</v>
      </c>
      <c r="E1784">
        <v>461</v>
      </c>
    </row>
    <row r="1785" spans="3:5" ht="14.1" customHeight="1">
      <c r="C1785">
        <v>994</v>
      </c>
      <c r="D1785" t="s">
        <v>1969</v>
      </c>
      <c r="E1785">
        <v>368</v>
      </c>
    </row>
    <row r="1786" spans="3:5" ht="14.1" customHeight="1">
      <c r="C1786">
        <v>2697</v>
      </c>
      <c r="D1786" t="s">
        <v>1970</v>
      </c>
      <c r="E1786">
        <v>522</v>
      </c>
    </row>
    <row r="1787" spans="3:5" ht="14.1" customHeight="1">
      <c r="C1787">
        <v>251</v>
      </c>
      <c r="D1787" t="s">
        <v>165</v>
      </c>
      <c r="E1787">
        <v>380</v>
      </c>
    </row>
    <row r="1788" spans="3:5" ht="14.1" customHeight="1">
      <c r="C1788">
        <v>2796</v>
      </c>
      <c r="D1788" t="s">
        <v>1971</v>
      </c>
      <c r="E1788">
        <v>469</v>
      </c>
    </row>
    <row r="1789" spans="3:5" ht="14.1" customHeight="1">
      <c r="C1789">
        <v>375</v>
      </c>
      <c r="D1789" t="s">
        <v>166</v>
      </c>
      <c r="E1789">
        <v>580</v>
      </c>
    </row>
    <row r="1790" spans="3:5" ht="14.1" customHeight="1">
      <c r="C1790">
        <v>374</v>
      </c>
      <c r="D1790" t="s">
        <v>167</v>
      </c>
      <c r="E1790">
        <v>625</v>
      </c>
    </row>
    <row r="1791" spans="3:5" ht="14.1" customHeight="1">
      <c r="C1791">
        <v>4396</v>
      </c>
      <c r="D1791" t="s">
        <v>3656</v>
      </c>
      <c r="E1791">
        <v>468</v>
      </c>
    </row>
    <row r="1792" spans="3:5" ht="14.1" customHeight="1">
      <c r="C1792">
        <v>2408</v>
      </c>
      <c r="D1792" t="s">
        <v>1972</v>
      </c>
      <c r="E1792">
        <v>466</v>
      </c>
    </row>
    <row r="1793" spans="3:5" ht="14.1" customHeight="1">
      <c r="C1793">
        <v>1893</v>
      </c>
      <c r="D1793" t="s">
        <v>1973</v>
      </c>
      <c r="E1793">
        <v>446</v>
      </c>
    </row>
    <row r="1794" spans="3:5" ht="14.1" customHeight="1">
      <c r="C1794">
        <v>4788</v>
      </c>
      <c r="D1794" t="s">
        <v>3946</v>
      </c>
      <c r="E1794">
        <v>434</v>
      </c>
    </row>
    <row r="1795" spans="3:5" ht="14.1" customHeight="1">
      <c r="C1795">
        <v>4799</v>
      </c>
      <c r="D1795" t="s">
        <v>3947</v>
      </c>
      <c r="E1795">
        <v>363</v>
      </c>
    </row>
    <row r="1796" spans="3:5" ht="14.1" customHeight="1">
      <c r="C1796">
        <v>4532</v>
      </c>
      <c r="D1796" t="s">
        <v>3657</v>
      </c>
      <c r="E1796">
        <v>572</v>
      </c>
    </row>
    <row r="1797" spans="3:5" ht="14.1" customHeight="1">
      <c r="C1797">
        <v>4785</v>
      </c>
      <c r="D1797" t="s">
        <v>3948</v>
      </c>
      <c r="E1797">
        <v>430</v>
      </c>
    </row>
    <row r="1798" spans="3:5" ht="14.1" customHeight="1">
      <c r="C1798">
        <v>2961</v>
      </c>
      <c r="D1798" t="s">
        <v>1974</v>
      </c>
      <c r="E1798">
        <v>577</v>
      </c>
    </row>
    <row r="1799" spans="3:5" ht="14.1" customHeight="1">
      <c r="C1799">
        <v>2163</v>
      </c>
      <c r="D1799" t="s">
        <v>1975</v>
      </c>
      <c r="E1799">
        <v>552</v>
      </c>
    </row>
    <row r="1800" spans="3:5" ht="14.1" customHeight="1">
      <c r="C1800">
        <v>2162</v>
      </c>
      <c r="D1800" t="s">
        <v>1976</v>
      </c>
      <c r="E1800">
        <v>510</v>
      </c>
    </row>
    <row r="1801" spans="3:5" ht="14.1" customHeight="1">
      <c r="C1801">
        <v>699</v>
      </c>
      <c r="D1801" t="s">
        <v>1977</v>
      </c>
      <c r="E1801">
        <v>795</v>
      </c>
    </row>
    <row r="1802" spans="3:5" ht="14.1" customHeight="1">
      <c r="C1802">
        <v>2199</v>
      </c>
      <c r="D1802" t="s">
        <v>1978</v>
      </c>
      <c r="E1802">
        <v>435</v>
      </c>
    </row>
    <row r="1803" spans="3:5" ht="14.1" customHeight="1">
      <c r="C1803">
        <v>1371</v>
      </c>
      <c r="D1803" t="s">
        <v>1979</v>
      </c>
      <c r="E1803">
        <v>643</v>
      </c>
    </row>
    <row r="1804" spans="3:5" ht="14.1" customHeight="1">
      <c r="C1804">
        <v>2738</v>
      </c>
      <c r="D1804" t="s">
        <v>1980</v>
      </c>
      <c r="E1804">
        <v>854</v>
      </c>
    </row>
    <row r="1805" spans="3:5" ht="14.1" customHeight="1">
      <c r="C1805">
        <v>2570</v>
      </c>
      <c r="D1805" t="s">
        <v>1981</v>
      </c>
      <c r="E1805">
        <v>433</v>
      </c>
    </row>
    <row r="1806" spans="3:5" ht="14.1" customHeight="1">
      <c r="C1806">
        <v>3048</v>
      </c>
      <c r="D1806" t="s">
        <v>1982</v>
      </c>
      <c r="E1806">
        <v>0</v>
      </c>
    </row>
    <row r="1807" spans="3:5" ht="14.1" customHeight="1">
      <c r="C1807">
        <v>306</v>
      </c>
      <c r="D1807" t="s">
        <v>168</v>
      </c>
      <c r="E1807">
        <v>212</v>
      </c>
    </row>
    <row r="1808" spans="3:5" ht="14.1" customHeight="1">
      <c r="C1808">
        <v>3228</v>
      </c>
      <c r="D1808" t="s">
        <v>1983</v>
      </c>
      <c r="E1808">
        <v>0</v>
      </c>
    </row>
    <row r="1809" spans="3:5" ht="14.1" customHeight="1">
      <c r="C1809">
        <v>2119</v>
      </c>
      <c r="D1809" t="s">
        <v>1984</v>
      </c>
      <c r="E1809">
        <v>526</v>
      </c>
    </row>
    <row r="1810" spans="3:5" ht="14.1" customHeight="1">
      <c r="C1810">
        <v>13</v>
      </c>
      <c r="D1810" t="s">
        <v>3949</v>
      </c>
      <c r="E1810">
        <v>1076</v>
      </c>
    </row>
    <row r="1811" spans="3:5" ht="14.1" customHeight="1">
      <c r="C1811">
        <v>1589</v>
      </c>
      <c r="D1811" t="s">
        <v>3950</v>
      </c>
      <c r="E1811">
        <v>421</v>
      </c>
    </row>
    <row r="1812" spans="3:5" ht="14.1" customHeight="1">
      <c r="C1812">
        <v>4878</v>
      </c>
      <c r="D1812" t="s">
        <v>3951</v>
      </c>
      <c r="E1812">
        <v>750</v>
      </c>
    </row>
    <row r="1813" spans="3:5" ht="14.1" customHeight="1">
      <c r="C1813">
        <v>1852</v>
      </c>
      <c r="D1813" t="s">
        <v>1985</v>
      </c>
      <c r="E1813">
        <v>650</v>
      </c>
    </row>
    <row r="1814" spans="3:5" ht="14.1" customHeight="1">
      <c r="C1814">
        <v>5075</v>
      </c>
      <c r="D1814" t="s">
        <v>4267</v>
      </c>
      <c r="E1814">
        <v>401</v>
      </c>
    </row>
    <row r="1815" spans="3:5" ht="14.1" customHeight="1">
      <c r="C1815">
        <v>1086</v>
      </c>
      <c r="D1815" t="s">
        <v>1986</v>
      </c>
      <c r="E1815">
        <v>558</v>
      </c>
    </row>
    <row r="1816" spans="3:5" ht="14.1" customHeight="1">
      <c r="C1816">
        <v>1977</v>
      </c>
      <c r="D1816" t="s">
        <v>1987</v>
      </c>
      <c r="E1816">
        <v>877</v>
      </c>
    </row>
    <row r="1817" spans="3:5" ht="14.1" customHeight="1">
      <c r="C1817">
        <v>164</v>
      </c>
      <c r="D1817" t="s">
        <v>169</v>
      </c>
      <c r="E1817">
        <v>740</v>
      </c>
    </row>
    <row r="1818" spans="3:5" ht="14.1" customHeight="1">
      <c r="C1818">
        <v>1746</v>
      </c>
      <c r="D1818" t="s">
        <v>1988</v>
      </c>
      <c r="E1818">
        <v>1179</v>
      </c>
    </row>
    <row r="1819" spans="3:5" ht="14.1" customHeight="1">
      <c r="C1819">
        <v>5147</v>
      </c>
      <c r="D1819" t="s">
        <v>4268</v>
      </c>
      <c r="E1819">
        <v>401</v>
      </c>
    </row>
    <row r="1820" spans="3:5" ht="14.1" customHeight="1">
      <c r="C1820">
        <v>5135</v>
      </c>
      <c r="D1820" t="s">
        <v>4269</v>
      </c>
      <c r="E1820">
        <v>0</v>
      </c>
    </row>
    <row r="1821" spans="3:5" ht="14.1" customHeight="1">
      <c r="C1821">
        <v>14</v>
      </c>
      <c r="D1821" t="s">
        <v>527</v>
      </c>
      <c r="E1821">
        <v>1011</v>
      </c>
    </row>
    <row r="1822" spans="3:5" ht="14.1" customHeight="1">
      <c r="C1822">
        <v>1716</v>
      </c>
      <c r="D1822" t="s">
        <v>1989</v>
      </c>
      <c r="E1822">
        <v>420</v>
      </c>
    </row>
    <row r="1823" spans="3:5" ht="14.1" customHeight="1">
      <c r="C1823">
        <v>1609</v>
      </c>
      <c r="D1823" t="s">
        <v>1990</v>
      </c>
      <c r="E1823">
        <v>564</v>
      </c>
    </row>
    <row r="1824" spans="3:5" ht="14.1" customHeight="1">
      <c r="C1824">
        <v>1265</v>
      </c>
      <c r="D1824" t="s">
        <v>1991</v>
      </c>
      <c r="E1824">
        <v>481</v>
      </c>
    </row>
    <row r="1825" spans="3:5" ht="14.1" customHeight="1">
      <c r="C1825">
        <v>1717</v>
      </c>
      <c r="D1825" t="s">
        <v>1992</v>
      </c>
      <c r="E1825">
        <v>516</v>
      </c>
    </row>
    <row r="1826" spans="3:5" ht="14.1" customHeight="1">
      <c r="C1826">
        <v>4535</v>
      </c>
      <c r="D1826" t="s">
        <v>3658</v>
      </c>
      <c r="E1826">
        <v>598</v>
      </c>
    </row>
    <row r="1827" spans="3:5" ht="14.1" customHeight="1">
      <c r="C1827">
        <v>2558</v>
      </c>
      <c r="D1827" t="s">
        <v>1993</v>
      </c>
      <c r="E1827">
        <v>395</v>
      </c>
    </row>
    <row r="1828" spans="3:5" ht="14.1" customHeight="1">
      <c r="C1828">
        <v>2543</v>
      </c>
      <c r="D1828" t="s">
        <v>1994</v>
      </c>
      <c r="E1828">
        <v>531</v>
      </c>
    </row>
    <row r="1829" spans="3:5" ht="14.1" customHeight="1">
      <c r="C1829">
        <v>5171</v>
      </c>
      <c r="D1829" t="s">
        <v>4270</v>
      </c>
      <c r="E1829">
        <v>718</v>
      </c>
    </row>
    <row r="1830" spans="3:5" ht="14.1" customHeight="1">
      <c r="C1830">
        <v>3193</v>
      </c>
      <c r="D1830" t="s">
        <v>1995</v>
      </c>
      <c r="E1830">
        <v>0</v>
      </c>
    </row>
    <row r="1831" spans="3:5" ht="14.1" customHeight="1">
      <c r="C1831">
        <v>235</v>
      </c>
      <c r="D1831" t="s">
        <v>1996</v>
      </c>
      <c r="E1831">
        <v>620</v>
      </c>
    </row>
    <row r="1832" spans="3:5" ht="14.1" customHeight="1">
      <c r="C1832">
        <v>4481</v>
      </c>
      <c r="D1832" t="s">
        <v>3952</v>
      </c>
      <c r="E1832">
        <v>373</v>
      </c>
    </row>
    <row r="1833" spans="3:5" ht="14.1" customHeight="1">
      <c r="C1833">
        <v>4472</v>
      </c>
      <c r="D1833" t="s">
        <v>3659</v>
      </c>
      <c r="E1833">
        <v>372</v>
      </c>
    </row>
    <row r="1834" spans="3:5" ht="14.1" customHeight="1">
      <c r="C1834">
        <v>5146</v>
      </c>
      <c r="D1834" t="s">
        <v>4271</v>
      </c>
      <c r="E1834">
        <v>348</v>
      </c>
    </row>
    <row r="1835" spans="3:5" ht="14.1" customHeight="1">
      <c r="C1835">
        <v>2117</v>
      </c>
      <c r="D1835" t="s">
        <v>1997</v>
      </c>
      <c r="E1835">
        <v>637</v>
      </c>
    </row>
    <row r="1836" spans="3:5" ht="14.1" customHeight="1">
      <c r="C1836">
        <v>2833</v>
      </c>
      <c r="D1836" t="s">
        <v>1998</v>
      </c>
      <c r="E1836">
        <v>338</v>
      </c>
    </row>
    <row r="1837" spans="3:5" ht="14.1" customHeight="1">
      <c r="C1837">
        <v>965</v>
      </c>
      <c r="D1837" t="s">
        <v>1999</v>
      </c>
      <c r="E1837">
        <v>894</v>
      </c>
    </row>
    <row r="1838" spans="3:5" ht="14.1" customHeight="1">
      <c r="C1838">
        <v>4317</v>
      </c>
      <c r="D1838" t="s">
        <v>2000</v>
      </c>
      <c r="E1838">
        <v>513</v>
      </c>
    </row>
    <row r="1839" spans="3:5" ht="14.1" customHeight="1">
      <c r="C1839">
        <v>1200</v>
      </c>
      <c r="D1839" t="s">
        <v>2001</v>
      </c>
      <c r="E1839">
        <v>600</v>
      </c>
    </row>
    <row r="1840" spans="3:5" ht="14.1" customHeight="1">
      <c r="C1840">
        <v>5145</v>
      </c>
      <c r="D1840" t="s">
        <v>4272</v>
      </c>
      <c r="E1840">
        <v>339</v>
      </c>
    </row>
    <row r="1841" spans="3:5" ht="14.1" customHeight="1">
      <c r="C1841">
        <v>1169</v>
      </c>
      <c r="D1841" t="s">
        <v>2002</v>
      </c>
      <c r="E1841">
        <v>585</v>
      </c>
    </row>
    <row r="1842" spans="3:5" ht="14.1" customHeight="1">
      <c r="C1842">
        <v>352</v>
      </c>
      <c r="D1842" t="s">
        <v>2003</v>
      </c>
      <c r="E1842">
        <v>613</v>
      </c>
    </row>
    <row r="1843" spans="3:5" ht="14.1" customHeight="1">
      <c r="C1843">
        <v>1812</v>
      </c>
      <c r="D1843" t="s">
        <v>2004</v>
      </c>
      <c r="E1843">
        <v>416</v>
      </c>
    </row>
    <row r="1844" spans="3:5" ht="14.1" customHeight="1">
      <c r="C1844">
        <v>1078</v>
      </c>
      <c r="D1844" t="s">
        <v>2005</v>
      </c>
      <c r="E1844">
        <v>566</v>
      </c>
    </row>
    <row r="1845" spans="3:5" ht="14.1" customHeight="1">
      <c r="C1845">
        <v>300</v>
      </c>
      <c r="D1845" t="s">
        <v>528</v>
      </c>
      <c r="E1845">
        <v>699</v>
      </c>
    </row>
    <row r="1846" spans="3:5" ht="14.1" customHeight="1">
      <c r="C1846">
        <v>1876</v>
      </c>
      <c r="D1846" t="s">
        <v>2006</v>
      </c>
      <c r="E1846">
        <v>546</v>
      </c>
    </row>
    <row r="1847" spans="3:5" ht="14.1" customHeight="1">
      <c r="C1847">
        <v>2289</v>
      </c>
      <c r="D1847" t="s">
        <v>2007</v>
      </c>
      <c r="E1847">
        <v>429</v>
      </c>
    </row>
    <row r="1848" spans="3:5" ht="14.1" customHeight="1">
      <c r="C1848">
        <v>2335</v>
      </c>
      <c r="D1848" t="s">
        <v>2008</v>
      </c>
      <c r="E1848">
        <v>583</v>
      </c>
    </row>
    <row r="1849" spans="3:5" ht="14.1" customHeight="1">
      <c r="C1849">
        <v>445</v>
      </c>
      <c r="D1849" t="s">
        <v>275</v>
      </c>
      <c r="E1849">
        <v>567</v>
      </c>
    </row>
    <row r="1850" spans="3:5" ht="14.1" customHeight="1">
      <c r="C1850">
        <v>3310</v>
      </c>
      <c r="D1850" t="s">
        <v>2009</v>
      </c>
      <c r="E1850">
        <v>0</v>
      </c>
    </row>
    <row r="1851" spans="3:5" ht="14.1" customHeight="1">
      <c r="C1851">
        <v>2517</v>
      </c>
      <c r="D1851" t="s">
        <v>2010</v>
      </c>
      <c r="E1851">
        <v>493</v>
      </c>
    </row>
    <row r="1852" spans="3:5" ht="14.1" customHeight="1">
      <c r="C1852">
        <v>4186</v>
      </c>
      <c r="D1852" t="s">
        <v>2011</v>
      </c>
      <c r="E1852">
        <v>441</v>
      </c>
    </row>
    <row r="1853" spans="3:5" ht="14.1" customHeight="1">
      <c r="C1853">
        <v>977</v>
      </c>
      <c r="D1853" t="s">
        <v>2012</v>
      </c>
      <c r="E1853">
        <v>385</v>
      </c>
    </row>
    <row r="1854" spans="3:5" ht="14.1" customHeight="1">
      <c r="C1854">
        <v>3075</v>
      </c>
      <c r="D1854" t="s">
        <v>2013</v>
      </c>
      <c r="E1854">
        <v>0</v>
      </c>
    </row>
    <row r="1855" spans="3:5" ht="14.1" customHeight="1">
      <c r="C1855">
        <v>4370</v>
      </c>
      <c r="D1855" t="s">
        <v>3660</v>
      </c>
      <c r="E1855">
        <v>0</v>
      </c>
    </row>
    <row r="1856" spans="3:5" ht="14.1" customHeight="1">
      <c r="C1856">
        <v>4153</v>
      </c>
      <c r="D1856" t="s">
        <v>2014</v>
      </c>
      <c r="E1856">
        <v>416</v>
      </c>
    </row>
    <row r="1857" spans="3:5" ht="14.1" customHeight="1">
      <c r="C1857">
        <v>2774</v>
      </c>
      <c r="D1857" t="s">
        <v>2015</v>
      </c>
      <c r="E1857">
        <v>492</v>
      </c>
    </row>
    <row r="1858" spans="3:5" ht="14.1" customHeight="1">
      <c r="C1858">
        <v>4793</v>
      </c>
      <c r="D1858" t="s">
        <v>3953</v>
      </c>
      <c r="E1858">
        <v>424</v>
      </c>
    </row>
    <row r="1859" spans="3:5" ht="14.1" customHeight="1">
      <c r="C1859">
        <v>4794</v>
      </c>
      <c r="D1859" t="s">
        <v>3954</v>
      </c>
      <c r="E1859">
        <v>424</v>
      </c>
    </row>
    <row r="1860" spans="3:5" ht="14.1" customHeight="1">
      <c r="C1860">
        <v>796</v>
      </c>
      <c r="D1860" t="s">
        <v>529</v>
      </c>
      <c r="E1860">
        <v>544</v>
      </c>
    </row>
    <row r="1861" spans="3:5" ht="14.1" customHeight="1">
      <c r="C1861">
        <v>1368</v>
      </c>
      <c r="D1861" t="s">
        <v>2016</v>
      </c>
      <c r="E1861">
        <v>607</v>
      </c>
    </row>
    <row r="1862" spans="3:5" ht="14.1" customHeight="1">
      <c r="C1862">
        <v>1156</v>
      </c>
      <c r="D1862" t="s">
        <v>2017</v>
      </c>
      <c r="E1862">
        <v>547</v>
      </c>
    </row>
    <row r="1863" spans="3:5" ht="14.1" customHeight="1">
      <c r="C1863">
        <v>1066</v>
      </c>
      <c r="D1863" t="s">
        <v>2018</v>
      </c>
      <c r="E1863">
        <v>679</v>
      </c>
    </row>
    <row r="1864" spans="3:5" ht="14.1" customHeight="1">
      <c r="C1864">
        <v>905</v>
      </c>
      <c r="D1864" t="s">
        <v>530</v>
      </c>
      <c r="E1864">
        <v>692</v>
      </c>
    </row>
    <row r="1865" spans="3:5" ht="14.1" customHeight="1">
      <c r="C1865">
        <v>4349</v>
      </c>
      <c r="D1865" t="s">
        <v>2019</v>
      </c>
      <c r="E1865">
        <v>758</v>
      </c>
    </row>
    <row r="1866" spans="3:5" ht="14.1" customHeight="1">
      <c r="C1866">
        <v>4434</v>
      </c>
      <c r="D1866" t="s">
        <v>3661</v>
      </c>
      <c r="E1866">
        <v>445</v>
      </c>
    </row>
    <row r="1867" spans="3:5" ht="14.1" customHeight="1">
      <c r="C1867">
        <v>5024</v>
      </c>
      <c r="D1867" t="s">
        <v>3661</v>
      </c>
      <c r="E1867">
        <v>0</v>
      </c>
    </row>
    <row r="1868" spans="3:5" ht="14.1" customHeight="1">
      <c r="C1868">
        <v>5023</v>
      </c>
      <c r="D1868" t="s">
        <v>3955</v>
      </c>
      <c r="E1868">
        <v>0</v>
      </c>
    </row>
    <row r="1869" spans="3:5" ht="14.1" customHeight="1">
      <c r="C1869">
        <v>3192</v>
      </c>
      <c r="D1869" t="s">
        <v>2020</v>
      </c>
      <c r="E1869">
        <v>0</v>
      </c>
    </row>
    <row r="1870" spans="3:5" ht="14.1" customHeight="1">
      <c r="C1870">
        <v>4264</v>
      </c>
      <c r="D1870" t="s">
        <v>2021</v>
      </c>
      <c r="E1870">
        <v>421</v>
      </c>
    </row>
    <row r="1871" spans="3:5" ht="14.1" customHeight="1">
      <c r="C1871">
        <v>1850</v>
      </c>
      <c r="D1871" t="s">
        <v>2022</v>
      </c>
      <c r="E1871">
        <v>802</v>
      </c>
    </row>
    <row r="1872" spans="3:5" ht="14.1" customHeight="1">
      <c r="C1872">
        <v>4592</v>
      </c>
      <c r="D1872" t="s">
        <v>3662</v>
      </c>
      <c r="E1872">
        <v>0</v>
      </c>
    </row>
    <row r="1873" spans="3:5" ht="14.1" customHeight="1">
      <c r="C1873">
        <v>4770</v>
      </c>
      <c r="D1873" t="s">
        <v>3956</v>
      </c>
      <c r="E1873">
        <v>568</v>
      </c>
    </row>
    <row r="1874" spans="3:5" ht="14.1" customHeight="1">
      <c r="C1874">
        <v>2760</v>
      </c>
      <c r="D1874" t="s">
        <v>2023</v>
      </c>
      <c r="E1874">
        <v>558</v>
      </c>
    </row>
    <row r="1875" spans="3:5" ht="14.1" customHeight="1">
      <c r="C1875">
        <v>636</v>
      </c>
      <c r="D1875" t="s">
        <v>531</v>
      </c>
      <c r="E1875">
        <v>700</v>
      </c>
    </row>
    <row r="1876" spans="3:5" ht="14.1" customHeight="1">
      <c r="C1876">
        <v>1050</v>
      </c>
      <c r="D1876" t="s">
        <v>2024</v>
      </c>
      <c r="E1876">
        <v>683</v>
      </c>
    </row>
    <row r="1877" spans="3:5" ht="14.1" customHeight="1">
      <c r="C1877">
        <v>4655</v>
      </c>
      <c r="D1877" t="s">
        <v>3957</v>
      </c>
      <c r="E1877">
        <v>1037</v>
      </c>
    </row>
    <row r="1878" spans="3:5" ht="14.1" customHeight="1">
      <c r="C1878">
        <v>2355</v>
      </c>
      <c r="D1878" t="s">
        <v>2025</v>
      </c>
      <c r="E1878">
        <v>636</v>
      </c>
    </row>
    <row r="1879" spans="3:5" ht="14.1" customHeight="1">
      <c r="C1879">
        <v>149</v>
      </c>
      <c r="D1879" t="s">
        <v>532</v>
      </c>
      <c r="E1879">
        <v>812</v>
      </c>
    </row>
    <row r="1880" spans="3:5" ht="14.1" customHeight="1">
      <c r="C1880">
        <v>1563</v>
      </c>
      <c r="D1880" t="s">
        <v>2026</v>
      </c>
      <c r="E1880">
        <v>589</v>
      </c>
    </row>
    <row r="1881" spans="3:5" ht="14.1" customHeight="1">
      <c r="C1881">
        <v>5181</v>
      </c>
      <c r="D1881" t="s">
        <v>4273</v>
      </c>
      <c r="E1881">
        <v>395</v>
      </c>
    </row>
    <row r="1882" spans="3:5" ht="14.1" customHeight="1">
      <c r="C1882">
        <v>4477</v>
      </c>
      <c r="D1882" t="s">
        <v>3663</v>
      </c>
      <c r="E1882">
        <v>445</v>
      </c>
    </row>
    <row r="1883" spans="3:5" ht="14.1" customHeight="1">
      <c r="C1883">
        <v>861</v>
      </c>
      <c r="D1883" t="s">
        <v>533</v>
      </c>
      <c r="E1883">
        <v>861</v>
      </c>
    </row>
    <row r="1884" spans="3:5" ht="14.1" customHeight="1">
      <c r="C1884">
        <v>1676</v>
      </c>
      <c r="D1884" t="s">
        <v>2027</v>
      </c>
      <c r="E1884">
        <v>640</v>
      </c>
    </row>
    <row r="1885" spans="3:5" ht="14.1" customHeight="1">
      <c r="C1885">
        <v>3363</v>
      </c>
      <c r="D1885" t="s">
        <v>2028</v>
      </c>
      <c r="E1885">
        <v>571</v>
      </c>
    </row>
    <row r="1886" spans="3:5" ht="14.1" customHeight="1">
      <c r="C1886">
        <v>4696</v>
      </c>
      <c r="D1886" t="s">
        <v>3958</v>
      </c>
      <c r="E1886">
        <v>576</v>
      </c>
    </row>
    <row r="1887" spans="3:5" ht="14.1" customHeight="1">
      <c r="C1887">
        <v>111</v>
      </c>
      <c r="D1887" t="s">
        <v>534</v>
      </c>
      <c r="E1887">
        <v>1015</v>
      </c>
    </row>
    <row r="1888" spans="3:5" ht="14.1" customHeight="1">
      <c r="C1888">
        <v>2123</v>
      </c>
      <c r="D1888" t="s">
        <v>2029</v>
      </c>
      <c r="E1888">
        <v>626</v>
      </c>
    </row>
    <row r="1889" spans="3:5" ht="14.1" customHeight="1">
      <c r="C1889">
        <v>4320</v>
      </c>
      <c r="D1889" t="s">
        <v>2030</v>
      </c>
      <c r="E1889">
        <v>668</v>
      </c>
    </row>
    <row r="1890" spans="3:5" ht="14.1" customHeight="1">
      <c r="C1890">
        <v>1978</v>
      </c>
      <c r="D1890" t="s">
        <v>2031</v>
      </c>
      <c r="E1890">
        <v>535</v>
      </c>
    </row>
    <row r="1891" spans="3:5" ht="14.1" customHeight="1">
      <c r="C1891">
        <v>638</v>
      </c>
      <c r="D1891" t="s">
        <v>535</v>
      </c>
      <c r="E1891">
        <v>617</v>
      </c>
    </row>
    <row r="1892" spans="3:5" ht="14.1" customHeight="1">
      <c r="C1892">
        <v>4571</v>
      </c>
      <c r="D1892" t="s">
        <v>3664</v>
      </c>
      <c r="E1892">
        <v>508</v>
      </c>
    </row>
    <row r="1893" spans="3:5" ht="14.1" customHeight="1">
      <c r="C1893">
        <v>2168</v>
      </c>
      <c r="D1893" t="s">
        <v>2032</v>
      </c>
      <c r="E1893">
        <v>433</v>
      </c>
    </row>
    <row r="1894" spans="3:5" ht="14.1" customHeight="1">
      <c r="C1894">
        <v>1357</v>
      </c>
      <c r="D1894" t="s">
        <v>2033</v>
      </c>
      <c r="E1894">
        <v>593</v>
      </c>
    </row>
    <row r="1895" spans="3:5" ht="14.1" customHeight="1">
      <c r="C1895">
        <v>506</v>
      </c>
      <c r="D1895" t="s">
        <v>536</v>
      </c>
      <c r="E1895">
        <v>687</v>
      </c>
    </row>
    <row r="1896" spans="3:5" ht="14.1" customHeight="1">
      <c r="C1896">
        <v>3002</v>
      </c>
      <c r="D1896" t="s">
        <v>2034</v>
      </c>
      <c r="E1896">
        <v>0</v>
      </c>
    </row>
    <row r="1897" spans="3:5" ht="14.1" customHeight="1">
      <c r="C1897">
        <v>785</v>
      </c>
      <c r="D1897" t="s">
        <v>537</v>
      </c>
      <c r="E1897">
        <v>765</v>
      </c>
    </row>
    <row r="1898" spans="3:5" ht="14.1" customHeight="1">
      <c r="C1898">
        <v>962</v>
      </c>
      <c r="D1898" t="s">
        <v>2035</v>
      </c>
      <c r="E1898">
        <v>891</v>
      </c>
    </row>
    <row r="1899" spans="3:5" ht="14.1" customHeight="1">
      <c r="C1899">
        <v>4814</v>
      </c>
      <c r="D1899" t="s">
        <v>3959</v>
      </c>
      <c r="E1899">
        <v>345</v>
      </c>
    </row>
    <row r="1900" spans="3:5" ht="14.1" customHeight="1">
      <c r="C1900">
        <v>4427</v>
      </c>
      <c r="D1900" t="s">
        <v>3665</v>
      </c>
      <c r="E1900">
        <v>0</v>
      </c>
    </row>
    <row r="1901" spans="3:5" ht="14.1" customHeight="1">
      <c r="C1901">
        <v>4367</v>
      </c>
      <c r="D1901" t="s">
        <v>3666</v>
      </c>
      <c r="E1901">
        <v>625</v>
      </c>
    </row>
    <row r="1902" spans="3:5" ht="14.1" customHeight="1">
      <c r="C1902">
        <v>358</v>
      </c>
      <c r="D1902" t="s">
        <v>170</v>
      </c>
      <c r="E1902">
        <v>379</v>
      </c>
    </row>
    <row r="1903" spans="3:5" ht="14.1" customHeight="1">
      <c r="C1903">
        <v>1764</v>
      </c>
      <c r="D1903" t="s">
        <v>2036</v>
      </c>
      <c r="E1903">
        <v>1009</v>
      </c>
    </row>
    <row r="1904" spans="3:5" ht="14.1" customHeight="1">
      <c r="C1904">
        <v>4790</v>
      </c>
      <c r="D1904" t="s">
        <v>3960</v>
      </c>
      <c r="E1904">
        <v>464</v>
      </c>
    </row>
    <row r="1905" spans="3:5" ht="14.1" customHeight="1">
      <c r="C1905">
        <v>1540</v>
      </c>
      <c r="D1905" t="s">
        <v>2037</v>
      </c>
      <c r="E1905">
        <v>972</v>
      </c>
    </row>
    <row r="1906" spans="3:5" ht="14.1" customHeight="1">
      <c r="C1906">
        <v>3058</v>
      </c>
      <c r="D1906" t="s">
        <v>2038</v>
      </c>
      <c r="E1906">
        <v>0</v>
      </c>
    </row>
    <row r="1907" spans="3:5" ht="14.1" customHeight="1">
      <c r="C1907">
        <v>2448</v>
      </c>
      <c r="D1907" t="s">
        <v>2039</v>
      </c>
      <c r="E1907">
        <v>845</v>
      </c>
    </row>
    <row r="1908" spans="3:5" ht="14.1" customHeight="1">
      <c r="C1908">
        <v>1549</v>
      </c>
      <c r="D1908" t="s">
        <v>2040</v>
      </c>
      <c r="E1908">
        <v>588</v>
      </c>
    </row>
    <row r="1909" spans="3:5" ht="14.1" customHeight="1">
      <c r="C1909">
        <v>3178</v>
      </c>
      <c r="D1909" t="s">
        <v>2041</v>
      </c>
      <c r="E1909">
        <v>0</v>
      </c>
    </row>
    <row r="1910" spans="3:5" ht="14.1" customHeight="1">
      <c r="C1910">
        <v>4925</v>
      </c>
      <c r="D1910" t="s">
        <v>3961</v>
      </c>
      <c r="E1910">
        <v>506</v>
      </c>
    </row>
    <row r="1911" spans="3:5" ht="14.1" customHeight="1">
      <c r="C1911">
        <v>4638</v>
      </c>
      <c r="D1911" t="s">
        <v>3962</v>
      </c>
      <c r="E1911">
        <v>483</v>
      </c>
    </row>
    <row r="1912" spans="3:5" ht="14.1" customHeight="1">
      <c r="C1912">
        <v>4272</v>
      </c>
      <c r="D1912" t="s">
        <v>2042</v>
      </c>
      <c r="E1912">
        <v>323</v>
      </c>
    </row>
    <row r="1913" spans="3:5" ht="14.1" customHeight="1">
      <c r="C1913">
        <v>3276</v>
      </c>
      <c r="D1913" t="s">
        <v>2043</v>
      </c>
      <c r="E1913">
        <v>0</v>
      </c>
    </row>
    <row r="1914" spans="3:5" ht="14.1" customHeight="1">
      <c r="C1914">
        <v>2180</v>
      </c>
      <c r="D1914" t="s">
        <v>2044</v>
      </c>
      <c r="E1914">
        <v>680</v>
      </c>
    </row>
    <row r="1915" spans="3:5" ht="14.1" customHeight="1">
      <c r="C1915">
        <v>640</v>
      </c>
      <c r="D1915" t="s">
        <v>538</v>
      </c>
      <c r="E1915">
        <v>618</v>
      </c>
    </row>
    <row r="1916" spans="3:5" ht="14.1" customHeight="1">
      <c r="C1916">
        <v>3053</v>
      </c>
      <c r="D1916" t="s">
        <v>2045</v>
      </c>
      <c r="E1916">
        <v>0</v>
      </c>
    </row>
    <row r="1917" spans="3:5" ht="14.1" customHeight="1">
      <c r="C1917">
        <v>1634</v>
      </c>
      <c r="D1917" t="s">
        <v>2046</v>
      </c>
      <c r="E1917">
        <v>601</v>
      </c>
    </row>
    <row r="1918" spans="3:5" ht="14.1" customHeight="1">
      <c r="C1918">
        <v>1058</v>
      </c>
      <c r="D1918" t="s">
        <v>2047</v>
      </c>
      <c r="E1918">
        <v>858</v>
      </c>
    </row>
    <row r="1919" spans="3:5" ht="14.1" customHeight="1">
      <c r="C1919">
        <v>1941</v>
      </c>
      <c r="D1919" t="s">
        <v>2048</v>
      </c>
      <c r="E1919">
        <v>666</v>
      </c>
    </row>
    <row r="1920" spans="3:5" ht="14.1" customHeight="1">
      <c r="C1920">
        <v>4942</v>
      </c>
      <c r="D1920" t="s">
        <v>3963</v>
      </c>
      <c r="E1920">
        <v>386</v>
      </c>
    </row>
    <row r="1921" spans="3:5" ht="14.1" customHeight="1">
      <c r="C1921">
        <v>2943</v>
      </c>
      <c r="D1921" t="s">
        <v>2049</v>
      </c>
      <c r="E1921">
        <v>571</v>
      </c>
    </row>
    <row r="1922" spans="3:5" ht="14.1" customHeight="1">
      <c r="C1922">
        <v>4849</v>
      </c>
      <c r="D1922" t="s">
        <v>3964</v>
      </c>
      <c r="E1922">
        <v>747</v>
      </c>
    </row>
    <row r="1923" spans="3:5" ht="14.1" customHeight="1">
      <c r="C1923">
        <v>4881</v>
      </c>
      <c r="D1923" t="s">
        <v>2050</v>
      </c>
      <c r="E1923">
        <v>0</v>
      </c>
    </row>
    <row r="1924" spans="3:5" ht="14.1" customHeight="1">
      <c r="C1924">
        <v>1573</v>
      </c>
      <c r="D1924" t="s">
        <v>2050</v>
      </c>
      <c r="E1924">
        <v>481</v>
      </c>
    </row>
    <row r="1925" spans="3:5" ht="14.1" customHeight="1">
      <c r="C1925">
        <v>2907</v>
      </c>
      <c r="D1925" t="s">
        <v>2051</v>
      </c>
      <c r="E1925">
        <v>483</v>
      </c>
    </row>
    <row r="1926" spans="3:5" ht="14.1" customHeight="1">
      <c r="C1926">
        <v>4425</v>
      </c>
      <c r="D1926" t="s">
        <v>3667</v>
      </c>
      <c r="E1926">
        <v>0</v>
      </c>
    </row>
    <row r="1927" spans="3:5" ht="14.1" customHeight="1">
      <c r="C1927">
        <v>514</v>
      </c>
      <c r="D1927" t="s">
        <v>539</v>
      </c>
      <c r="E1927">
        <v>548</v>
      </c>
    </row>
    <row r="1928" spans="3:5" ht="14.1" customHeight="1">
      <c r="C1928">
        <v>1603</v>
      </c>
      <c r="D1928" t="s">
        <v>2052</v>
      </c>
      <c r="E1928">
        <v>647</v>
      </c>
    </row>
    <row r="1929" spans="3:5" ht="14.1" customHeight="1">
      <c r="C1929">
        <v>157</v>
      </c>
      <c r="D1929" t="s">
        <v>540</v>
      </c>
      <c r="E1929">
        <v>894</v>
      </c>
    </row>
    <row r="1930" spans="3:5" ht="14.1" customHeight="1">
      <c r="C1930">
        <v>2577</v>
      </c>
      <c r="D1930" t="s">
        <v>2053</v>
      </c>
      <c r="E1930">
        <v>480</v>
      </c>
    </row>
    <row r="1931" spans="3:5" ht="14.1" customHeight="1">
      <c r="C1931">
        <v>637</v>
      </c>
      <c r="D1931" t="s">
        <v>541</v>
      </c>
      <c r="E1931">
        <v>574</v>
      </c>
    </row>
    <row r="1932" spans="3:5" ht="14.1" customHeight="1">
      <c r="C1932">
        <v>2059</v>
      </c>
      <c r="D1932" t="s">
        <v>2054</v>
      </c>
      <c r="E1932">
        <v>552</v>
      </c>
    </row>
    <row r="1933" spans="3:5" ht="14.1" customHeight="1">
      <c r="C1933">
        <v>5126</v>
      </c>
      <c r="D1933" t="s">
        <v>4274</v>
      </c>
      <c r="E1933">
        <v>0</v>
      </c>
    </row>
    <row r="1934" spans="3:5" ht="14.1" customHeight="1">
      <c r="C1934">
        <v>2463</v>
      </c>
      <c r="D1934" t="s">
        <v>2055</v>
      </c>
      <c r="E1934">
        <v>663</v>
      </c>
    </row>
    <row r="1935" spans="3:5" ht="14.1" customHeight="1">
      <c r="C1935">
        <v>4268</v>
      </c>
      <c r="D1935" t="s">
        <v>2056</v>
      </c>
      <c r="E1935">
        <v>436</v>
      </c>
    </row>
    <row r="1936" spans="3:5" ht="14.1" customHeight="1">
      <c r="C1936">
        <v>2418</v>
      </c>
      <c r="D1936" t="s">
        <v>2057</v>
      </c>
      <c r="E1936">
        <v>435</v>
      </c>
    </row>
    <row r="1937" spans="3:5" ht="14.1" customHeight="1">
      <c r="C1937">
        <v>2317</v>
      </c>
      <c r="D1937" t="s">
        <v>2058</v>
      </c>
      <c r="E1937">
        <v>708</v>
      </c>
    </row>
    <row r="1938" spans="3:5" ht="14.1" customHeight="1">
      <c r="C1938">
        <v>5119</v>
      </c>
      <c r="D1938" t="s">
        <v>4275</v>
      </c>
      <c r="E1938">
        <v>431</v>
      </c>
    </row>
    <row r="1939" spans="3:5" ht="14.1" customHeight="1">
      <c r="C1939">
        <v>1305</v>
      </c>
      <c r="D1939" t="s">
        <v>2059</v>
      </c>
      <c r="E1939">
        <v>570</v>
      </c>
    </row>
    <row r="1940" spans="3:5" ht="14.1" customHeight="1">
      <c r="C1940">
        <v>2339</v>
      </c>
      <c r="D1940" t="s">
        <v>2060</v>
      </c>
      <c r="E1940">
        <v>580</v>
      </c>
    </row>
    <row r="1941" spans="3:5" ht="14.1" customHeight="1">
      <c r="C1941">
        <v>1985</v>
      </c>
      <c r="D1941" t="s">
        <v>2061</v>
      </c>
      <c r="E1941">
        <v>718</v>
      </c>
    </row>
    <row r="1942" spans="3:5" ht="14.1" customHeight="1">
      <c r="C1942">
        <v>3235</v>
      </c>
      <c r="D1942" t="s">
        <v>2062</v>
      </c>
      <c r="E1942">
        <v>0</v>
      </c>
    </row>
    <row r="1943" spans="3:5" ht="14.1" customHeight="1">
      <c r="C1943">
        <v>2340</v>
      </c>
      <c r="D1943" t="s">
        <v>2063</v>
      </c>
      <c r="E1943">
        <v>375</v>
      </c>
    </row>
    <row r="1944" spans="3:5" ht="14.1" customHeight="1">
      <c r="C1944">
        <v>2333</v>
      </c>
      <c r="D1944" t="s">
        <v>2064</v>
      </c>
      <c r="E1944">
        <v>525</v>
      </c>
    </row>
    <row r="1945" spans="3:5" ht="14.1" customHeight="1">
      <c r="C1945">
        <v>4856</v>
      </c>
      <c r="D1945" t="s">
        <v>3965</v>
      </c>
      <c r="E1945">
        <v>483</v>
      </c>
    </row>
    <row r="1946" spans="3:5" ht="14.1" customHeight="1">
      <c r="C1946">
        <v>5133</v>
      </c>
      <c r="D1946" t="s">
        <v>2065</v>
      </c>
      <c r="E1946">
        <v>830</v>
      </c>
    </row>
    <row r="1947" spans="3:5" ht="14.1" customHeight="1">
      <c r="C1947">
        <v>2282</v>
      </c>
      <c r="D1947" t="s">
        <v>2066</v>
      </c>
      <c r="E1947">
        <v>476</v>
      </c>
    </row>
    <row r="1948" spans="3:5" ht="14.1" customHeight="1">
      <c r="C1948">
        <v>4500</v>
      </c>
      <c r="D1948" t="s">
        <v>3668</v>
      </c>
      <c r="E1948">
        <v>710</v>
      </c>
    </row>
    <row r="1949" spans="3:5" ht="14.1" customHeight="1">
      <c r="C1949">
        <v>3194</v>
      </c>
      <c r="D1949" t="s">
        <v>2067</v>
      </c>
      <c r="E1949">
        <v>0</v>
      </c>
    </row>
    <row r="1950" spans="3:5" ht="14.1" customHeight="1">
      <c r="C1950">
        <v>204</v>
      </c>
      <c r="D1950" t="s">
        <v>2068</v>
      </c>
      <c r="E1950">
        <v>557</v>
      </c>
    </row>
    <row r="1951" spans="3:5" ht="14.1" customHeight="1">
      <c r="C1951">
        <v>1543</v>
      </c>
      <c r="D1951" t="s">
        <v>2069</v>
      </c>
      <c r="E1951">
        <v>716</v>
      </c>
    </row>
    <row r="1952" spans="3:5" ht="14.1" customHeight="1">
      <c r="C1952">
        <v>792</v>
      </c>
      <c r="D1952" t="s">
        <v>2070</v>
      </c>
      <c r="E1952">
        <v>744</v>
      </c>
    </row>
    <row r="1953" spans="3:5" ht="14.1" customHeight="1">
      <c r="C1953">
        <v>473</v>
      </c>
      <c r="D1953" t="s">
        <v>542</v>
      </c>
      <c r="E1953">
        <v>856</v>
      </c>
    </row>
    <row r="1954" spans="3:5" ht="14.1" customHeight="1">
      <c r="C1954">
        <v>4819</v>
      </c>
      <c r="D1954" t="s">
        <v>3966</v>
      </c>
      <c r="E1954">
        <v>455</v>
      </c>
    </row>
    <row r="1955" spans="3:5" ht="14.1" customHeight="1">
      <c r="C1955">
        <v>1641</v>
      </c>
      <c r="D1955" t="s">
        <v>2071</v>
      </c>
      <c r="E1955">
        <v>520</v>
      </c>
    </row>
    <row r="1956" spans="3:5" ht="14.1" customHeight="1">
      <c r="C1956">
        <v>3017</v>
      </c>
      <c r="D1956" t="s">
        <v>2072</v>
      </c>
      <c r="E1956">
        <v>0</v>
      </c>
    </row>
    <row r="1957" spans="3:5" ht="14.1" customHeight="1">
      <c r="C1957">
        <v>4222</v>
      </c>
      <c r="D1957" t="s">
        <v>2073</v>
      </c>
      <c r="E1957">
        <v>521</v>
      </c>
    </row>
    <row r="1958" spans="3:5" ht="14.1" customHeight="1">
      <c r="C1958">
        <v>4962</v>
      </c>
      <c r="D1958" t="s">
        <v>3967</v>
      </c>
      <c r="E1958">
        <v>824</v>
      </c>
    </row>
    <row r="1959" spans="3:5" ht="14.1" customHeight="1">
      <c r="C1959">
        <v>2565</v>
      </c>
      <c r="D1959" t="s">
        <v>2074</v>
      </c>
      <c r="E1959">
        <v>544</v>
      </c>
    </row>
    <row r="1960" spans="3:5" ht="14.1" customHeight="1">
      <c r="C1960">
        <v>3299</v>
      </c>
      <c r="D1960" t="s">
        <v>2075</v>
      </c>
      <c r="E1960">
        <v>0</v>
      </c>
    </row>
    <row r="1961" spans="3:5" ht="14.1" customHeight="1">
      <c r="C1961">
        <v>2715</v>
      </c>
      <c r="D1961" t="s">
        <v>2076</v>
      </c>
      <c r="E1961">
        <v>605</v>
      </c>
    </row>
    <row r="1962" spans="3:5" ht="14.1" customHeight="1">
      <c r="C1962">
        <v>2304</v>
      </c>
      <c r="D1962" t="s">
        <v>2077</v>
      </c>
      <c r="E1962">
        <v>616</v>
      </c>
    </row>
    <row r="1963" spans="3:5" ht="14.1" customHeight="1">
      <c r="C1963">
        <v>5060</v>
      </c>
      <c r="D1963" t="s">
        <v>4276</v>
      </c>
      <c r="E1963">
        <v>547</v>
      </c>
    </row>
    <row r="1964" spans="3:5" ht="14.1" customHeight="1">
      <c r="C1964">
        <v>2727</v>
      </c>
      <c r="D1964" t="s">
        <v>2078</v>
      </c>
      <c r="E1964">
        <v>705</v>
      </c>
    </row>
    <row r="1965" spans="3:5" ht="14.1" customHeight="1">
      <c r="C1965">
        <v>4968</v>
      </c>
      <c r="D1965" t="s">
        <v>3968</v>
      </c>
      <c r="E1965">
        <v>676</v>
      </c>
    </row>
    <row r="1966" spans="3:5" ht="14.1" customHeight="1">
      <c r="C1966">
        <v>4594</v>
      </c>
      <c r="D1966" t="s">
        <v>3669</v>
      </c>
      <c r="E1966">
        <v>0</v>
      </c>
    </row>
    <row r="1967" spans="3:5" ht="14.1" customHeight="1">
      <c r="C1967">
        <v>4730</v>
      </c>
      <c r="D1967" t="s">
        <v>3969</v>
      </c>
      <c r="E1967">
        <v>500</v>
      </c>
    </row>
    <row r="1968" spans="3:5" ht="14.1" customHeight="1">
      <c r="C1968">
        <v>5192</v>
      </c>
      <c r="D1968" t="s">
        <v>4277</v>
      </c>
      <c r="E1968">
        <v>611</v>
      </c>
    </row>
    <row r="1969" spans="3:5" ht="14.1" customHeight="1">
      <c r="C1969">
        <v>665</v>
      </c>
      <c r="D1969" t="s">
        <v>543</v>
      </c>
      <c r="E1969">
        <v>649</v>
      </c>
    </row>
    <row r="1970" spans="3:5" ht="14.1" customHeight="1">
      <c r="C1970">
        <v>706</v>
      </c>
      <c r="D1970" t="s">
        <v>2079</v>
      </c>
      <c r="E1970">
        <v>0</v>
      </c>
    </row>
    <row r="1971" spans="3:5" ht="14.1" customHeight="1">
      <c r="C1971">
        <v>3095</v>
      </c>
      <c r="D1971" t="s">
        <v>2080</v>
      </c>
      <c r="E1971">
        <v>0</v>
      </c>
    </row>
    <row r="1972" spans="3:5" ht="14.1" customHeight="1">
      <c r="C1972">
        <v>2700</v>
      </c>
      <c r="D1972" t="s">
        <v>2081</v>
      </c>
      <c r="E1972">
        <v>617</v>
      </c>
    </row>
    <row r="1973" spans="3:5" ht="14.1" customHeight="1">
      <c r="C1973">
        <v>4332</v>
      </c>
      <c r="D1973" t="s">
        <v>2082</v>
      </c>
      <c r="E1973">
        <v>699</v>
      </c>
    </row>
    <row r="1974" spans="3:5" ht="14.1" customHeight="1">
      <c r="C1974">
        <v>3340</v>
      </c>
      <c r="D1974" t="s">
        <v>2083</v>
      </c>
      <c r="E1974">
        <v>487</v>
      </c>
    </row>
    <row r="1975" spans="3:5" ht="14.1" customHeight="1">
      <c r="C1975">
        <v>4888</v>
      </c>
      <c r="D1975" t="s">
        <v>3970</v>
      </c>
      <c r="E1975">
        <v>492</v>
      </c>
    </row>
    <row r="1976" spans="3:5" ht="14.1" customHeight="1">
      <c r="C1976">
        <v>2840</v>
      </c>
      <c r="D1976" t="s">
        <v>2084</v>
      </c>
      <c r="E1976">
        <v>477</v>
      </c>
    </row>
    <row r="1977" spans="3:5" ht="14.1" customHeight="1">
      <c r="C1977">
        <v>2912</v>
      </c>
      <c r="D1977" t="s">
        <v>2085</v>
      </c>
      <c r="E1977">
        <v>750</v>
      </c>
    </row>
    <row r="1978" spans="3:5" ht="14.1" customHeight="1">
      <c r="C1978">
        <v>4725</v>
      </c>
      <c r="D1978" t="s">
        <v>3971</v>
      </c>
      <c r="E1978">
        <v>445</v>
      </c>
    </row>
    <row r="1979" spans="3:5" ht="14.1" customHeight="1">
      <c r="C1979">
        <v>11</v>
      </c>
      <c r="D1979" t="s">
        <v>171</v>
      </c>
      <c r="E1979">
        <v>554</v>
      </c>
    </row>
    <row r="1980" spans="3:5" ht="14.1" customHeight="1">
      <c r="C1980">
        <v>4677</v>
      </c>
      <c r="D1980" t="s">
        <v>3972</v>
      </c>
      <c r="E1980">
        <v>668</v>
      </c>
    </row>
    <row r="1981" spans="3:5" ht="14.1" customHeight="1">
      <c r="C1981">
        <v>1839</v>
      </c>
      <c r="D1981" t="s">
        <v>2086</v>
      </c>
      <c r="E1981">
        <v>807</v>
      </c>
    </row>
    <row r="1982" spans="3:5" ht="14.1" customHeight="1">
      <c r="C1982">
        <v>4444</v>
      </c>
      <c r="D1982" t="s">
        <v>3670</v>
      </c>
      <c r="E1982">
        <v>482</v>
      </c>
    </row>
    <row r="1983" spans="3:5" ht="14.1" customHeight="1">
      <c r="C1983">
        <v>997</v>
      </c>
      <c r="D1983" t="s">
        <v>2087</v>
      </c>
      <c r="E1983">
        <v>612</v>
      </c>
    </row>
    <row r="1984" spans="3:5" ht="14.1" customHeight="1">
      <c r="C1984">
        <v>4804</v>
      </c>
      <c r="D1984" t="s">
        <v>3973</v>
      </c>
      <c r="E1984">
        <v>364</v>
      </c>
    </row>
    <row r="1985" spans="3:5" ht="14.1" customHeight="1">
      <c r="C1985">
        <v>2888</v>
      </c>
      <c r="D1985" t="s">
        <v>2088</v>
      </c>
      <c r="E1985">
        <v>623</v>
      </c>
    </row>
    <row r="1986" spans="3:5" ht="14.1" customHeight="1">
      <c r="C1986">
        <v>4663</v>
      </c>
      <c r="D1986" t="s">
        <v>3974</v>
      </c>
      <c r="E1986">
        <v>736</v>
      </c>
    </row>
    <row r="1987" spans="3:5" ht="14.1" customHeight="1">
      <c r="C1987">
        <v>4361</v>
      </c>
      <c r="D1987" t="s">
        <v>3671</v>
      </c>
      <c r="E1987">
        <v>653</v>
      </c>
    </row>
    <row r="1988" spans="3:5" ht="14.1" customHeight="1">
      <c r="C1988">
        <v>4429</v>
      </c>
      <c r="D1988" t="s">
        <v>3672</v>
      </c>
      <c r="E1988">
        <v>691</v>
      </c>
    </row>
    <row r="1989" spans="3:5" ht="14.1" customHeight="1">
      <c r="C1989">
        <v>1391</v>
      </c>
      <c r="D1989" t="s">
        <v>2089</v>
      </c>
      <c r="E1989">
        <v>672</v>
      </c>
    </row>
    <row r="1990" spans="3:5" ht="14.1" customHeight="1">
      <c r="C1990">
        <v>5085</v>
      </c>
      <c r="D1990" t="s">
        <v>4278</v>
      </c>
      <c r="E1990">
        <v>414</v>
      </c>
    </row>
    <row r="1991" spans="3:5" ht="14.1" customHeight="1">
      <c r="C1991">
        <v>967</v>
      </c>
      <c r="D1991" t="s">
        <v>2090</v>
      </c>
      <c r="E1991">
        <v>449</v>
      </c>
    </row>
    <row r="1992" spans="3:5" ht="14.1" customHeight="1">
      <c r="C1992">
        <v>3257</v>
      </c>
      <c r="D1992" t="s">
        <v>2091</v>
      </c>
      <c r="E1992">
        <v>0</v>
      </c>
    </row>
    <row r="1993" spans="3:5" ht="14.1" customHeight="1">
      <c r="C1993">
        <v>4309</v>
      </c>
      <c r="D1993" t="s">
        <v>2092</v>
      </c>
      <c r="E1993">
        <v>488</v>
      </c>
    </row>
    <row r="1994" spans="3:5" ht="14.1" customHeight="1">
      <c r="C1994">
        <v>2568</v>
      </c>
      <c r="D1994" t="s">
        <v>2093</v>
      </c>
      <c r="E1994">
        <v>466</v>
      </c>
    </row>
    <row r="1995" spans="3:5" ht="14.1" customHeight="1">
      <c r="C1995">
        <v>1718</v>
      </c>
      <c r="D1995" t="s">
        <v>2094</v>
      </c>
      <c r="E1995">
        <v>0</v>
      </c>
    </row>
    <row r="1996" spans="3:5" ht="14.1" customHeight="1">
      <c r="C1996">
        <v>2604</v>
      </c>
      <c r="D1996" t="s">
        <v>2095</v>
      </c>
      <c r="E1996">
        <v>414</v>
      </c>
    </row>
    <row r="1997" spans="3:5" ht="14.1" customHeight="1">
      <c r="C1997">
        <v>2849</v>
      </c>
      <c r="D1997" t="s">
        <v>2096</v>
      </c>
      <c r="E1997">
        <v>554</v>
      </c>
    </row>
    <row r="1998" spans="3:5" ht="14.1" customHeight="1">
      <c r="C1998">
        <v>2121</v>
      </c>
      <c r="D1998" t="s">
        <v>2097</v>
      </c>
      <c r="E1998">
        <v>657</v>
      </c>
    </row>
    <row r="1999" spans="3:5" ht="14.1" customHeight="1">
      <c r="C1999">
        <v>183</v>
      </c>
      <c r="D1999" t="s">
        <v>2098</v>
      </c>
      <c r="E1999">
        <v>577</v>
      </c>
    </row>
    <row r="2000" spans="3:5" ht="14.1" customHeight="1">
      <c r="C2000">
        <v>4699</v>
      </c>
      <c r="D2000" t="s">
        <v>3975</v>
      </c>
      <c r="E2000">
        <v>388</v>
      </c>
    </row>
    <row r="2001" spans="3:5" ht="14.1" customHeight="1">
      <c r="C2001">
        <v>2569</v>
      </c>
      <c r="D2001" t="s">
        <v>2099</v>
      </c>
      <c r="E2001">
        <v>556</v>
      </c>
    </row>
    <row r="2002" spans="3:5" ht="14.1" customHeight="1">
      <c r="C2002">
        <v>4939</v>
      </c>
      <c r="D2002" t="s">
        <v>3976</v>
      </c>
      <c r="E2002">
        <v>383</v>
      </c>
    </row>
    <row r="2003" spans="3:5" ht="14.1" customHeight="1">
      <c r="C2003">
        <v>4221</v>
      </c>
      <c r="D2003" t="s">
        <v>2100</v>
      </c>
      <c r="E2003">
        <v>467</v>
      </c>
    </row>
    <row r="2004" spans="3:5" ht="14.1" customHeight="1">
      <c r="C2004">
        <v>3281</v>
      </c>
      <c r="D2004" t="s">
        <v>2101</v>
      </c>
      <c r="E2004">
        <v>0</v>
      </c>
    </row>
    <row r="2005" spans="3:5" ht="14.1" customHeight="1">
      <c r="C2005">
        <v>690</v>
      </c>
      <c r="D2005" t="s">
        <v>2102</v>
      </c>
      <c r="E2005">
        <v>652</v>
      </c>
    </row>
    <row r="2006" spans="3:5" ht="14.1" customHeight="1">
      <c r="C2006">
        <v>353</v>
      </c>
      <c r="D2006" t="s">
        <v>172</v>
      </c>
      <c r="E2006">
        <v>528</v>
      </c>
    </row>
    <row r="2007" spans="3:5" ht="14.1" customHeight="1">
      <c r="C2007">
        <v>459</v>
      </c>
      <c r="D2007" t="s">
        <v>276</v>
      </c>
      <c r="E2007">
        <v>454</v>
      </c>
    </row>
    <row r="2008" spans="3:5" ht="14.1" customHeight="1">
      <c r="C2008">
        <v>921</v>
      </c>
      <c r="D2008" t="s">
        <v>2103</v>
      </c>
      <c r="E2008">
        <v>1043</v>
      </c>
    </row>
    <row r="2009" spans="3:5" ht="14.1" customHeight="1">
      <c r="C2009">
        <v>1283</v>
      </c>
      <c r="D2009" t="s">
        <v>2104</v>
      </c>
      <c r="E2009">
        <v>408</v>
      </c>
    </row>
    <row r="2010" spans="3:5" ht="14.1" customHeight="1">
      <c r="C2010">
        <v>2881</v>
      </c>
      <c r="D2010" t="s">
        <v>2105</v>
      </c>
      <c r="E2010">
        <v>387</v>
      </c>
    </row>
    <row r="2011" spans="3:5" ht="14.1" customHeight="1">
      <c r="C2011">
        <v>2598</v>
      </c>
      <c r="D2011" t="s">
        <v>2106</v>
      </c>
      <c r="E2011">
        <v>700</v>
      </c>
    </row>
    <row r="2012" spans="3:5" ht="14.1" customHeight="1">
      <c r="C2012">
        <v>1095</v>
      </c>
      <c r="D2012" t="s">
        <v>2107</v>
      </c>
      <c r="E2012">
        <v>548</v>
      </c>
    </row>
    <row r="2013" spans="3:5" ht="14.1" customHeight="1">
      <c r="C2013">
        <v>579</v>
      </c>
      <c r="D2013" t="s">
        <v>2108</v>
      </c>
      <c r="E2013">
        <v>428</v>
      </c>
    </row>
    <row r="2014" spans="3:5" ht="14.1" customHeight="1">
      <c r="C2014">
        <v>3351</v>
      </c>
      <c r="D2014" t="s">
        <v>2109</v>
      </c>
      <c r="E2014">
        <v>532</v>
      </c>
    </row>
    <row r="2015" spans="3:5" ht="14.1" customHeight="1">
      <c r="C2015">
        <v>1702</v>
      </c>
      <c r="D2015" t="s">
        <v>2110</v>
      </c>
      <c r="E2015">
        <v>0</v>
      </c>
    </row>
    <row r="2016" spans="3:5" ht="14.1" customHeight="1">
      <c r="C2016">
        <v>1188</v>
      </c>
      <c r="D2016" t="s">
        <v>2111</v>
      </c>
      <c r="E2016">
        <v>552</v>
      </c>
    </row>
    <row r="2017" spans="3:5" ht="14.1" customHeight="1">
      <c r="C2017">
        <v>1189</v>
      </c>
      <c r="D2017" t="s">
        <v>2112</v>
      </c>
      <c r="E2017">
        <v>537</v>
      </c>
    </row>
    <row r="2018" spans="3:5" ht="14.1" customHeight="1">
      <c r="C2018">
        <v>2008</v>
      </c>
      <c r="D2018" t="s">
        <v>2113</v>
      </c>
      <c r="E2018">
        <v>524</v>
      </c>
    </row>
    <row r="2019" spans="3:5" ht="14.1" customHeight="1">
      <c r="C2019">
        <v>1880</v>
      </c>
      <c r="D2019" t="s">
        <v>2114</v>
      </c>
      <c r="E2019">
        <v>488</v>
      </c>
    </row>
    <row r="2020" spans="3:5" ht="14.1" customHeight="1">
      <c r="C2020">
        <v>2599</v>
      </c>
      <c r="D2020" t="s">
        <v>2115</v>
      </c>
      <c r="E2020">
        <v>669</v>
      </c>
    </row>
    <row r="2021" spans="3:5" ht="14.1" customHeight="1">
      <c r="C2021">
        <v>2453</v>
      </c>
      <c r="D2021" t="s">
        <v>2116</v>
      </c>
      <c r="E2021">
        <v>694</v>
      </c>
    </row>
    <row r="2022" spans="3:5" ht="14.1" customHeight="1">
      <c r="C2022">
        <v>2420</v>
      </c>
      <c r="D2022" t="s">
        <v>2117</v>
      </c>
      <c r="E2022">
        <v>431</v>
      </c>
    </row>
    <row r="2023" spans="3:5" ht="14.1" customHeight="1">
      <c r="C2023">
        <v>1475</v>
      </c>
      <c r="D2023" t="s">
        <v>2118</v>
      </c>
      <c r="E2023">
        <v>861</v>
      </c>
    </row>
    <row r="2024" spans="3:5" ht="14.1" customHeight="1">
      <c r="C2024">
        <v>218</v>
      </c>
      <c r="D2024" t="s">
        <v>173</v>
      </c>
      <c r="E2024">
        <v>560</v>
      </c>
    </row>
    <row r="2025" spans="3:5" ht="14.1" customHeight="1">
      <c r="C2025">
        <v>3322</v>
      </c>
      <c r="D2025" t="s">
        <v>2119</v>
      </c>
      <c r="E2025">
        <v>0</v>
      </c>
    </row>
    <row r="2026" spans="3:5" ht="14.1" customHeight="1">
      <c r="C2026">
        <v>155</v>
      </c>
      <c r="D2026" t="s">
        <v>174</v>
      </c>
      <c r="E2026">
        <v>520</v>
      </c>
    </row>
    <row r="2027" spans="3:5" ht="14.1" customHeight="1">
      <c r="C2027">
        <v>2351</v>
      </c>
      <c r="D2027" t="s">
        <v>2120</v>
      </c>
      <c r="E2027">
        <v>443</v>
      </c>
    </row>
    <row r="2028" spans="3:5" ht="14.1" customHeight="1">
      <c r="C2028">
        <v>3293</v>
      </c>
      <c r="D2028" t="s">
        <v>2121</v>
      </c>
      <c r="E2028">
        <v>0</v>
      </c>
    </row>
    <row r="2029" spans="3:5" ht="14.1" customHeight="1">
      <c r="C2029">
        <v>434</v>
      </c>
      <c r="D2029" t="s">
        <v>175</v>
      </c>
      <c r="E2029">
        <v>608</v>
      </c>
    </row>
    <row r="2030" spans="3:5" ht="14.1" customHeight="1">
      <c r="C2030">
        <v>2108</v>
      </c>
      <c r="D2030" t="s">
        <v>2122</v>
      </c>
      <c r="E2030">
        <v>556</v>
      </c>
    </row>
    <row r="2031" spans="3:5" ht="14.1" customHeight="1">
      <c r="C2031">
        <v>535</v>
      </c>
      <c r="D2031" t="s">
        <v>544</v>
      </c>
      <c r="E2031">
        <v>501</v>
      </c>
    </row>
    <row r="2032" spans="3:5" ht="14.1" customHeight="1">
      <c r="C2032">
        <v>2838</v>
      </c>
      <c r="D2032" t="s">
        <v>2123</v>
      </c>
      <c r="E2032">
        <v>479</v>
      </c>
    </row>
    <row r="2033" spans="3:5" ht="14.1" customHeight="1">
      <c r="C2033">
        <v>4541</v>
      </c>
      <c r="D2033" t="s">
        <v>3673</v>
      </c>
      <c r="E2033">
        <v>605</v>
      </c>
    </row>
    <row r="2034" spans="3:5" ht="14.1" customHeight="1">
      <c r="C2034">
        <v>521</v>
      </c>
      <c r="D2034" t="s">
        <v>545</v>
      </c>
      <c r="E2034">
        <v>453</v>
      </c>
    </row>
    <row r="2035" spans="3:5" ht="14.1" customHeight="1">
      <c r="C2035">
        <v>4815</v>
      </c>
      <c r="D2035" t="s">
        <v>3977</v>
      </c>
      <c r="E2035">
        <v>345</v>
      </c>
    </row>
    <row r="2036" spans="3:5" ht="14.1" customHeight="1">
      <c r="C2036">
        <v>2678</v>
      </c>
      <c r="D2036" t="s">
        <v>2124</v>
      </c>
      <c r="E2036">
        <v>691</v>
      </c>
    </row>
    <row r="2037" spans="3:5" ht="14.1" customHeight="1">
      <c r="C2037">
        <v>4531</v>
      </c>
      <c r="D2037" t="s">
        <v>3674</v>
      </c>
      <c r="E2037">
        <v>580</v>
      </c>
    </row>
    <row r="2038" spans="3:5" ht="14.1" customHeight="1">
      <c r="C2038">
        <v>993</v>
      </c>
      <c r="D2038" t="s">
        <v>2125</v>
      </c>
      <c r="E2038">
        <v>461</v>
      </c>
    </row>
    <row r="2039" spans="3:5" ht="14.1" customHeight="1">
      <c r="C2039">
        <v>452</v>
      </c>
      <c r="D2039" t="s">
        <v>2126</v>
      </c>
      <c r="E2039">
        <v>597</v>
      </c>
    </row>
    <row r="2040" spans="3:5" ht="14.1" customHeight="1">
      <c r="C2040">
        <v>184</v>
      </c>
      <c r="D2040" t="s">
        <v>176</v>
      </c>
      <c r="E2040">
        <v>460</v>
      </c>
    </row>
    <row r="2041" spans="3:5" ht="14.1" customHeight="1">
      <c r="C2041">
        <v>4265</v>
      </c>
      <c r="D2041" t="s">
        <v>2127</v>
      </c>
      <c r="E2041">
        <v>471</v>
      </c>
    </row>
    <row r="2042" spans="3:5" ht="14.1" customHeight="1">
      <c r="C2042">
        <v>2889</v>
      </c>
      <c r="D2042" t="s">
        <v>2128</v>
      </c>
      <c r="E2042">
        <v>623</v>
      </c>
    </row>
    <row r="2043" spans="3:5" ht="14.1" customHeight="1">
      <c r="C2043">
        <v>2800</v>
      </c>
      <c r="D2043" t="s">
        <v>2129</v>
      </c>
      <c r="E2043">
        <v>443</v>
      </c>
    </row>
    <row r="2044" spans="3:5" ht="14.1" customHeight="1">
      <c r="C2044">
        <v>1875</v>
      </c>
      <c r="D2044" t="s">
        <v>2130</v>
      </c>
      <c r="E2044">
        <v>546</v>
      </c>
    </row>
    <row r="2045" spans="3:5" ht="14.1" customHeight="1">
      <c r="C2045">
        <v>864</v>
      </c>
      <c r="D2045" t="s">
        <v>546</v>
      </c>
      <c r="E2045">
        <v>696</v>
      </c>
    </row>
    <row r="2046" spans="3:5" ht="14.1" customHeight="1">
      <c r="C2046">
        <v>4357</v>
      </c>
      <c r="D2046" t="s">
        <v>3675</v>
      </c>
      <c r="E2046">
        <v>475</v>
      </c>
    </row>
    <row r="2047" spans="3:5" ht="14.1" customHeight="1">
      <c r="C2047">
        <v>4709</v>
      </c>
      <c r="D2047" t="s">
        <v>3978</v>
      </c>
      <c r="E2047">
        <v>401</v>
      </c>
    </row>
    <row r="2048" spans="3:5" ht="14.1" customHeight="1">
      <c r="C2048">
        <v>4862</v>
      </c>
      <c r="D2048" t="s">
        <v>3979</v>
      </c>
      <c r="E2048">
        <v>878</v>
      </c>
    </row>
    <row r="2049" spans="3:5" ht="14.1" customHeight="1">
      <c r="C2049">
        <v>338</v>
      </c>
      <c r="D2049" t="s">
        <v>2131</v>
      </c>
      <c r="E2049">
        <v>502</v>
      </c>
    </row>
    <row r="2050" spans="3:5" ht="14.1" customHeight="1">
      <c r="C2050">
        <v>4486</v>
      </c>
      <c r="D2050" t="s">
        <v>3676</v>
      </c>
      <c r="E2050">
        <v>360</v>
      </c>
    </row>
    <row r="2051" spans="3:5" ht="14.1" customHeight="1">
      <c r="C2051">
        <v>3078</v>
      </c>
      <c r="D2051" t="s">
        <v>2132</v>
      </c>
      <c r="E2051">
        <v>0</v>
      </c>
    </row>
    <row r="2052" spans="3:5" ht="14.1" customHeight="1">
      <c r="C2052">
        <v>3158</v>
      </c>
      <c r="D2052" t="s">
        <v>2133</v>
      </c>
      <c r="E2052">
        <v>0</v>
      </c>
    </row>
    <row r="2053" spans="3:5" ht="14.1" customHeight="1">
      <c r="C2053">
        <v>4110</v>
      </c>
      <c r="D2053" t="s">
        <v>2134</v>
      </c>
      <c r="E2053">
        <v>600</v>
      </c>
    </row>
    <row r="2054" spans="3:5" ht="14.1" customHeight="1">
      <c r="C2054">
        <v>4445</v>
      </c>
      <c r="D2054" t="s">
        <v>3677</v>
      </c>
      <c r="E2054">
        <v>446</v>
      </c>
    </row>
    <row r="2055" spans="3:5" ht="14.1" customHeight="1">
      <c r="C2055">
        <v>3259</v>
      </c>
      <c r="D2055" t="s">
        <v>2135</v>
      </c>
      <c r="E2055">
        <v>463</v>
      </c>
    </row>
    <row r="2056" spans="3:5" ht="14.1" customHeight="1">
      <c r="C2056">
        <v>2210</v>
      </c>
      <c r="D2056" t="s">
        <v>2136</v>
      </c>
      <c r="E2056">
        <v>467</v>
      </c>
    </row>
    <row r="2057" spans="3:5" ht="14.1" customHeight="1">
      <c r="C2057">
        <v>2353</v>
      </c>
      <c r="D2057" t="s">
        <v>2137</v>
      </c>
      <c r="E2057">
        <v>575</v>
      </c>
    </row>
    <row r="2058" spans="3:5" ht="14.1" customHeight="1">
      <c r="C2058">
        <v>3255</v>
      </c>
      <c r="D2058" t="s">
        <v>2138</v>
      </c>
      <c r="E2058">
        <v>556</v>
      </c>
    </row>
    <row r="2059" spans="3:5" ht="14.1" customHeight="1">
      <c r="C2059">
        <v>2191</v>
      </c>
      <c r="D2059" t="s">
        <v>2139</v>
      </c>
      <c r="E2059">
        <v>370</v>
      </c>
    </row>
    <row r="2060" spans="3:5" ht="14.1" customHeight="1">
      <c r="C2060">
        <v>1654</v>
      </c>
      <c r="D2060" t="s">
        <v>2140</v>
      </c>
      <c r="E2060">
        <v>638</v>
      </c>
    </row>
    <row r="2061" spans="3:5" ht="14.1" customHeight="1">
      <c r="C2061">
        <v>4469</v>
      </c>
      <c r="D2061" t="s">
        <v>3678</v>
      </c>
      <c r="E2061">
        <v>605</v>
      </c>
    </row>
    <row r="2062" spans="3:5" ht="14.1" customHeight="1">
      <c r="C2062">
        <v>4739</v>
      </c>
      <c r="D2062" t="s">
        <v>3980</v>
      </c>
      <c r="E2062">
        <v>0</v>
      </c>
    </row>
    <row r="2063" spans="3:5" ht="14.1" customHeight="1">
      <c r="C2063">
        <v>1435</v>
      </c>
      <c r="D2063" t="s">
        <v>2141</v>
      </c>
      <c r="E2063">
        <v>399</v>
      </c>
    </row>
    <row r="2064" spans="3:5" ht="14.1" customHeight="1">
      <c r="C2064">
        <v>898</v>
      </c>
      <c r="D2064" t="s">
        <v>547</v>
      </c>
      <c r="E2064">
        <v>823</v>
      </c>
    </row>
    <row r="2065" spans="3:5" ht="14.1" customHeight="1">
      <c r="C2065">
        <v>1000</v>
      </c>
      <c r="D2065" t="s">
        <v>2142</v>
      </c>
      <c r="E2065">
        <v>385</v>
      </c>
    </row>
    <row r="2066" spans="3:5" ht="14.1" customHeight="1">
      <c r="C2066">
        <v>4626</v>
      </c>
      <c r="D2066" t="s">
        <v>3981</v>
      </c>
      <c r="E2066">
        <v>515</v>
      </c>
    </row>
    <row r="2067" spans="3:5" ht="14.1" customHeight="1">
      <c r="C2067">
        <v>1772</v>
      </c>
      <c r="D2067" t="s">
        <v>2143</v>
      </c>
      <c r="E2067">
        <v>559</v>
      </c>
    </row>
    <row r="2068" spans="3:5" ht="14.1" customHeight="1">
      <c r="C2068">
        <v>2641</v>
      </c>
      <c r="D2068" t="s">
        <v>2144</v>
      </c>
      <c r="E2068">
        <v>698</v>
      </c>
    </row>
    <row r="2069" spans="3:5" ht="14.1" customHeight="1">
      <c r="C2069">
        <v>4783</v>
      </c>
      <c r="D2069" t="s">
        <v>3982</v>
      </c>
      <c r="E2069">
        <v>815</v>
      </c>
    </row>
    <row r="2070" spans="3:5" ht="14.1" customHeight="1">
      <c r="C2070">
        <v>165</v>
      </c>
      <c r="D2070" t="s">
        <v>177</v>
      </c>
      <c r="E2070">
        <v>740</v>
      </c>
    </row>
    <row r="2071" spans="3:5" ht="14.1" customHeight="1">
      <c r="C2071">
        <v>577</v>
      </c>
      <c r="D2071" t="s">
        <v>548</v>
      </c>
      <c r="E2071">
        <v>552</v>
      </c>
    </row>
    <row r="2072" spans="3:5" ht="14.1" customHeight="1">
      <c r="C2072">
        <v>5053</v>
      </c>
      <c r="D2072" t="s">
        <v>4279</v>
      </c>
      <c r="E2072">
        <v>523</v>
      </c>
    </row>
    <row r="2073" spans="3:5" ht="14.1" customHeight="1">
      <c r="C2073">
        <v>2190</v>
      </c>
      <c r="D2073" t="s">
        <v>2145</v>
      </c>
      <c r="E2073">
        <v>473</v>
      </c>
    </row>
    <row r="2074" spans="3:5" ht="14.1" customHeight="1">
      <c r="C2074">
        <v>4254</v>
      </c>
      <c r="D2074" t="s">
        <v>2146</v>
      </c>
      <c r="E2074">
        <v>513</v>
      </c>
    </row>
    <row r="2075" spans="3:5" ht="14.1" customHeight="1">
      <c r="C2075">
        <v>4823</v>
      </c>
      <c r="D2075" t="s">
        <v>3983</v>
      </c>
      <c r="E2075">
        <v>498</v>
      </c>
    </row>
    <row r="2076" spans="3:5" ht="14.1" customHeight="1">
      <c r="C2076">
        <v>2504</v>
      </c>
      <c r="D2076" t="s">
        <v>2147</v>
      </c>
      <c r="E2076">
        <v>572</v>
      </c>
    </row>
    <row r="2077" spans="3:5" ht="14.1" customHeight="1">
      <c r="C2077">
        <v>4996</v>
      </c>
      <c r="D2077" t="s">
        <v>3984</v>
      </c>
      <c r="E2077">
        <v>553</v>
      </c>
    </row>
    <row r="2078" spans="3:5" ht="14.1" customHeight="1">
      <c r="C2078">
        <v>4800</v>
      </c>
      <c r="D2078" t="s">
        <v>3985</v>
      </c>
      <c r="E2078">
        <v>363</v>
      </c>
    </row>
    <row r="2079" spans="3:5" ht="14.1" customHeight="1">
      <c r="C2079">
        <v>1429</v>
      </c>
      <c r="D2079" t="s">
        <v>2148</v>
      </c>
      <c r="E2079">
        <v>615</v>
      </c>
    </row>
    <row r="2080" spans="3:5" ht="14.1" customHeight="1">
      <c r="C2080">
        <v>5143</v>
      </c>
      <c r="D2080" t="s">
        <v>4280</v>
      </c>
      <c r="E2080">
        <v>547</v>
      </c>
    </row>
    <row r="2081" spans="3:5" ht="14.1" customHeight="1">
      <c r="C2081">
        <v>4875</v>
      </c>
      <c r="D2081" t="s">
        <v>3986</v>
      </c>
      <c r="E2081">
        <v>658</v>
      </c>
    </row>
    <row r="2082" spans="3:5" ht="14.1" customHeight="1">
      <c r="C2082">
        <v>2143</v>
      </c>
      <c r="D2082" t="s">
        <v>2149</v>
      </c>
      <c r="E2082">
        <v>505</v>
      </c>
    </row>
    <row r="2083" spans="3:5" ht="14.1" customHeight="1">
      <c r="C2083">
        <v>4673</v>
      </c>
      <c r="D2083" t="s">
        <v>3987</v>
      </c>
      <c r="E2083">
        <v>673</v>
      </c>
    </row>
    <row r="2084" spans="3:5" ht="14.1" customHeight="1">
      <c r="C2084">
        <v>4997</v>
      </c>
      <c r="D2084" t="s">
        <v>3988</v>
      </c>
      <c r="E2084">
        <v>539</v>
      </c>
    </row>
    <row r="2085" spans="3:5" ht="14.1" customHeight="1">
      <c r="C2085">
        <v>2925</v>
      </c>
      <c r="D2085" t="s">
        <v>2150</v>
      </c>
      <c r="E2085">
        <v>573</v>
      </c>
    </row>
    <row r="2086" spans="3:5" ht="14.1" customHeight="1">
      <c r="C2086">
        <v>2540</v>
      </c>
      <c r="D2086" t="s">
        <v>2151</v>
      </c>
      <c r="E2086">
        <v>818</v>
      </c>
    </row>
    <row r="2087" spans="3:5" ht="14.1" customHeight="1">
      <c r="C2087">
        <v>1362</v>
      </c>
      <c r="D2087" t="s">
        <v>2152</v>
      </c>
      <c r="E2087">
        <v>669</v>
      </c>
    </row>
    <row r="2088" spans="3:5" ht="14.1" customHeight="1">
      <c r="C2088">
        <v>2000</v>
      </c>
      <c r="D2088" t="s">
        <v>2153</v>
      </c>
      <c r="E2088">
        <v>376</v>
      </c>
    </row>
    <row r="2089" spans="3:5" ht="14.1" customHeight="1">
      <c r="C2089">
        <v>2468</v>
      </c>
      <c r="D2089" t="s">
        <v>2154</v>
      </c>
      <c r="E2089">
        <v>665</v>
      </c>
    </row>
    <row r="2090" spans="3:5" ht="14.1" customHeight="1">
      <c r="C2090">
        <v>1315</v>
      </c>
      <c r="D2090" t="s">
        <v>2155</v>
      </c>
      <c r="E2090">
        <v>570</v>
      </c>
    </row>
    <row r="2091" spans="3:5" ht="14.1" customHeight="1">
      <c r="C2091">
        <v>3119</v>
      </c>
      <c r="D2091" t="s">
        <v>2156</v>
      </c>
      <c r="E2091">
        <v>0</v>
      </c>
    </row>
    <row r="2092" spans="3:5" ht="14.1" customHeight="1">
      <c r="C2092">
        <v>1867</v>
      </c>
      <c r="D2092" t="s">
        <v>2157</v>
      </c>
      <c r="E2092">
        <v>522</v>
      </c>
    </row>
    <row r="2093" spans="3:5" ht="14.1" customHeight="1">
      <c r="C2093">
        <v>5105</v>
      </c>
      <c r="D2093" t="s">
        <v>4281</v>
      </c>
      <c r="E2093">
        <v>246</v>
      </c>
    </row>
    <row r="2094" spans="3:5" ht="14.1" customHeight="1">
      <c r="C2094">
        <v>2264</v>
      </c>
      <c r="D2094" t="s">
        <v>2158</v>
      </c>
      <c r="E2094">
        <v>477</v>
      </c>
    </row>
    <row r="2095" spans="3:5" ht="14.1" customHeight="1">
      <c r="C2095">
        <v>1491</v>
      </c>
      <c r="D2095" t="s">
        <v>2159</v>
      </c>
      <c r="E2095">
        <v>691</v>
      </c>
    </row>
    <row r="2096" spans="3:5" ht="14.1" customHeight="1">
      <c r="C2096">
        <v>1960</v>
      </c>
      <c r="D2096" t="s">
        <v>2160</v>
      </c>
      <c r="E2096">
        <v>918</v>
      </c>
    </row>
    <row r="2097" spans="3:5" ht="14.1" customHeight="1">
      <c r="C2097">
        <v>5081</v>
      </c>
      <c r="D2097" t="s">
        <v>4282</v>
      </c>
      <c r="E2097">
        <v>494</v>
      </c>
    </row>
    <row r="2098" spans="3:5" ht="14.1" customHeight="1">
      <c r="C2098">
        <v>4243</v>
      </c>
      <c r="D2098" t="s">
        <v>2161</v>
      </c>
      <c r="E2098">
        <v>503</v>
      </c>
    </row>
    <row r="2099" spans="3:5" ht="14.1" customHeight="1">
      <c r="C2099">
        <v>914</v>
      </c>
      <c r="D2099" t="s">
        <v>549</v>
      </c>
      <c r="E2099">
        <v>682</v>
      </c>
    </row>
    <row r="2100" spans="3:5" ht="14.1" customHeight="1">
      <c r="C2100">
        <v>1369</v>
      </c>
      <c r="D2100" t="s">
        <v>2162</v>
      </c>
      <c r="E2100">
        <v>635</v>
      </c>
    </row>
    <row r="2101" spans="3:5" ht="14.1" customHeight="1">
      <c r="C2101">
        <v>79</v>
      </c>
      <c r="D2101" t="s">
        <v>2163</v>
      </c>
      <c r="E2101">
        <v>596</v>
      </c>
    </row>
    <row r="2102" spans="3:5" ht="14.1" customHeight="1">
      <c r="C2102">
        <v>1533</v>
      </c>
      <c r="D2102" t="s">
        <v>2164</v>
      </c>
      <c r="E2102">
        <v>961</v>
      </c>
    </row>
    <row r="2103" spans="3:5" ht="14.1" customHeight="1">
      <c r="C2103">
        <v>198</v>
      </c>
      <c r="D2103" t="s">
        <v>178</v>
      </c>
      <c r="E2103">
        <v>640</v>
      </c>
    </row>
    <row r="2104" spans="3:5" ht="14.1" customHeight="1">
      <c r="C2104">
        <v>1046</v>
      </c>
      <c r="D2104" t="s">
        <v>2165</v>
      </c>
      <c r="E2104">
        <v>1061</v>
      </c>
    </row>
    <row r="2105" spans="3:5" ht="14.1" customHeight="1">
      <c r="C2105">
        <v>2566</v>
      </c>
      <c r="D2105" t="s">
        <v>2166</v>
      </c>
      <c r="E2105">
        <v>672</v>
      </c>
    </row>
    <row r="2106" spans="3:5" ht="14.1" customHeight="1">
      <c r="C2106">
        <v>1032</v>
      </c>
      <c r="D2106" t="s">
        <v>2167</v>
      </c>
      <c r="E2106">
        <v>540</v>
      </c>
    </row>
    <row r="2107" spans="3:5" ht="14.1" customHeight="1">
      <c r="C2107">
        <v>4379</v>
      </c>
      <c r="D2107" t="s">
        <v>3679</v>
      </c>
      <c r="E2107">
        <v>406</v>
      </c>
    </row>
    <row r="2108" spans="3:5" ht="14.1" customHeight="1">
      <c r="C2108">
        <v>1550</v>
      </c>
      <c r="D2108" t="s">
        <v>2168</v>
      </c>
      <c r="E2108">
        <v>588</v>
      </c>
    </row>
    <row r="2109" spans="3:5" ht="14.1" customHeight="1">
      <c r="C2109">
        <v>551</v>
      </c>
      <c r="D2109" t="s">
        <v>550</v>
      </c>
      <c r="E2109">
        <v>875</v>
      </c>
    </row>
    <row r="2110" spans="3:5" ht="14.1" customHeight="1">
      <c r="C2110">
        <v>5043</v>
      </c>
      <c r="D2110" t="s">
        <v>4283</v>
      </c>
      <c r="E2110">
        <v>780</v>
      </c>
    </row>
    <row r="2111" spans="3:5" ht="14.1" customHeight="1">
      <c r="C2111">
        <v>3242</v>
      </c>
      <c r="D2111" t="s">
        <v>2169</v>
      </c>
      <c r="E2111">
        <v>0</v>
      </c>
    </row>
    <row r="2112" spans="3:5" ht="14.1" customHeight="1">
      <c r="C2112">
        <v>2051</v>
      </c>
      <c r="D2112" t="s">
        <v>2170</v>
      </c>
      <c r="E2112">
        <v>604</v>
      </c>
    </row>
    <row r="2113" spans="3:5" ht="14.1" customHeight="1">
      <c r="C2113">
        <v>3243</v>
      </c>
      <c r="D2113" t="s">
        <v>2171</v>
      </c>
      <c r="E2113">
        <v>512</v>
      </c>
    </row>
    <row r="2114" spans="3:5" ht="14.1" customHeight="1">
      <c r="C2114">
        <v>4952</v>
      </c>
      <c r="D2114" t="s">
        <v>3989</v>
      </c>
      <c r="E2114">
        <v>384</v>
      </c>
    </row>
    <row r="2115" spans="3:5" ht="14.1" customHeight="1">
      <c r="C2115">
        <v>4329</v>
      </c>
      <c r="D2115" t="s">
        <v>2172</v>
      </c>
      <c r="E2115">
        <v>621</v>
      </c>
    </row>
    <row r="2116" spans="3:5" ht="14.1" customHeight="1">
      <c r="C2116">
        <v>2761</v>
      </c>
      <c r="D2116" t="s">
        <v>2173</v>
      </c>
      <c r="E2116">
        <v>616</v>
      </c>
    </row>
    <row r="2117" spans="3:5" ht="14.1" customHeight="1">
      <c r="C2117">
        <v>3149</v>
      </c>
      <c r="D2117" t="s">
        <v>2174</v>
      </c>
      <c r="E2117">
        <v>0</v>
      </c>
    </row>
    <row r="2118" spans="3:5" ht="14.1" customHeight="1">
      <c r="C2118">
        <v>2341</v>
      </c>
      <c r="D2118" t="s">
        <v>2175</v>
      </c>
      <c r="E2118">
        <v>493</v>
      </c>
    </row>
    <row r="2119" spans="3:5" ht="14.1" customHeight="1">
      <c r="C2119">
        <v>2799</v>
      </c>
      <c r="D2119" t="s">
        <v>2176</v>
      </c>
      <c r="E2119">
        <v>480</v>
      </c>
    </row>
    <row r="2120" spans="3:5" ht="14.1" customHeight="1">
      <c r="C2120">
        <v>3159</v>
      </c>
      <c r="D2120" t="s">
        <v>2177</v>
      </c>
      <c r="E2120">
        <v>0</v>
      </c>
    </row>
    <row r="2121" spans="3:5" ht="14.1" customHeight="1">
      <c r="C2121">
        <v>93</v>
      </c>
      <c r="D2121" t="s">
        <v>551</v>
      </c>
      <c r="E2121">
        <v>441</v>
      </c>
    </row>
    <row r="2122" spans="3:5" ht="14.1" customHeight="1">
      <c r="C2122">
        <v>241</v>
      </c>
      <c r="D2122" t="s">
        <v>552</v>
      </c>
      <c r="E2122">
        <v>427</v>
      </c>
    </row>
    <row r="2123" spans="3:5" ht="14.1" customHeight="1">
      <c r="C2123">
        <v>3006</v>
      </c>
      <c r="D2123" t="s">
        <v>2178</v>
      </c>
      <c r="E2123">
        <v>0</v>
      </c>
    </row>
    <row r="2124" spans="3:5" ht="14.1" customHeight="1">
      <c r="C2124">
        <v>2358</v>
      </c>
      <c r="D2124" t="s">
        <v>2179</v>
      </c>
      <c r="E2124">
        <v>548</v>
      </c>
    </row>
    <row r="2125" spans="3:5" ht="14.1" customHeight="1">
      <c r="C2125">
        <v>4253</v>
      </c>
      <c r="D2125" t="s">
        <v>2180</v>
      </c>
      <c r="E2125">
        <v>548</v>
      </c>
    </row>
    <row r="2126" spans="3:5" ht="14.1" customHeight="1">
      <c r="C2126">
        <v>1347</v>
      </c>
      <c r="D2126" t="s">
        <v>2181</v>
      </c>
      <c r="E2126">
        <v>776</v>
      </c>
    </row>
    <row r="2127" spans="3:5" ht="14.1" customHeight="1">
      <c r="C2127">
        <v>2279</v>
      </c>
      <c r="D2127" t="s">
        <v>2182</v>
      </c>
      <c r="E2127">
        <v>478</v>
      </c>
    </row>
    <row r="2128" spans="3:5" ht="14.1" customHeight="1">
      <c r="C2128">
        <v>2647</v>
      </c>
      <c r="D2128" t="s">
        <v>2183</v>
      </c>
      <c r="E2128">
        <v>659</v>
      </c>
    </row>
    <row r="2129" spans="3:5" ht="14.1" customHeight="1">
      <c r="C2129">
        <v>2263</v>
      </c>
      <c r="D2129" t="s">
        <v>2184</v>
      </c>
      <c r="E2129">
        <v>458</v>
      </c>
    </row>
    <row r="2130" spans="3:5" ht="14.1" customHeight="1">
      <c r="C2130">
        <v>3029</v>
      </c>
      <c r="D2130" t="s">
        <v>2185</v>
      </c>
      <c r="E2130">
        <v>0</v>
      </c>
    </row>
    <row r="2131" spans="3:5" ht="14.1" customHeight="1">
      <c r="C2131">
        <v>1096</v>
      </c>
      <c r="D2131" t="s">
        <v>2186</v>
      </c>
      <c r="E2131">
        <v>723</v>
      </c>
    </row>
    <row r="2132" spans="3:5" ht="14.1" customHeight="1">
      <c r="C2132">
        <v>5198</v>
      </c>
      <c r="D2132" t="s">
        <v>2186</v>
      </c>
      <c r="E2132">
        <v>0</v>
      </c>
    </row>
    <row r="2133" spans="3:5" ht="14.1" customHeight="1">
      <c r="C2133">
        <v>492</v>
      </c>
      <c r="D2133" t="s">
        <v>553</v>
      </c>
      <c r="E2133">
        <v>565</v>
      </c>
    </row>
    <row r="2134" spans="3:5" ht="14.1" customHeight="1">
      <c r="C2134">
        <v>4834</v>
      </c>
      <c r="D2134" t="s">
        <v>3990</v>
      </c>
      <c r="E2134">
        <v>0</v>
      </c>
    </row>
    <row r="2135" spans="3:5" ht="14.1" customHeight="1">
      <c r="C2135">
        <v>4915</v>
      </c>
      <c r="D2135" t="s">
        <v>3991</v>
      </c>
      <c r="E2135">
        <v>402</v>
      </c>
    </row>
    <row r="2136" spans="3:5" ht="14.1" customHeight="1">
      <c r="C2136">
        <v>150</v>
      </c>
      <c r="D2136" t="s">
        <v>554</v>
      </c>
      <c r="E2136">
        <v>718</v>
      </c>
    </row>
    <row r="2137" spans="3:5" ht="14.1" customHeight="1">
      <c r="C2137">
        <v>1558</v>
      </c>
      <c r="D2137" t="s">
        <v>2187</v>
      </c>
      <c r="E2137">
        <v>499</v>
      </c>
    </row>
    <row r="2138" spans="3:5" ht="14.1" customHeight="1">
      <c r="C2138">
        <v>1739</v>
      </c>
      <c r="D2138" t="s">
        <v>2188</v>
      </c>
      <c r="E2138">
        <v>879</v>
      </c>
    </row>
    <row r="2139" spans="3:5" ht="14.1" customHeight="1">
      <c r="C2139">
        <v>1824</v>
      </c>
      <c r="D2139" t="s">
        <v>2189</v>
      </c>
      <c r="E2139">
        <v>749</v>
      </c>
    </row>
    <row r="2140" spans="3:5" ht="14.1" customHeight="1">
      <c r="C2140">
        <v>4665</v>
      </c>
      <c r="D2140" t="s">
        <v>3992</v>
      </c>
      <c r="E2140">
        <v>648</v>
      </c>
    </row>
    <row r="2141" spans="3:5" ht="14.1" customHeight="1">
      <c r="C2141">
        <v>1661</v>
      </c>
      <c r="D2141" t="s">
        <v>2190</v>
      </c>
      <c r="E2141">
        <v>559</v>
      </c>
    </row>
    <row r="2142" spans="3:5" ht="14.1" customHeight="1">
      <c r="C2142">
        <v>264</v>
      </c>
      <c r="D2142" t="s">
        <v>179</v>
      </c>
      <c r="E2142">
        <v>490</v>
      </c>
    </row>
    <row r="2143" spans="3:5" ht="14.1" customHeight="1">
      <c r="C2143">
        <v>233</v>
      </c>
      <c r="D2143" t="s">
        <v>555</v>
      </c>
      <c r="E2143">
        <v>551</v>
      </c>
    </row>
    <row r="2144" spans="3:5" ht="14.1" customHeight="1">
      <c r="C2144">
        <v>2557</v>
      </c>
      <c r="D2144" t="s">
        <v>2191</v>
      </c>
      <c r="E2144">
        <v>782</v>
      </c>
    </row>
    <row r="2145" spans="3:5" ht="14.1" customHeight="1">
      <c r="C2145">
        <v>4540</v>
      </c>
      <c r="D2145" t="s">
        <v>3680</v>
      </c>
      <c r="E2145">
        <v>605</v>
      </c>
    </row>
    <row r="2146" spans="3:5" ht="14.1" customHeight="1">
      <c r="C2146">
        <v>1579</v>
      </c>
      <c r="D2146" t="s">
        <v>2192</v>
      </c>
      <c r="E2146">
        <v>793</v>
      </c>
    </row>
    <row r="2147" spans="3:5" ht="14.1" customHeight="1">
      <c r="C2147">
        <v>180</v>
      </c>
      <c r="D2147" t="s">
        <v>556</v>
      </c>
      <c r="E2147">
        <v>626</v>
      </c>
    </row>
    <row r="2148" spans="3:5" ht="14.1" customHeight="1">
      <c r="C2148">
        <v>4883</v>
      </c>
      <c r="D2148" t="s">
        <v>3993</v>
      </c>
      <c r="E2148">
        <v>929</v>
      </c>
    </row>
    <row r="2149" spans="3:5" ht="14.1" customHeight="1">
      <c r="C2149">
        <v>2828</v>
      </c>
      <c r="D2149" t="s">
        <v>2193</v>
      </c>
      <c r="E2149">
        <v>480</v>
      </c>
    </row>
    <row r="2150" spans="3:5" ht="14.1" customHeight="1">
      <c r="C2150">
        <v>1741</v>
      </c>
      <c r="D2150" t="s">
        <v>2194</v>
      </c>
      <c r="E2150">
        <v>844</v>
      </c>
    </row>
    <row r="2151" spans="3:5" ht="14.1" customHeight="1">
      <c r="C2151">
        <v>878</v>
      </c>
      <c r="D2151" t="s">
        <v>557</v>
      </c>
      <c r="E2151">
        <v>425</v>
      </c>
    </row>
    <row r="2152" spans="3:5" ht="14.1" customHeight="1">
      <c r="C2152">
        <v>5049</v>
      </c>
      <c r="D2152" t="s">
        <v>4284</v>
      </c>
      <c r="E2152">
        <v>410</v>
      </c>
    </row>
    <row r="2153" spans="3:5" ht="14.1" customHeight="1">
      <c r="C2153">
        <v>970</v>
      </c>
      <c r="D2153" t="s">
        <v>2195</v>
      </c>
      <c r="E2153">
        <v>393</v>
      </c>
    </row>
    <row r="2154" spans="3:5" ht="14.1" customHeight="1">
      <c r="C2154">
        <v>4307</v>
      </c>
      <c r="D2154" t="s">
        <v>2196</v>
      </c>
      <c r="E2154">
        <v>479</v>
      </c>
    </row>
    <row r="2155" spans="3:5" ht="14.1" customHeight="1">
      <c r="C2155">
        <v>99</v>
      </c>
      <c r="D2155" t="s">
        <v>558</v>
      </c>
      <c r="E2155">
        <v>892</v>
      </c>
    </row>
    <row r="2156" spans="3:5" ht="14.1" customHeight="1">
      <c r="C2156">
        <v>1528</v>
      </c>
      <c r="D2156" t="s">
        <v>2197</v>
      </c>
      <c r="E2156">
        <v>750</v>
      </c>
    </row>
    <row r="2157" spans="3:5" ht="14.1" customHeight="1">
      <c r="C2157">
        <v>1306</v>
      </c>
      <c r="D2157" t="s">
        <v>2198</v>
      </c>
      <c r="E2157">
        <v>440</v>
      </c>
    </row>
    <row r="2158" spans="3:5" ht="14.1" customHeight="1">
      <c r="C2158">
        <v>2422</v>
      </c>
      <c r="D2158" t="s">
        <v>2199</v>
      </c>
      <c r="E2158">
        <v>510</v>
      </c>
    </row>
    <row r="2159" spans="3:5" ht="14.1" customHeight="1">
      <c r="C2159">
        <v>2643</v>
      </c>
      <c r="D2159" t="s">
        <v>2200</v>
      </c>
      <c r="E2159">
        <v>585</v>
      </c>
    </row>
    <row r="2160" spans="3:5" ht="14.1" customHeight="1">
      <c r="C2160">
        <v>2635</v>
      </c>
      <c r="D2160" t="s">
        <v>2201</v>
      </c>
      <c r="E2160">
        <v>408</v>
      </c>
    </row>
    <row r="2161" spans="3:5" ht="14.1" customHeight="1">
      <c r="C2161">
        <v>4299</v>
      </c>
      <c r="D2161" t="s">
        <v>2202</v>
      </c>
      <c r="E2161">
        <v>550</v>
      </c>
    </row>
    <row r="2162" spans="3:5" ht="14.1" customHeight="1">
      <c r="C2162">
        <v>4553</v>
      </c>
      <c r="D2162" t="s">
        <v>3681</v>
      </c>
      <c r="E2162">
        <v>543</v>
      </c>
    </row>
    <row r="2163" spans="3:5" ht="14.1" customHeight="1">
      <c r="C2163">
        <v>1154</v>
      </c>
      <c r="D2163" t="s">
        <v>2203</v>
      </c>
      <c r="E2163">
        <v>577</v>
      </c>
    </row>
    <row r="2164" spans="3:5" ht="14.1" customHeight="1">
      <c r="C2164">
        <v>1810</v>
      </c>
      <c r="D2164" t="s">
        <v>2204</v>
      </c>
      <c r="E2164">
        <v>501</v>
      </c>
    </row>
    <row r="2165" spans="3:5" ht="14.1" customHeight="1">
      <c r="C2165">
        <v>578</v>
      </c>
      <c r="D2165" t="s">
        <v>559</v>
      </c>
      <c r="E2165">
        <v>594</v>
      </c>
    </row>
    <row r="2166" spans="3:5" ht="14.1" customHeight="1">
      <c r="C2166">
        <v>4779</v>
      </c>
      <c r="D2166" t="s">
        <v>3994</v>
      </c>
      <c r="E2166">
        <v>580</v>
      </c>
    </row>
    <row r="2167" spans="3:5" ht="14.1" customHeight="1">
      <c r="C2167">
        <v>4778</v>
      </c>
      <c r="D2167" t="s">
        <v>3995</v>
      </c>
      <c r="E2167">
        <v>580</v>
      </c>
    </row>
    <row r="2168" spans="3:5" ht="14.1" customHeight="1">
      <c r="C2168">
        <v>2442</v>
      </c>
      <c r="D2168" t="s">
        <v>2205</v>
      </c>
      <c r="E2168">
        <v>690</v>
      </c>
    </row>
    <row r="2169" spans="3:5" ht="14.1" customHeight="1">
      <c r="C2169">
        <v>2625</v>
      </c>
      <c r="D2169" t="s">
        <v>2206</v>
      </c>
      <c r="E2169">
        <v>814</v>
      </c>
    </row>
    <row r="2170" spans="3:5" ht="14.1" customHeight="1">
      <c r="C2170">
        <v>526</v>
      </c>
      <c r="D2170" t="s">
        <v>560</v>
      </c>
      <c r="E2170">
        <v>457</v>
      </c>
    </row>
    <row r="2171" spans="3:5" ht="14.1" customHeight="1">
      <c r="C2171">
        <v>1508</v>
      </c>
      <c r="D2171" t="s">
        <v>2207</v>
      </c>
      <c r="E2171">
        <v>760</v>
      </c>
    </row>
    <row r="2172" spans="3:5" ht="14.1" customHeight="1">
      <c r="C2172">
        <v>4852</v>
      </c>
      <c r="D2172" t="s">
        <v>3996</v>
      </c>
      <c r="E2172">
        <v>719</v>
      </c>
    </row>
    <row r="2173" spans="3:5" ht="14.1" customHeight="1">
      <c r="C2173">
        <v>522</v>
      </c>
      <c r="D2173" t="s">
        <v>2208</v>
      </c>
      <c r="E2173">
        <v>588</v>
      </c>
    </row>
    <row r="2174" spans="3:5" ht="14.1" customHeight="1">
      <c r="C2174">
        <v>4662</v>
      </c>
      <c r="D2174" t="s">
        <v>3997</v>
      </c>
      <c r="E2174">
        <v>796</v>
      </c>
    </row>
    <row r="2175" spans="3:5" ht="14.1" customHeight="1">
      <c r="C2175">
        <v>833</v>
      </c>
      <c r="D2175" t="s">
        <v>561</v>
      </c>
      <c r="E2175">
        <v>820</v>
      </c>
    </row>
    <row r="2176" spans="3:5" ht="14.1" customHeight="1">
      <c r="C2176">
        <v>4818</v>
      </c>
      <c r="D2176" t="s">
        <v>3998</v>
      </c>
      <c r="E2176">
        <v>467</v>
      </c>
    </row>
    <row r="2177" spans="3:5" ht="14.1" customHeight="1">
      <c r="C2177">
        <v>3088</v>
      </c>
      <c r="D2177" t="s">
        <v>2209</v>
      </c>
      <c r="E2177">
        <v>0</v>
      </c>
    </row>
    <row r="2178" spans="3:5" ht="14.1" customHeight="1">
      <c r="C2178">
        <v>4158</v>
      </c>
      <c r="D2178" t="s">
        <v>2210</v>
      </c>
      <c r="E2178">
        <v>575</v>
      </c>
    </row>
    <row r="2179" spans="3:5" ht="14.1" customHeight="1">
      <c r="C2179">
        <v>349</v>
      </c>
      <c r="D2179" t="s">
        <v>4285</v>
      </c>
      <c r="E2179">
        <v>523</v>
      </c>
    </row>
    <row r="2180" spans="3:5" ht="14.1" customHeight="1">
      <c r="C2180">
        <v>1473</v>
      </c>
      <c r="D2180" t="s">
        <v>2211</v>
      </c>
      <c r="E2180">
        <v>440</v>
      </c>
    </row>
    <row r="2181" spans="3:5" ht="14.1" customHeight="1">
      <c r="C2181">
        <v>3152</v>
      </c>
      <c r="D2181" t="s">
        <v>2212</v>
      </c>
      <c r="E2181">
        <v>0</v>
      </c>
    </row>
    <row r="2182" spans="3:5" ht="14.1" customHeight="1">
      <c r="C2182">
        <v>1417</v>
      </c>
      <c r="D2182" t="s">
        <v>2213</v>
      </c>
      <c r="E2182">
        <v>577</v>
      </c>
    </row>
    <row r="2183" spans="3:5" ht="14.1" customHeight="1">
      <c r="C2183">
        <v>5139</v>
      </c>
      <c r="D2183" t="s">
        <v>4286</v>
      </c>
      <c r="E2183">
        <v>487</v>
      </c>
    </row>
    <row r="2184" spans="3:5" ht="14.1" customHeight="1">
      <c r="C2184">
        <v>3136</v>
      </c>
      <c r="D2184" t="s">
        <v>2214</v>
      </c>
      <c r="E2184">
        <v>0</v>
      </c>
    </row>
    <row r="2185" spans="3:5" ht="14.1" customHeight="1">
      <c r="C2185">
        <v>3046</v>
      </c>
      <c r="D2185" t="s">
        <v>2215</v>
      </c>
      <c r="E2185">
        <v>0</v>
      </c>
    </row>
    <row r="2186" spans="3:5" ht="14.1" customHeight="1">
      <c r="C2186">
        <v>1206</v>
      </c>
      <c r="D2186" t="s">
        <v>2216</v>
      </c>
      <c r="E2186">
        <v>672</v>
      </c>
    </row>
    <row r="2187" spans="3:5" ht="14.1" customHeight="1">
      <c r="C2187">
        <v>1618</v>
      </c>
      <c r="D2187" t="s">
        <v>2217</v>
      </c>
      <c r="E2187">
        <v>757</v>
      </c>
    </row>
    <row r="2188" spans="3:5" ht="14.1" customHeight="1">
      <c r="C2188">
        <v>1207</v>
      </c>
      <c r="D2188" t="s">
        <v>2218</v>
      </c>
      <c r="E2188">
        <v>672</v>
      </c>
    </row>
    <row r="2189" spans="3:5" ht="14.1" customHeight="1">
      <c r="C2189">
        <v>2516</v>
      </c>
      <c r="D2189" t="s">
        <v>2219</v>
      </c>
      <c r="E2189">
        <v>445</v>
      </c>
    </row>
    <row r="2190" spans="3:5" ht="14.1" customHeight="1">
      <c r="C2190">
        <v>457</v>
      </c>
      <c r="D2190" t="s">
        <v>277</v>
      </c>
      <c r="E2190">
        <v>422</v>
      </c>
    </row>
    <row r="2191" spans="3:5" ht="14.1" customHeight="1">
      <c r="C2191">
        <v>4142</v>
      </c>
      <c r="D2191" t="s">
        <v>2220</v>
      </c>
      <c r="E2191">
        <v>405</v>
      </c>
    </row>
    <row r="2192" spans="3:5" ht="14.1" customHeight="1">
      <c r="C2192">
        <v>4854</v>
      </c>
      <c r="D2192" t="s">
        <v>3999</v>
      </c>
      <c r="E2192">
        <v>0</v>
      </c>
    </row>
    <row r="2193" spans="3:5" ht="14.1" customHeight="1">
      <c r="C2193">
        <v>1674</v>
      </c>
      <c r="D2193" t="s">
        <v>2221</v>
      </c>
      <c r="E2193">
        <v>926</v>
      </c>
    </row>
    <row r="2194" spans="3:5" ht="14.1" customHeight="1">
      <c r="C2194">
        <v>2481</v>
      </c>
      <c r="D2194" t="s">
        <v>2222</v>
      </c>
      <c r="E2194">
        <v>670</v>
      </c>
    </row>
    <row r="2195" spans="3:5" ht="14.1" customHeight="1">
      <c r="C2195">
        <v>3076</v>
      </c>
      <c r="D2195" t="s">
        <v>2223</v>
      </c>
      <c r="E2195">
        <v>0</v>
      </c>
    </row>
    <row r="2196" spans="3:5" ht="14.1" customHeight="1">
      <c r="C2196">
        <v>1862</v>
      </c>
      <c r="D2196" t="s">
        <v>2224</v>
      </c>
      <c r="E2196">
        <v>568</v>
      </c>
    </row>
    <row r="2197" spans="3:5" ht="14.1" customHeight="1">
      <c r="C2197">
        <v>3252</v>
      </c>
      <c r="D2197" t="s">
        <v>2225</v>
      </c>
      <c r="E2197">
        <v>0</v>
      </c>
    </row>
    <row r="2198" spans="3:5" ht="14.1" customHeight="1">
      <c r="C2198">
        <v>715</v>
      </c>
      <c r="D2198" t="s">
        <v>562</v>
      </c>
      <c r="E2198">
        <v>674</v>
      </c>
    </row>
    <row r="2199" spans="3:5" ht="14.1" customHeight="1">
      <c r="C2199">
        <v>4666</v>
      </c>
      <c r="D2199" t="s">
        <v>4000</v>
      </c>
      <c r="E2199">
        <v>651</v>
      </c>
    </row>
    <row r="2200" spans="3:5" ht="14.1" customHeight="1">
      <c r="C2200">
        <v>55</v>
      </c>
      <c r="D2200" t="s">
        <v>563</v>
      </c>
      <c r="E2200">
        <v>540</v>
      </c>
    </row>
    <row r="2201" spans="3:5" ht="14.1" customHeight="1">
      <c r="C2201">
        <v>188</v>
      </c>
      <c r="D2201" t="s">
        <v>180</v>
      </c>
      <c r="E2201">
        <v>440</v>
      </c>
    </row>
    <row r="2202" spans="3:5" ht="14.1" customHeight="1">
      <c r="C2202">
        <v>978</v>
      </c>
      <c r="D2202" t="s">
        <v>2226</v>
      </c>
      <c r="E2202">
        <v>400</v>
      </c>
    </row>
    <row r="2203" spans="3:5" ht="14.1" customHeight="1">
      <c r="C2203">
        <v>998</v>
      </c>
      <c r="D2203" t="s">
        <v>2227</v>
      </c>
      <c r="E2203">
        <v>672</v>
      </c>
    </row>
    <row r="2204" spans="3:5" ht="14.1" customHeight="1">
      <c r="C2204">
        <v>2324</v>
      </c>
      <c r="D2204" t="s">
        <v>2228</v>
      </c>
      <c r="E2204">
        <v>621</v>
      </c>
    </row>
    <row r="2205" spans="3:5" ht="14.1" customHeight="1">
      <c r="C2205">
        <v>646</v>
      </c>
      <c r="D2205" t="s">
        <v>2229</v>
      </c>
      <c r="E2205">
        <v>1013</v>
      </c>
    </row>
    <row r="2206" spans="3:5" ht="14.1" customHeight="1">
      <c r="C2206">
        <v>534</v>
      </c>
      <c r="D2206" t="s">
        <v>564</v>
      </c>
      <c r="E2206">
        <v>672</v>
      </c>
    </row>
    <row r="2207" spans="3:5" ht="14.1" customHeight="1">
      <c r="C2207">
        <v>1355</v>
      </c>
      <c r="D2207" t="s">
        <v>2230</v>
      </c>
      <c r="E2207">
        <v>697</v>
      </c>
    </row>
    <row r="2208" spans="3:5" ht="14.1" customHeight="1">
      <c r="C2208">
        <v>1261</v>
      </c>
      <c r="D2208" t="s">
        <v>2231</v>
      </c>
      <c r="E2208">
        <v>433</v>
      </c>
    </row>
    <row r="2209" spans="3:5" ht="14.1" customHeight="1">
      <c r="C2209">
        <v>2359</v>
      </c>
      <c r="D2209" t="s">
        <v>2232</v>
      </c>
      <c r="E2209">
        <v>597</v>
      </c>
    </row>
    <row r="2210" spans="3:5" ht="14.1" customHeight="1">
      <c r="C2210">
        <v>195</v>
      </c>
      <c r="D2210" t="s">
        <v>181</v>
      </c>
      <c r="E2210">
        <v>510</v>
      </c>
    </row>
    <row r="2211" spans="3:5" ht="14.1" customHeight="1">
      <c r="C2211">
        <v>2539</v>
      </c>
      <c r="D2211" t="s">
        <v>2233</v>
      </c>
      <c r="E2211">
        <v>404</v>
      </c>
    </row>
    <row r="2212" spans="3:5" ht="14.1" customHeight="1">
      <c r="C2212">
        <v>4542</v>
      </c>
      <c r="D2212" t="s">
        <v>3682</v>
      </c>
      <c r="E2212">
        <v>628</v>
      </c>
    </row>
    <row r="2213" spans="3:5" ht="14.1" customHeight="1">
      <c r="C2213">
        <v>4682</v>
      </c>
      <c r="D2213" t="s">
        <v>4001</v>
      </c>
      <c r="E2213">
        <v>552</v>
      </c>
    </row>
    <row r="2214" spans="3:5" ht="14.1" customHeight="1">
      <c r="C2214">
        <v>3160</v>
      </c>
      <c r="D2214" t="s">
        <v>2234</v>
      </c>
      <c r="E2214">
        <v>0</v>
      </c>
    </row>
    <row r="2215" spans="3:5" ht="14.1" customHeight="1">
      <c r="C2215">
        <v>158</v>
      </c>
      <c r="D2215" t="s">
        <v>565</v>
      </c>
      <c r="E2215">
        <v>736</v>
      </c>
    </row>
    <row r="2216" spans="3:5" ht="14.1" customHeight="1">
      <c r="C2216">
        <v>1896</v>
      </c>
      <c r="D2216" t="s">
        <v>2235</v>
      </c>
      <c r="E2216">
        <v>446</v>
      </c>
    </row>
    <row r="2217" spans="3:5" ht="14.1" customHeight="1">
      <c r="C2217">
        <v>780</v>
      </c>
      <c r="D2217" t="s">
        <v>566</v>
      </c>
      <c r="E2217">
        <v>907</v>
      </c>
    </row>
    <row r="2218" spans="3:5" ht="14.1" customHeight="1">
      <c r="C2218">
        <v>4513</v>
      </c>
      <c r="D2218" t="s">
        <v>3683</v>
      </c>
      <c r="E2218">
        <v>671</v>
      </c>
    </row>
    <row r="2219" spans="3:5" ht="14.1" customHeight="1">
      <c r="C2219">
        <v>1851</v>
      </c>
      <c r="D2219" t="s">
        <v>2236</v>
      </c>
      <c r="E2219">
        <v>598</v>
      </c>
    </row>
    <row r="2220" spans="3:5" ht="14.1" customHeight="1">
      <c r="C2220">
        <v>2983</v>
      </c>
      <c r="D2220" t="s">
        <v>2237</v>
      </c>
      <c r="E2220">
        <v>616</v>
      </c>
    </row>
    <row r="2221" spans="3:5" ht="14.1" customHeight="1">
      <c r="C2221">
        <v>131</v>
      </c>
      <c r="D2221" t="s">
        <v>567</v>
      </c>
      <c r="E2221">
        <v>941</v>
      </c>
    </row>
    <row r="2222" spans="3:5" ht="14.1" customHeight="1">
      <c r="C2222">
        <v>2080</v>
      </c>
      <c r="D2222" t="s">
        <v>2238</v>
      </c>
      <c r="E2222">
        <v>624</v>
      </c>
    </row>
    <row r="2223" spans="3:5" ht="14.1" customHeight="1">
      <c r="C2223">
        <v>4177</v>
      </c>
      <c r="D2223" t="s">
        <v>2239</v>
      </c>
      <c r="E2223">
        <v>494</v>
      </c>
    </row>
    <row r="2224" spans="3:5" ht="14.1" customHeight="1">
      <c r="C2224">
        <v>508</v>
      </c>
      <c r="D2224" t="s">
        <v>568</v>
      </c>
      <c r="E2224">
        <v>820</v>
      </c>
    </row>
    <row r="2225" spans="3:5" ht="14.1" customHeight="1">
      <c r="C2225">
        <v>3059</v>
      </c>
      <c r="D2225" t="s">
        <v>2240</v>
      </c>
      <c r="E2225">
        <v>0</v>
      </c>
    </row>
    <row r="2226" spans="3:5" ht="14.1" customHeight="1">
      <c r="C2226">
        <v>2201</v>
      </c>
      <c r="D2226" t="s">
        <v>2241</v>
      </c>
      <c r="E2226">
        <v>479</v>
      </c>
    </row>
    <row r="2227" spans="3:5" ht="14.1" customHeight="1">
      <c r="C2227">
        <v>1083</v>
      </c>
      <c r="D2227" t="s">
        <v>2242</v>
      </c>
      <c r="E2227">
        <v>667</v>
      </c>
    </row>
    <row r="2228" spans="3:5" ht="14.1" customHeight="1">
      <c r="C2228">
        <v>4817</v>
      </c>
      <c r="D2228" t="s">
        <v>4002</v>
      </c>
      <c r="E2228">
        <v>553</v>
      </c>
    </row>
    <row r="2229" spans="3:5" ht="14.1" customHeight="1">
      <c r="C2229">
        <v>1695</v>
      </c>
      <c r="D2229" t="s">
        <v>2243</v>
      </c>
      <c r="E2229">
        <v>513</v>
      </c>
    </row>
    <row r="2230" spans="3:5" ht="14.1" customHeight="1">
      <c r="C2230">
        <v>1221</v>
      </c>
      <c r="D2230" t="s">
        <v>2244</v>
      </c>
      <c r="E2230">
        <v>842</v>
      </c>
    </row>
    <row r="2231" spans="3:5" ht="14.1" customHeight="1">
      <c r="C2231">
        <v>2590</v>
      </c>
      <c r="D2231" t="s">
        <v>2245</v>
      </c>
      <c r="E2231">
        <v>995</v>
      </c>
    </row>
    <row r="2232" spans="3:5" ht="14.1" customHeight="1">
      <c r="C2232">
        <v>702</v>
      </c>
      <c r="D2232" t="s">
        <v>2246</v>
      </c>
      <c r="E2232">
        <v>643</v>
      </c>
    </row>
    <row r="2233" spans="3:5" ht="14.1" customHeight="1">
      <c r="C2233">
        <v>2115</v>
      </c>
      <c r="D2233" t="s">
        <v>2247</v>
      </c>
      <c r="E2233">
        <v>999</v>
      </c>
    </row>
    <row r="2234" spans="3:5" ht="14.1" customHeight="1">
      <c r="C2234">
        <v>4598</v>
      </c>
      <c r="D2234" t="s">
        <v>4003</v>
      </c>
      <c r="E2234">
        <v>486</v>
      </c>
    </row>
    <row r="2235" spans="3:5" ht="14.1" customHeight="1">
      <c r="C2235">
        <v>596</v>
      </c>
      <c r="D2235" t="s">
        <v>569</v>
      </c>
      <c r="E2235">
        <v>228</v>
      </c>
    </row>
    <row r="2236" spans="3:5" ht="14.1" customHeight="1">
      <c r="C2236">
        <v>2863</v>
      </c>
      <c r="D2236" t="s">
        <v>2248</v>
      </c>
      <c r="E2236">
        <v>453</v>
      </c>
    </row>
    <row r="2237" spans="3:5" ht="14.1" customHeight="1">
      <c r="C2237">
        <v>2331</v>
      </c>
      <c r="D2237" t="s">
        <v>2249</v>
      </c>
      <c r="E2237">
        <v>490</v>
      </c>
    </row>
    <row r="2238" spans="3:5" ht="14.1" customHeight="1">
      <c r="C2238">
        <v>1402</v>
      </c>
      <c r="D2238" t="s">
        <v>2250</v>
      </c>
      <c r="E2238">
        <v>709</v>
      </c>
    </row>
    <row r="2239" spans="3:5" ht="14.1" customHeight="1">
      <c r="C2239">
        <v>60</v>
      </c>
      <c r="D2239" t="s">
        <v>182</v>
      </c>
      <c r="E2239">
        <v>756</v>
      </c>
    </row>
    <row r="2240" spans="3:5" ht="14.1" customHeight="1">
      <c r="C2240">
        <v>249</v>
      </c>
      <c r="D2240" t="s">
        <v>2251</v>
      </c>
      <c r="E2240">
        <v>657</v>
      </c>
    </row>
    <row r="2241" spans="3:5" ht="14.1" customHeight="1">
      <c r="C2241">
        <v>2321</v>
      </c>
      <c r="D2241" t="s">
        <v>2252</v>
      </c>
      <c r="E2241">
        <v>569</v>
      </c>
    </row>
    <row r="2242" spans="3:5" ht="14.1" customHeight="1">
      <c r="C2242">
        <v>974</v>
      </c>
      <c r="D2242" t="s">
        <v>2253</v>
      </c>
      <c r="E2242">
        <v>487</v>
      </c>
    </row>
    <row r="2243" spans="3:5" ht="14.1" customHeight="1">
      <c r="C2243">
        <v>2030</v>
      </c>
      <c r="D2243" t="s">
        <v>2254</v>
      </c>
      <c r="E2243">
        <v>526</v>
      </c>
    </row>
    <row r="2244" spans="3:5" ht="14.1" customHeight="1">
      <c r="C2244">
        <v>106</v>
      </c>
      <c r="D2244" t="s">
        <v>2255</v>
      </c>
      <c r="E2244">
        <v>1007</v>
      </c>
    </row>
    <row r="2245" spans="3:5" ht="14.1" customHeight="1">
      <c r="C2245">
        <v>2835</v>
      </c>
      <c r="D2245" t="s">
        <v>2256</v>
      </c>
      <c r="E2245">
        <v>490</v>
      </c>
    </row>
    <row r="2246" spans="3:5" ht="14.1" customHeight="1">
      <c r="C2246">
        <v>347</v>
      </c>
      <c r="D2246" t="s">
        <v>2257</v>
      </c>
      <c r="E2246">
        <v>634</v>
      </c>
    </row>
    <row r="2247" spans="3:5" ht="14.1" customHeight="1">
      <c r="C2247">
        <v>496</v>
      </c>
      <c r="D2247" t="s">
        <v>570</v>
      </c>
      <c r="E2247">
        <v>607</v>
      </c>
    </row>
    <row r="2248" spans="3:5" ht="14.1" customHeight="1">
      <c r="C2248">
        <v>523</v>
      </c>
      <c r="D2248" t="s">
        <v>571</v>
      </c>
      <c r="E2248">
        <v>523</v>
      </c>
    </row>
    <row r="2249" spans="3:5" ht="14.1" customHeight="1">
      <c r="C2249">
        <v>4415</v>
      </c>
      <c r="D2249" t="s">
        <v>3684</v>
      </c>
      <c r="E2249">
        <v>805</v>
      </c>
    </row>
    <row r="2250" spans="3:5" ht="14.1" customHeight="1">
      <c r="C2250">
        <v>1599</v>
      </c>
      <c r="D2250" t="s">
        <v>2258</v>
      </c>
      <c r="E2250">
        <v>843</v>
      </c>
    </row>
    <row r="2251" spans="3:5" ht="14.1" customHeight="1">
      <c r="C2251">
        <v>1743</v>
      </c>
      <c r="D2251" t="s">
        <v>2259</v>
      </c>
      <c r="E2251">
        <v>965</v>
      </c>
    </row>
    <row r="2252" spans="3:5" ht="14.1" customHeight="1">
      <c r="C2252">
        <v>1742</v>
      </c>
      <c r="D2252" t="s">
        <v>2260</v>
      </c>
      <c r="E2252">
        <v>965</v>
      </c>
    </row>
    <row r="2253" spans="3:5" ht="14.1" customHeight="1">
      <c r="C2253">
        <v>4169</v>
      </c>
      <c r="D2253" t="s">
        <v>2261</v>
      </c>
      <c r="E2253">
        <v>429</v>
      </c>
    </row>
    <row r="2254" spans="3:5" ht="14.1" customHeight="1">
      <c r="C2254">
        <v>5115</v>
      </c>
      <c r="D2254" t="s">
        <v>4287</v>
      </c>
      <c r="E2254">
        <v>314</v>
      </c>
    </row>
    <row r="2255" spans="3:5" ht="14.1" customHeight="1">
      <c r="C2255">
        <v>4700</v>
      </c>
      <c r="D2255" t="s">
        <v>4004</v>
      </c>
      <c r="E2255">
        <v>524</v>
      </c>
    </row>
    <row r="2256" spans="3:5" ht="14.1" customHeight="1">
      <c r="C2256">
        <v>484</v>
      </c>
      <c r="D2256" t="s">
        <v>572</v>
      </c>
      <c r="E2256">
        <v>986</v>
      </c>
    </row>
    <row r="2257" spans="3:5" ht="14.1" customHeight="1">
      <c r="C2257">
        <v>2005</v>
      </c>
      <c r="D2257" t="s">
        <v>2262</v>
      </c>
      <c r="E2257">
        <v>429</v>
      </c>
    </row>
    <row r="2258" spans="3:5" ht="14.1" customHeight="1">
      <c r="C2258">
        <v>3271</v>
      </c>
      <c r="D2258" t="s">
        <v>2263</v>
      </c>
      <c r="E2258">
        <v>0</v>
      </c>
    </row>
    <row r="2259" spans="3:5" ht="14.1" customHeight="1">
      <c r="C2259">
        <v>2429</v>
      </c>
      <c r="D2259" t="s">
        <v>2264</v>
      </c>
      <c r="E2259">
        <v>873</v>
      </c>
    </row>
    <row r="2260" spans="3:5" ht="14.1" customHeight="1">
      <c r="C2260">
        <v>1411</v>
      </c>
      <c r="D2260" t="s">
        <v>2265</v>
      </c>
      <c r="E2260">
        <v>584</v>
      </c>
    </row>
    <row r="2261" spans="3:5" ht="14.1" customHeight="1">
      <c r="C2261">
        <v>125</v>
      </c>
      <c r="D2261" t="s">
        <v>573</v>
      </c>
      <c r="E2261">
        <v>961</v>
      </c>
    </row>
    <row r="2262" spans="3:5" ht="14.1" customHeight="1">
      <c r="C2262">
        <v>1233</v>
      </c>
      <c r="D2262" t="s">
        <v>2266</v>
      </c>
      <c r="E2262">
        <v>645</v>
      </c>
    </row>
    <row r="2263" spans="3:5" ht="14.1" customHeight="1">
      <c r="C2263">
        <v>5113</v>
      </c>
      <c r="D2263" t="s">
        <v>4288</v>
      </c>
      <c r="E2263">
        <v>239</v>
      </c>
    </row>
    <row r="2264" spans="3:5" ht="14.1" customHeight="1">
      <c r="C2264">
        <v>4325</v>
      </c>
      <c r="D2264" t="s">
        <v>2267</v>
      </c>
      <c r="E2264">
        <v>390</v>
      </c>
    </row>
    <row r="2265" spans="3:5" ht="14.1" customHeight="1">
      <c r="C2265">
        <v>5114</v>
      </c>
      <c r="D2265" t="s">
        <v>4289</v>
      </c>
      <c r="E2265">
        <v>239</v>
      </c>
    </row>
    <row r="2266" spans="3:5" ht="14.1" customHeight="1">
      <c r="C2266">
        <v>2632</v>
      </c>
      <c r="D2266" t="s">
        <v>2268</v>
      </c>
      <c r="E2266">
        <v>390</v>
      </c>
    </row>
    <row r="2267" spans="3:5" ht="14.1" customHeight="1">
      <c r="C2267">
        <v>19</v>
      </c>
      <c r="D2267" t="s">
        <v>574</v>
      </c>
      <c r="E2267">
        <v>880</v>
      </c>
    </row>
    <row r="2268" spans="3:5" ht="14.1" customHeight="1">
      <c r="C2268">
        <v>1421</v>
      </c>
      <c r="D2268" t="s">
        <v>2269</v>
      </c>
      <c r="E2268">
        <v>393</v>
      </c>
    </row>
    <row r="2269" spans="3:5" ht="14.1" customHeight="1">
      <c r="C2269">
        <v>4930</v>
      </c>
      <c r="D2269" t="s">
        <v>4005</v>
      </c>
      <c r="E2269">
        <v>532</v>
      </c>
    </row>
    <row r="2270" spans="3:5" ht="14.1" customHeight="1">
      <c r="C2270">
        <v>1029</v>
      </c>
      <c r="D2270" t="s">
        <v>2270</v>
      </c>
      <c r="E2270">
        <v>756</v>
      </c>
    </row>
    <row r="2271" spans="3:5" ht="14.1" customHeight="1">
      <c r="C2271">
        <v>777</v>
      </c>
      <c r="D2271" t="s">
        <v>575</v>
      </c>
      <c r="E2271">
        <v>730</v>
      </c>
    </row>
    <row r="2272" spans="3:5" ht="14.1" customHeight="1">
      <c r="C2272">
        <v>4199</v>
      </c>
      <c r="D2272" t="s">
        <v>2271</v>
      </c>
      <c r="E2272">
        <v>470</v>
      </c>
    </row>
    <row r="2273" spans="3:5" ht="14.1" customHeight="1">
      <c r="C2273">
        <v>1121</v>
      </c>
      <c r="D2273" t="s">
        <v>2272</v>
      </c>
      <c r="E2273">
        <v>809</v>
      </c>
    </row>
    <row r="2274" spans="3:5" ht="14.1" customHeight="1">
      <c r="C2274">
        <v>920</v>
      </c>
      <c r="D2274" t="s">
        <v>576</v>
      </c>
      <c r="E2274">
        <v>735</v>
      </c>
    </row>
    <row r="2275" spans="3:5" ht="14.1" customHeight="1">
      <c r="C2275">
        <v>3121</v>
      </c>
      <c r="D2275" t="s">
        <v>2273</v>
      </c>
      <c r="E2275">
        <v>0</v>
      </c>
    </row>
    <row r="2276" spans="3:5" ht="14.1" customHeight="1">
      <c r="C2276">
        <v>5179</v>
      </c>
      <c r="D2276" t="s">
        <v>4290</v>
      </c>
      <c r="E2276">
        <v>442</v>
      </c>
    </row>
    <row r="2277" spans="3:5" ht="14.1" customHeight="1">
      <c r="C2277">
        <v>2239</v>
      </c>
      <c r="D2277" t="s">
        <v>2274</v>
      </c>
      <c r="E2277">
        <v>372</v>
      </c>
    </row>
    <row r="2278" spans="3:5" ht="14.1" customHeight="1">
      <c r="C2278">
        <v>735</v>
      </c>
      <c r="D2278" t="s">
        <v>577</v>
      </c>
      <c r="E2278">
        <v>806</v>
      </c>
    </row>
    <row r="2279" spans="3:5" ht="14.1" customHeight="1">
      <c r="C2279">
        <v>4480</v>
      </c>
      <c r="D2279" t="s">
        <v>3685</v>
      </c>
      <c r="E2279">
        <v>368</v>
      </c>
    </row>
    <row r="2280" spans="3:5" ht="14.1" customHeight="1">
      <c r="C2280">
        <v>3261</v>
      </c>
      <c r="D2280" t="s">
        <v>2275</v>
      </c>
      <c r="E2280">
        <v>0</v>
      </c>
    </row>
    <row r="2281" spans="3:5" ht="14.1" customHeight="1">
      <c r="C2281">
        <v>4990</v>
      </c>
      <c r="D2281" t="s">
        <v>4006</v>
      </c>
      <c r="E2281">
        <v>453</v>
      </c>
    </row>
    <row r="2282" spans="3:5" ht="14.1" customHeight="1">
      <c r="C2282">
        <v>760</v>
      </c>
      <c r="D2282" t="s">
        <v>578</v>
      </c>
      <c r="E2282">
        <v>668</v>
      </c>
    </row>
    <row r="2283" spans="3:5" ht="14.1" customHeight="1">
      <c r="C2283">
        <v>2107</v>
      </c>
      <c r="D2283" t="s">
        <v>2276</v>
      </c>
      <c r="E2283">
        <v>601</v>
      </c>
    </row>
    <row r="2284" spans="3:5" ht="14.1" customHeight="1">
      <c r="C2284">
        <v>2286</v>
      </c>
      <c r="D2284" t="s">
        <v>2277</v>
      </c>
      <c r="E2284">
        <v>449</v>
      </c>
    </row>
    <row r="2285" spans="3:5" ht="14.1" customHeight="1">
      <c r="C2285">
        <v>4748</v>
      </c>
      <c r="D2285" t="s">
        <v>4007</v>
      </c>
      <c r="E2285">
        <v>388</v>
      </c>
    </row>
    <row r="2286" spans="3:5" ht="14.1" customHeight="1">
      <c r="C2286">
        <v>4149</v>
      </c>
      <c r="D2286" t="s">
        <v>2278</v>
      </c>
      <c r="E2286">
        <v>594</v>
      </c>
    </row>
    <row r="2287" spans="3:5" ht="14.1" customHeight="1">
      <c r="C2287">
        <v>669</v>
      </c>
      <c r="D2287" t="s">
        <v>579</v>
      </c>
      <c r="E2287">
        <v>628</v>
      </c>
    </row>
    <row r="2288" spans="3:5" ht="14.1" customHeight="1">
      <c r="C2288">
        <v>858</v>
      </c>
      <c r="D2288" t="s">
        <v>580</v>
      </c>
      <c r="E2288">
        <v>949</v>
      </c>
    </row>
    <row r="2289" spans="3:5" ht="14.1" customHeight="1">
      <c r="C2289">
        <v>5094</v>
      </c>
      <c r="D2289" t="s">
        <v>4291</v>
      </c>
      <c r="E2289">
        <v>399</v>
      </c>
    </row>
    <row r="2290" spans="3:5" ht="14.1" customHeight="1">
      <c r="C2290">
        <v>2200</v>
      </c>
      <c r="D2290" t="s">
        <v>2279</v>
      </c>
      <c r="E2290">
        <v>402</v>
      </c>
    </row>
    <row r="2291" spans="3:5" ht="14.1" customHeight="1">
      <c r="C2291">
        <v>4923</v>
      </c>
      <c r="D2291" t="s">
        <v>4008</v>
      </c>
      <c r="E2291">
        <v>521</v>
      </c>
    </row>
    <row r="2292" spans="3:5" ht="14.1" customHeight="1">
      <c r="C2292">
        <v>2717</v>
      </c>
      <c r="D2292" t="s">
        <v>2280</v>
      </c>
      <c r="E2292">
        <v>438</v>
      </c>
    </row>
    <row r="2293" spans="3:5" ht="14.1" customHeight="1">
      <c r="C2293">
        <v>363</v>
      </c>
      <c r="D2293" t="s">
        <v>183</v>
      </c>
      <c r="E2293">
        <v>465</v>
      </c>
    </row>
    <row r="2294" spans="3:5" ht="14.1" customHeight="1">
      <c r="C2294">
        <v>2223</v>
      </c>
      <c r="D2294" t="s">
        <v>2281</v>
      </c>
      <c r="E2294">
        <v>509</v>
      </c>
    </row>
    <row r="2295" spans="3:5" ht="14.1" customHeight="1">
      <c r="C2295">
        <v>2338</v>
      </c>
      <c r="D2295" t="s">
        <v>2282</v>
      </c>
      <c r="E2295">
        <v>494</v>
      </c>
    </row>
    <row r="2296" spans="3:5" ht="14.1" customHeight="1">
      <c r="C2296">
        <v>975</v>
      </c>
      <c r="D2296" t="s">
        <v>2283</v>
      </c>
      <c r="E2296">
        <v>440</v>
      </c>
    </row>
    <row r="2297" spans="3:5" ht="14.1" customHeight="1">
      <c r="C2297">
        <v>330</v>
      </c>
      <c r="D2297" t="s">
        <v>184</v>
      </c>
      <c r="E2297">
        <v>613</v>
      </c>
    </row>
    <row r="2298" spans="3:5" ht="14.1" customHeight="1">
      <c r="C2298">
        <v>3014</v>
      </c>
      <c r="D2298" t="s">
        <v>2284</v>
      </c>
      <c r="E2298">
        <v>0</v>
      </c>
    </row>
    <row r="2299" spans="3:5" ht="14.1" customHeight="1">
      <c r="C2299">
        <v>186</v>
      </c>
      <c r="D2299" t="s">
        <v>581</v>
      </c>
      <c r="E2299">
        <v>934</v>
      </c>
    </row>
    <row r="2300" spans="3:5" ht="14.1" customHeight="1">
      <c r="C2300">
        <v>2300</v>
      </c>
      <c r="D2300" t="s">
        <v>2285</v>
      </c>
      <c r="E2300">
        <v>654</v>
      </c>
    </row>
    <row r="2301" spans="3:5" ht="14.1" customHeight="1">
      <c r="C2301">
        <v>2096</v>
      </c>
      <c r="D2301" t="s">
        <v>2286</v>
      </c>
      <c r="E2301">
        <v>512</v>
      </c>
    </row>
    <row r="2302" spans="3:5" ht="14.1" customHeight="1">
      <c r="C2302">
        <v>1515</v>
      </c>
      <c r="D2302" t="s">
        <v>2287</v>
      </c>
      <c r="E2302">
        <v>741</v>
      </c>
    </row>
    <row r="2303" spans="3:5" ht="14.1" customHeight="1">
      <c r="C2303">
        <v>4707</v>
      </c>
      <c r="D2303" t="s">
        <v>4009</v>
      </c>
      <c r="E2303">
        <v>0</v>
      </c>
    </row>
    <row r="2304" spans="3:5" ht="14.1" customHeight="1">
      <c r="C2304">
        <v>4775</v>
      </c>
      <c r="D2304" t="s">
        <v>4010</v>
      </c>
      <c r="E2304">
        <v>619</v>
      </c>
    </row>
    <row r="2305" spans="3:5" ht="14.1" customHeight="1">
      <c r="C2305">
        <v>274</v>
      </c>
      <c r="D2305" t="s">
        <v>185</v>
      </c>
      <c r="E2305">
        <v>450</v>
      </c>
    </row>
    <row r="2306" spans="3:5" ht="14.1" customHeight="1">
      <c r="C2306">
        <v>1547</v>
      </c>
      <c r="D2306" t="s">
        <v>2288</v>
      </c>
      <c r="E2306">
        <v>530</v>
      </c>
    </row>
    <row r="2307" spans="3:5" ht="14.1" customHeight="1">
      <c r="C2307">
        <v>1120</v>
      </c>
      <c r="D2307" t="s">
        <v>2289</v>
      </c>
      <c r="E2307">
        <v>777</v>
      </c>
    </row>
    <row r="2308" spans="3:5" ht="14.1" customHeight="1">
      <c r="C2308">
        <v>275</v>
      </c>
      <c r="D2308" t="s">
        <v>186</v>
      </c>
      <c r="E2308">
        <v>450</v>
      </c>
    </row>
    <row r="2309" spans="3:5" ht="14.1" customHeight="1">
      <c r="C2309">
        <v>1273</v>
      </c>
      <c r="D2309" t="s">
        <v>2290</v>
      </c>
      <c r="E2309">
        <v>443</v>
      </c>
    </row>
    <row r="2310" spans="3:5" ht="14.1" customHeight="1">
      <c r="C2310">
        <v>1216</v>
      </c>
      <c r="D2310" t="s">
        <v>2291</v>
      </c>
      <c r="E2310">
        <v>445</v>
      </c>
    </row>
    <row r="2311" spans="3:5" ht="14.1" customHeight="1">
      <c r="C2311">
        <v>4774</v>
      </c>
      <c r="D2311" t="s">
        <v>4011</v>
      </c>
      <c r="E2311">
        <v>619</v>
      </c>
    </row>
    <row r="2312" spans="3:5" ht="14.1" customHeight="1">
      <c r="C2312">
        <v>3009</v>
      </c>
      <c r="D2312" t="s">
        <v>2292</v>
      </c>
      <c r="E2312">
        <v>0</v>
      </c>
    </row>
    <row r="2313" spans="3:5" ht="14.1" customHeight="1">
      <c r="C2313">
        <v>2630</v>
      </c>
      <c r="D2313" t="s">
        <v>2293</v>
      </c>
      <c r="E2313">
        <v>446</v>
      </c>
    </row>
    <row r="2314" spans="3:5" ht="14.1" customHeight="1">
      <c r="C2314">
        <v>1217</v>
      </c>
      <c r="D2314" t="s">
        <v>3686</v>
      </c>
      <c r="E2314">
        <v>533</v>
      </c>
    </row>
    <row r="2315" spans="3:5" ht="14.1" customHeight="1">
      <c r="C2315">
        <v>847</v>
      </c>
      <c r="D2315" t="s">
        <v>582</v>
      </c>
      <c r="E2315">
        <v>647</v>
      </c>
    </row>
    <row r="2316" spans="3:5" ht="14.1" customHeight="1">
      <c r="C2316">
        <v>2480</v>
      </c>
      <c r="D2316" t="s">
        <v>2294</v>
      </c>
      <c r="E2316">
        <v>670</v>
      </c>
    </row>
    <row r="2317" spans="3:5" ht="14.1" customHeight="1">
      <c r="C2317">
        <v>1559</v>
      </c>
      <c r="D2317" t="s">
        <v>2295</v>
      </c>
      <c r="E2317">
        <v>561</v>
      </c>
    </row>
    <row r="2318" spans="3:5" ht="14.1" customHeight="1">
      <c r="C2318">
        <v>1093</v>
      </c>
      <c r="D2318" t="s">
        <v>2296</v>
      </c>
      <c r="E2318">
        <v>574</v>
      </c>
    </row>
    <row r="2319" spans="3:5" ht="14.1" customHeight="1">
      <c r="C2319">
        <v>2002</v>
      </c>
      <c r="D2319" t="s">
        <v>2297</v>
      </c>
      <c r="E2319">
        <v>506</v>
      </c>
    </row>
    <row r="2320" spans="3:5" ht="14.1" customHeight="1">
      <c r="C2320">
        <v>267</v>
      </c>
      <c r="D2320" t="s">
        <v>2298</v>
      </c>
      <c r="E2320">
        <v>426</v>
      </c>
    </row>
    <row r="2321" spans="3:5" ht="14.1" customHeight="1">
      <c r="C2321">
        <v>266</v>
      </c>
      <c r="D2321" t="s">
        <v>2299</v>
      </c>
      <c r="E2321">
        <v>391</v>
      </c>
    </row>
    <row r="2322" spans="3:5" ht="14.1" customHeight="1">
      <c r="C2322">
        <v>2654</v>
      </c>
      <c r="D2322" t="s">
        <v>2300</v>
      </c>
      <c r="E2322">
        <v>648</v>
      </c>
    </row>
    <row r="2323" spans="3:5" ht="14.1" customHeight="1">
      <c r="C2323">
        <v>601</v>
      </c>
      <c r="D2323" t="s">
        <v>583</v>
      </c>
      <c r="E2323">
        <v>412</v>
      </c>
    </row>
    <row r="2324" spans="3:5" ht="14.1" customHeight="1">
      <c r="C2324">
        <v>602</v>
      </c>
      <c r="D2324" t="s">
        <v>584</v>
      </c>
      <c r="E2324">
        <v>349</v>
      </c>
    </row>
    <row r="2325" spans="3:5" ht="14.1" customHeight="1">
      <c r="C2325">
        <v>1258</v>
      </c>
      <c r="D2325" t="s">
        <v>2301</v>
      </c>
      <c r="E2325">
        <v>458</v>
      </c>
    </row>
    <row r="2326" spans="3:5" ht="14.1" customHeight="1">
      <c r="C2326">
        <v>4308</v>
      </c>
      <c r="D2326" t="s">
        <v>2302</v>
      </c>
      <c r="E2326">
        <v>479</v>
      </c>
    </row>
    <row r="2327" spans="3:5" ht="14.1" customHeight="1">
      <c r="C2327">
        <v>4867</v>
      </c>
      <c r="D2327" t="s">
        <v>4012</v>
      </c>
      <c r="E2327">
        <v>782</v>
      </c>
    </row>
    <row r="2328" spans="3:5" ht="14.1" customHeight="1">
      <c r="C2328">
        <v>4704</v>
      </c>
      <c r="D2328" t="s">
        <v>4013</v>
      </c>
      <c r="E2328">
        <v>419</v>
      </c>
    </row>
    <row r="2329" spans="3:5" ht="14.1" customHeight="1">
      <c r="C2329">
        <v>5138</v>
      </c>
      <c r="D2329" t="s">
        <v>4292</v>
      </c>
      <c r="E2329">
        <v>476</v>
      </c>
    </row>
    <row r="2330" spans="3:5" ht="14.1" customHeight="1">
      <c r="C2330">
        <v>4805</v>
      </c>
      <c r="D2330" t="s">
        <v>4014</v>
      </c>
      <c r="E2330">
        <v>369</v>
      </c>
    </row>
    <row r="2331" spans="3:5" ht="14.1" customHeight="1">
      <c r="C2331">
        <v>643</v>
      </c>
      <c r="D2331" t="s">
        <v>585</v>
      </c>
      <c r="E2331">
        <v>847</v>
      </c>
    </row>
    <row r="2332" spans="3:5" ht="14.1" customHeight="1">
      <c r="C2332">
        <v>1373</v>
      </c>
      <c r="D2332" t="s">
        <v>2303</v>
      </c>
      <c r="E2332">
        <v>677</v>
      </c>
    </row>
    <row r="2333" spans="3:5" ht="14.1" customHeight="1">
      <c r="C2333">
        <v>1881</v>
      </c>
      <c r="D2333" t="s">
        <v>2304</v>
      </c>
      <c r="E2333">
        <v>588</v>
      </c>
    </row>
    <row r="2334" spans="3:5" ht="14.1" customHeight="1">
      <c r="C2334">
        <v>992</v>
      </c>
      <c r="D2334" t="s">
        <v>2305</v>
      </c>
      <c r="E2334">
        <v>622</v>
      </c>
    </row>
    <row r="2335" spans="3:5" ht="14.1" customHeight="1">
      <c r="C2335">
        <v>5162</v>
      </c>
      <c r="D2335" t="s">
        <v>4293</v>
      </c>
      <c r="E2335">
        <v>491</v>
      </c>
    </row>
    <row r="2336" spans="3:5" ht="14.1" customHeight="1">
      <c r="C2336">
        <v>5073</v>
      </c>
      <c r="D2336" t="s">
        <v>4294</v>
      </c>
      <c r="E2336">
        <v>387</v>
      </c>
    </row>
    <row r="2337" spans="3:5" ht="14.1" customHeight="1">
      <c r="C2337">
        <v>2031</v>
      </c>
      <c r="D2337" t="s">
        <v>2306</v>
      </c>
      <c r="E2337">
        <v>437</v>
      </c>
    </row>
    <row r="2338" spans="3:5" ht="14.1" customHeight="1">
      <c r="C2338">
        <v>1800</v>
      </c>
      <c r="D2338" t="s">
        <v>2307</v>
      </c>
      <c r="E2338">
        <v>470</v>
      </c>
    </row>
    <row r="2339" spans="3:5" ht="14.1" customHeight="1">
      <c r="C2339">
        <v>2879</v>
      </c>
      <c r="D2339" t="s">
        <v>2308</v>
      </c>
      <c r="E2339">
        <v>379</v>
      </c>
    </row>
    <row r="2340" spans="3:5" ht="14.1" customHeight="1">
      <c r="C2340">
        <v>4188</v>
      </c>
      <c r="D2340" t="s">
        <v>2309</v>
      </c>
      <c r="E2340">
        <v>426</v>
      </c>
    </row>
    <row r="2341" spans="3:5" ht="14.1" customHeight="1">
      <c r="C2341">
        <v>4597</v>
      </c>
      <c r="D2341" t="s">
        <v>4015</v>
      </c>
      <c r="E2341">
        <v>667</v>
      </c>
    </row>
    <row r="2342" spans="3:5" ht="14.1" customHeight="1">
      <c r="C2342">
        <v>82</v>
      </c>
      <c r="D2342" t="s">
        <v>586</v>
      </c>
      <c r="E2342">
        <v>785</v>
      </c>
    </row>
    <row r="2343" spans="3:5" ht="14.1" customHeight="1">
      <c r="C2343">
        <v>5130</v>
      </c>
      <c r="D2343" t="s">
        <v>4295</v>
      </c>
      <c r="E2343">
        <v>400</v>
      </c>
    </row>
    <row r="2344" spans="3:5" ht="14.1" customHeight="1">
      <c r="C2344">
        <v>43</v>
      </c>
      <c r="D2344" t="s">
        <v>587</v>
      </c>
      <c r="E2344">
        <v>585</v>
      </c>
    </row>
    <row r="2345" spans="3:5" ht="14.1" customHeight="1">
      <c r="C2345">
        <v>3319</v>
      </c>
      <c r="D2345" t="s">
        <v>2310</v>
      </c>
      <c r="E2345">
        <v>610</v>
      </c>
    </row>
    <row r="2346" spans="3:5" ht="14.1" customHeight="1">
      <c r="C2346">
        <v>866</v>
      </c>
      <c r="D2346" t="s">
        <v>588</v>
      </c>
      <c r="E2346">
        <v>1353</v>
      </c>
    </row>
    <row r="2347" spans="3:5" ht="14.1" customHeight="1">
      <c r="C2347">
        <v>1284</v>
      </c>
      <c r="D2347" t="s">
        <v>2311</v>
      </c>
      <c r="E2347">
        <v>419</v>
      </c>
    </row>
    <row r="2348" spans="3:5" ht="14.1" customHeight="1">
      <c r="C2348">
        <v>600</v>
      </c>
      <c r="D2348" t="s">
        <v>589</v>
      </c>
      <c r="E2348">
        <v>543</v>
      </c>
    </row>
    <row r="2349" spans="3:5" ht="14.1" customHeight="1">
      <c r="C2349">
        <v>3011</v>
      </c>
      <c r="D2349" t="s">
        <v>187</v>
      </c>
      <c r="E2349">
        <v>0</v>
      </c>
    </row>
    <row r="2350" spans="3:5" ht="14.1" customHeight="1">
      <c r="C2350">
        <v>161</v>
      </c>
      <c r="D2350" t="s">
        <v>2312</v>
      </c>
      <c r="E2350">
        <v>476</v>
      </c>
    </row>
    <row r="2351" spans="3:5" ht="14.1" customHeight="1">
      <c r="C2351">
        <v>5096</v>
      </c>
      <c r="D2351" t="s">
        <v>4296</v>
      </c>
      <c r="E2351">
        <v>388</v>
      </c>
    </row>
    <row r="2352" spans="3:5" ht="14.1" customHeight="1">
      <c r="C2352">
        <v>412</v>
      </c>
      <c r="D2352" t="s">
        <v>188</v>
      </c>
      <c r="E2352">
        <v>542</v>
      </c>
    </row>
    <row r="2353" spans="3:5" ht="14.1" customHeight="1">
      <c r="C2353">
        <v>45</v>
      </c>
      <c r="D2353" t="s">
        <v>590</v>
      </c>
      <c r="E2353">
        <v>508</v>
      </c>
    </row>
    <row r="2354" spans="3:5" ht="14.1" customHeight="1">
      <c r="C2354">
        <v>675</v>
      </c>
      <c r="D2354" t="s">
        <v>591</v>
      </c>
      <c r="E2354">
        <v>956</v>
      </c>
    </row>
    <row r="2355" spans="3:5" ht="14.1" customHeight="1">
      <c r="C2355">
        <v>4893</v>
      </c>
      <c r="D2355" t="s">
        <v>4016</v>
      </c>
      <c r="E2355">
        <v>0</v>
      </c>
    </row>
    <row r="2356" spans="3:5" ht="14.1" customHeight="1">
      <c r="C2356">
        <v>1980</v>
      </c>
      <c r="D2356" t="s">
        <v>2313</v>
      </c>
      <c r="E2356">
        <v>456</v>
      </c>
    </row>
    <row r="2357" spans="3:5" ht="14.1" customHeight="1">
      <c r="C2357">
        <v>4366</v>
      </c>
      <c r="D2357" t="s">
        <v>3687</v>
      </c>
      <c r="E2357">
        <v>0</v>
      </c>
    </row>
    <row r="2358" spans="3:5" ht="14.1" customHeight="1">
      <c r="C2358">
        <v>4232</v>
      </c>
      <c r="D2358" t="s">
        <v>2314</v>
      </c>
      <c r="E2358">
        <v>382</v>
      </c>
    </row>
    <row r="2359" spans="3:5" ht="14.1" customHeight="1">
      <c r="C2359">
        <v>5128</v>
      </c>
      <c r="D2359" t="s">
        <v>4297</v>
      </c>
      <c r="E2359">
        <v>400</v>
      </c>
    </row>
    <row r="2360" spans="3:5" ht="14.1" customHeight="1">
      <c r="C2360">
        <v>820</v>
      </c>
      <c r="D2360" t="s">
        <v>592</v>
      </c>
      <c r="E2360">
        <v>747</v>
      </c>
    </row>
    <row r="2361" spans="3:5" ht="14.1" customHeight="1">
      <c r="C2361">
        <v>2592</v>
      </c>
      <c r="D2361" t="s">
        <v>2315</v>
      </c>
      <c r="E2361">
        <v>854</v>
      </c>
    </row>
    <row r="2362" spans="3:5" ht="14.1" customHeight="1">
      <c r="C2362">
        <v>630</v>
      </c>
      <c r="D2362" t="s">
        <v>2316</v>
      </c>
      <c r="E2362">
        <v>846</v>
      </c>
    </row>
    <row r="2363" spans="3:5" ht="14.1" customHeight="1">
      <c r="C2363">
        <v>4238</v>
      </c>
      <c r="D2363" t="s">
        <v>2317</v>
      </c>
      <c r="E2363">
        <v>804</v>
      </c>
    </row>
    <row r="2364" spans="3:5" ht="14.1" customHeight="1">
      <c r="C2364">
        <v>3184</v>
      </c>
      <c r="D2364" t="s">
        <v>2318</v>
      </c>
      <c r="E2364">
        <v>543</v>
      </c>
    </row>
    <row r="2365" spans="3:5" ht="14.1" customHeight="1">
      <c r="C2365">
        <v>1943</v>
      </c>
      <c r="D2365" t="s">
        <v>2319</v>
      </c>
      <c r="E2365">
        <v>591</v>
      </c>
    </row>
    <row r="2366" spans="3:5" ht="14.1" customHeight="1">
      <c r="C2366">
        <v>2069</v>
      </c>
      <c r="D2366" t="s">
        <v>2320</v>
      </c>
      <c r="E2366">
        <v>1077</v>
      </c>
    </row>
    <row r="2367" spans="3:5" ht="14.1" customHeight="1">
      <c r="C2367">
        <v>3068</v>
      </c>
      <c r="D2367" t="s">
        <v>593</v>
      </c>
      <c r="E2367">
        <v>0</v>
      </c>
    </row>
    <row r="2368" spans="3:5" ht="14.1" customHeight="1">
      <c r="C2368">
        <v>4621</v>
      </c>
      <c r="D2368" t="s">
        <v>2321</v>
      </c>
      <c r="E2368">
        <v>638</v>
      </c>
    </row>
    <row r="2369" spans="3:5" ht="14.1" customHeight="1">
      <c r="C2369">
        <v>2966</v>
      </c>
      <c r="D2369" t="s">
        <v>2322</v>
      </c>
      <c r="E2369">
        <v>504</v>
      </c>
    </row>
    <row r="2370" spans="3:5" ht="14.1" customHeight="1">
      <c r="C2370">
        <v>122</v>
      </c>
      <c r="D2370" t="s">
        <v>594</v>
      </c>
      <c r="E2370">
        <v>1077</v>
      </c>
    </row>
    <row r="2371" spans="3:5" ht="14.1" customHeight="1">
      <c r="C2371">
        <v>649</v>
      </c>
      <c r="D2371" t="s">
        <v>2323</v>
      </c>
      <c r="E2371">
        <v>774</v>
      </c>
    </row>
    <row r="2372" spans="3:5" ht="14.1" customHeight="1">
      <c r="C2372">
        <v>2361</v>
      </c>
      <c r="D2372" t="s">
        <v>2324</v>
      </c>
      <c r="E2372">
        <v>608</v>
      </c>
    </row>
    <row r="2373" spans="3:5" ht="14.1" customHeight="1">
      <c r="C2373">
        <v>1467</v>
      </c>
      <c r="D2373" t="s">
        <v>2325</v>
      </c>
      <c r="E2373">
        <v>519</v>
      </c>
    </row>
    <row r="2374" spans="3:5" ht="14.1" customHeight="1">
      <c r="C2374">
        <v>4756</v>
      </c>
      <c r="D2374" t="s">
        <v>4017</v>
      </c>
      <c r="E2374">
        <v>582</v>
      </c>
    </row>
    <row r="2375" spans="3:5" ht="14.1" customHeight="1">
      <c r="C2375">
        <v>845</v>
      </c>
      <c r="D2375" t="s">
        <v>595</v>
      </c>
      <c r="E2375">
        <v>653</v>
      </c>
    </row>
    <row r="2376" spans="3:5" ht="14.1" customHeight="1">
      <c r="C2376">
        <v>2623</v>
      </c>
      <c r="D2376" t="s">
        <v>2326</v>
      </c>
      <c r="E2376">
        <v>483</v>
      </c>
    </row>
    <row r="2377" spans="3:5" ht="14.1" customHeight="1">
      <c r="C2377">
        <v>4352</v>
      </c>
      <c r="D2377" t="s">
        <v>3688</v>
      </c>
      <c r="E2377">
        <v>0</v>
      </c>
    </row>
    <row r="2378" spans="3:5" ht="14.1" customHeight="1">
      <c r="C2378">
        <v>1901</v>
      </c>
      <c r="D2378" t="s">
        <v>2327</v>
      </c>
      <c r="E2378">
        <v>577</v>
      </c>
    </row>
    <row r="2379" spans="3:5" ht="14.1" customHeight="1">
      <c r="C2379">
        <v>4201</v>
      </c>
      <c r="D2379" t="s">
        <v>2328</v>
      </c>
      <c r="E2379">
        <v>440</v>
      </c>
    </row>
    <row r="2380" spans="3:5" ht="14.1" customHeight="1">
      <c r="C2380">
        <v>1466</v>
      </c>
      <c r="D2380" t="s">
        <v>2329</v>
      </c>
      <c r="E2380">
        <v>505</v>
      </c>
    </row>
    <row r="2381" spans="3:5" ht="14.1" customHeight="1">
      <c r="C2381">
        <v>5151</v>
      </c>
      <c r="D2381" t="s">
        <v>4298</v>
      </c>
      <c r="E2381">
        <v>0</v>
      </c>
    </row>
    <row r="2382" spans="3:5" ht="14.1" customHeight="1">
      <c r="C2382">
        <v>4842</v>
      </c>
      <c r="D2382" t="s">
        <v>4018</v>
      </c>
      <c r="E2382">
        <v>532</v>
      </c>
    </row>
    <row r="2383" spans="3:5" ht="14.1" customHeight="1">
      <c r="C2383">
        <v>1202</v>
      </c>
      <c r="D2383" t="s">
        <v>2330</v>
      </c>
      <c r="E2383">
        <v>673</v>
      </c>
    </row>
    <row r="2384" spans="3:5" ht="14.1" customHeight="1">
      <c r="C2384">
        <v>5102</v>
      </c>
      <c r="D2384" t="s">
        <v>4299</v>
      </c>
      <c r="E2384">
        <v>0</v>
      </c>
    </row>
    <row r="2385" spans="3:5" ht="14.1" customHeight="1">
      <c r="C2385">
        <v>4483</v>
      </c>
      <c r="D2385" t="s">
        <v>3689</v>
      </c>
      <c r="E2385">
        <v>375</v>
      </c>
    </row>
    <row r="2386" spans="3:5" ht="14.1" customHeight="1">
      <c r="C2386">
        <v>4420</v>
      </c>
      <c r="D2386" t="s">
        <v>3690</v>
      </c>
      <c r="E2386">
        <v>616</v>
      </c>
    </row>
    <row r="2387" spans="3:5" ht="14.1" customHeight="1">
      <c r="C2387">
        <v>1441</v>
      </c>
      <c r="D2387" t="s">
        <v>2331</v>
      </c>
      <c r="E2387">
        <v>602</v>
      </c>
    </row>
    <row r="2388" spans="3:5" ht="14.1" customHeight="1">
      <c r="C2388">
        <v>510</v>
      </c>
      <c r="D2388" t="s">
        <v>2332</v>
      </c>
      <c r="E2388">
        <v>630</v>
      </c>
    </row>
    <row r="2389" spans="3:5" ht="14.1" customHeight="1">
      <c r="C2389">
        <v>2101</v>
      </c>
      <c r="D2389" t="s">
        <v>2333</v>
      </c>
      <c r="E2389">
        <v>881</v>
      </c>
    </row>
    <row r="2390" spans="3:5" ht="14.1" customHeight="1">
      <c r="C2390">
        <v>1776</v>
      </c>
      <c r="D2390" t="s">
        <v>2334</v>
      </c>
      <c r="E2390">
        <v>462</v>
      </c>
    </row>
    <row r="2391" spans="3:5" ht="14.1" customHeight="1">
      <c r="C2391">
        <v>981</v>
      </c>
      <c r="D2391" t="s">
        <v>2335</v>
      </c>
      <c r="E2391">
        <v>389</v>
      </c>
    </row>
    <row r="2392" spans="3:5" ht="14.1" customHeight="1">
      <c r="C2392">
        <v>2021</v>
      </c>
      <c r="D2392" t="s">
        <v>2336</v>
      </c>
      <c r="E2392">
        <v>445</v>
      </c>
    </row>
    <row r="2393" spans="3:5" ht="14.1" customHeight="1">
      <c r="C2393">
        <v>81</v>
      </c>
      <c r="D2393" t="s">
        <v>596</v>
      </c>
      <c r="E2393">
        <v>624</v>
      </c>
    </row>
    <row r="2394" spans="3:5" ht="14.1" customHeight="1">
      <c r="C2394">
        <v>317</v>
      </c>
      <c r="D2394" t="s">
        <v>597</v>
      </c>
      <c r="E2394">
        <v>520</v>
      </c>
    </row>
    <row r="2395" spans="3:5" ht="14.1" customHeight="1">
      <c r="C2395">
        <v>316</v>
      </c>
      <c r="D2395" t="s">
        <v>598</v>
      </c>
      <c r="E2395">
        <v>459</v>
      </c>
    </row>
    <row r="2396" spans="3:5" ht="14.1" customHeight="1">
      <c r="C2396">
        <v>2251</v>
      </c>
      <c r="D2396" t="s">
        <v>2337</v>
      </c>
      <c r="E2396">
        <v>366</v>
      </c>
    </row>
    <row r="2397" spans="3:5" ht="14.1" customHeight="1">
      <c r="C2397">
        <v>4900</v>
      </c>
      <c r="D2397" t="s">
        <v>4019</v>
      </c>
      <c r="E2397">
        <v>535</v>
      </c>
    </row>
    <row r="2398" spans="3:5" ht="14.1" customHeight="1">
      <c r="C2398">
        <v>4689</v>
      </c>
      <c r="D2398" t="s">
        <v>4020</v>
      </c>
      <c r="E2398">
        <v>556</v>
      </c>
    </row>
    <row r="2399" spans="3:5" ht="14.1" customHeight="1">
      <c r="C2399">
        <v>500</v>
      </c>
      <c r="D2399" t="s">
        <v>599</v>
      </c>
      <c r="E2399">
        <v>439</v>
      </c>
    </row>
    <row r="2400" spans="3:5" ht="14.1" customHeight="1">
      <c r="C2400">
        <v>3035</v>
      </c>
      <c r="D2400" t="s">
        <v>2338</v>
      </c>
      <c r="E2400">
        <v>0</v>
      </c>
    </row>
    <row r="2401" spans="3:5" ht="14.1" customHeight="1">
      <c r="C2401">
        <v>2858</v>
      </c>
      <c r="D2401" t="s">
        <v>2339</v>
      </c>
      <c r="E2401">
        <v>473</v>
      </c>
    </row>
    <row r="2402" spans="3:5" ht="14.1" customHeight="1">
      <c r="C2402">
        <v>1337</v>
      </c>
      <c r="D2402" t="s">
        <v>2340</v>
      </c>
      <c r="E2402">
        <v>505</v>
      </c>
    </row>
    <row r="2403" spans="3:5" ht="14.1" customHeight="1">
      <c r="C2403">
        <v>261</v>
      </c>
      <c r="D2403" t="s">
        <v>2341</v>
      </c>
      <c r="E2403">
        <v>358</v>
      </c>
    </row>
    <row r="2404" spans="3:5" ht="14.1" customHeight="1">
      <c r="C2404">
        <v>3317</v>
      </c>
      <c r="D2404" t="s">
        <v>2342</v>
      </c>
      <c r="E2404">
        <v>0</v>
      </c>
    </row>
    <row r="2405" spans="3:5" ht="14.1" customHeight="1">
      <c r="C2405">
        <v>2758</v>
      </c>
      <c r="D2405" t="s">
        <v>2343</v>
      </c>
      <c r="E2405">
        <v>637</v>
      </c>
    </row>
    <row r="2406" spans="3:5" ht="14.1" customHeight="1">
      <c r="C2406">
        <v>651</v>
      </c>
      <c r="D2406" t="s">
        <v>2344</v>
      </c>
      <c r="E2406">
        <v>796</v>
      </c>
    </row>
    <row r="2407" spans="3:5" ht="14.1" customHeight="1">
      <c r="C2407">
        <v>3174</v>
      </c>
      <c r="D2407" t="s">
        <v>2345</v>
      </c>
      <c r="E2407">
        <v>0</v>
      </c>
    </row>
    <row r="2408" spans="3:5" ht="14.1" customHeight="1">
      <c r="C2408">
        <v>954</v>
      </c>
      <c r="D2408" t="s">
        <v>2346</v>
      </c>
      <c r="E2408">
        <v>500</v>
      </c>
    </row>
    <row r="2409" spans="3:5" ht="14.1" customHeight="1">
      <c r="C2409">
        <v>3087</v>
      </c>
      <c r="D2409" t="s">
        <v>2347</v>
      </c>
      <c r="E2409">
        <v>0</v>
      </c>
    </row>
    <row r="2410" spans="3:5" ht="14.1" customHeight="1">
      <c r="C2410">
        <v>2575</v>
      </c>
      <c r="D2410" t="s">
        <v>2348</v>
      </c>
      <c r="E2410">
        <v>500</v>
      </c>
    </row>
    <row r="2411" spans="3:5" ht="14.1" customHeight="1">
      <c r="C2411">
        <v>2653</v>
      </c>
      <c r="D2411" t="s">
        <v>2349</v>
      </c>
      <c r="E2411">
        <v>566</v>
      </c>
    </row>
    <row r="2412" spans="3:5" ht="14.1" customHeight="1">
      <c r="C2412">
        <v>3222</v>
      </c>
      <c r="D2412" t="s">
        <v>2350</v>
      </c>
      <c r="E2412">
        <v>0</v>
      </c>
    </row>
    <row r="2413" spans="3:5" ht="14.1" customHeight="1">
      <c r="C2413">
        <v>697</v>
      </c>
      <c r="D2413" t="s">
        <v>2351</v>
      </c>
      <c r="E2413">
        <v>0</v>
      </c>
    </row>
    <row r="2414" spans="3:5" ht="14.1" customHeight="1">
      <c r="C2414">
        <v>2812</v>
      </c>
      <c r="D2414" t="s">
        <v>2352</v>
      </c>
      <c r="E2414">
        <v>572</v>
      </c>
    </row>
    <row r="2415" spans="3:5" ht="14.1" customHeight="1">
      <c r="C2415">
        <v>2716</v>
      </c>
      <c r="D2415" t="s">
        <v>2353</v>
      </c>
      <c r="E2415">
        <v>422</v>
      </c>
    </row>
    <row r="2416" spans="3:5" ht="14.1" customHeight="1">
      <c r="C2416">
        <v>709</v>
      </c>
      <c r="D2416" t="s">
        <v>600</v>
      </c>
      <c r="E2416">
        <v>472</v>
      </c>
    </row>
    <row r="2417" spans="3:5" ht="14.1" customHeight="1">
      <c r="C2417">
        <v>1635</v>
      </c>
      <c r="D2417" t="s">
        <v>2354</v>
      </c>
      <c r="E2417">
        <v>561</v>
      </c>
    </row>
    <row r="2418" spans="3:5" ht="14.1" customHeight="1">
      <c r="C2418">
        <v>848</v>
      </c>
      <c r="D2418" t="s">
        <v>601</v>
      </c>
      <c r="E2418">
        <v>511</v>
      </c>
    </row>
    <row r="2419" spans="3:5" ht="14.1" customHeight="1">
      <c r="C2419">
        <v>5190</v>
      </c>
      <c r="D2419" t="s">
        <v>4300</v>
      </c>
      <c r="E2419">
        <v>523</v>
      </c>
    </row>
    <row r="2420" spans="3:5" ht="14.1" customHeight="1">
      <c r="C2420">
        <v>4920</v>
      </c>
      <c r="D2420" t="s">
        <v>4021</v>
      </c>
      <c r="E2420">
        <v>508</v>
      </c>
    </row>
    <row r="2421" spans="3:5" ht="14.1" customHeight="1">
      <c r="C2421">
        <v>4921</v>
      </c>
      <c r="D2421" t="s">
        <v>4022</v>
      </c>
      <c r="E2421">
        <v>515</v>
      </c>
    </row>
    <row r="2422" spans="3:5" ht="14.1" customHeight="1">
      <c r="C2422">
        <v>2291</v>
      </c>
      <c r="D2422" t="s">
        <v>2355</v>
      </c>
      <c r="E2422">
        <v>431</v>
      </c>
    </row>
    <row r="2423" spans="3:5" ht="14.1" customHeight="1">
      <c r="C2423">
        <v>1081</v>
      </c>
      <c r="D2423" t="s">
        <v>2356</v>
      </c>
      <c r="E2423">
        <v>744</v>
      </c>
    </row>
    <row r="2424" spans="3:5" ht="14.1" customHeight="1">
      <c r="C2424">
        <v>2793</v>
      </c>
      <c r="D2424" t="s">
        <v>2357</v>
      </c>
      <c r="E2424">
        <v>599</v>
      </c>
    </row>
    <row r="2425" spans="3:5" ht="14.1" customHeight="1">
      <c r="C2425">
        <v>5174</v>
      </c>
      <c r="D2425" t="s">
        <v>4301</v>
      </c>
      <c r="E2425">
        <v>615</v>
      </c>
    </row>
    <row r="2426" spans="3:5" ht="14.1" customHeight="1">
      <c r="C2426">
        <v>644</v>
      </c>
      <c r="D2426" t="s">
        <v>602</v>
      </c>
      <c r="E2426">
        <v>1053</v>
      </c>
    </row>
    <row r="2427" spans="3:5" ht="14.1" customHeight="1">
      <c r="C2427">
        <v>5121</v>
      </c>
      <c r="D2427" t="s">
        <v>4302</v>
      </c>
      <c r="E2427">
        <v>505</v>
      </c>
    </row>
    <row r="2428" spans="3:5" ht="14.1" customHeight="1">
      <c r="C2428">
        <v>179</v>
      </c>
      <c r="D2428" t="s">
        <v>2358</v>
      </c>
      <c r="E2428">
        <v>640</v>
      </c>
    </row>
    <row r="2429" spans="3:5" ht="14.1" customHeight="1">
      <c r="C2429">
        <v>788</v>
      </c>
      <c r="D2429" t="s">
        <v>603</v>
      </c>
      <c r="E2429">
        <v>503</v>
      </c>
    </row>
    <row r="2430" spans="3:5" ht="14.1" customHeight="1">
      <c r="C2430">
        <v>685</v>
      </c>
      <c r="D2430" t="s">
        <v>2359</v>
      </c>
      <c r="E2430">
        <v>963</v>
      </c>
    </row>
    <row r="2431" spans="3:5" ht="14.1" customHeight="1">
      <c r="C2431">
        <v>5175</v>
      </c>
      <c r="D2431" t="s">
        <v>4303</v>
      </c>
      <c r="E2431">
        <v>607</v>
      </c>
    </row>
    <row r="2432" spans="3:5" ht="14.1" customHeight="1">
      <c r="C2432">
        <v>1016</v>
      </c>
      <c r="D2432" t="s">
        <v>2360</v>
      </c>
      <c r="E2432">
        <v>629</v>
      </c>
    </row>
    <row r="2433" spans="3:5" ht="14.1" customHeight="1">
      <c r="C2433">
        <v>2192</v>
      </c>
      <c r="D2433" t="s">
        <v>2361</v>
      </c>
      <c r="E2433">
        <v>389</v>
      </c>
    </row>
    <row r="2434" spans="3:5" ht="14.1" customHeight="1">
      <c r="C2434">
        <v>3113</v>
      </c>
      <c r="D2434" t="s">
        <v>2362</v>
      </c>
      <c r="E2434">
        <v>0</v>
      </c>
    </row>
    <row r="2435" spans="3:5" ht="14.1" customHeight="1">
      <c r="C2435">
        <v>4846</v>
      </c>
      <c r="D2435" t="s">
        <v>4023</v>
      </c>
      <c r="E2435">
        <v>585</v>
      </c>
    </row>
    <row r="2436" spans="3:5" ht="14.1" customHeight="1">
      <c r="C2436">
        <v>855</v>
      </c>
      <c r="D2436" t="s">
        <v>604</v>
      </c>
      <c r="E2436">
        <v>1212</v>
      </c>
    </row>
    <row r="2437" spans="3:5" ht="14.1" customHeight="1">
      <c r="C2437">
        <v>5172</v>
      </c>
      <c r="D2437" t="s">
        <v>4304</v>
      </c>
      <c r="E2437">
        <v>687</v>
      </c>
    </row>
    <row r="2438" spans="3:5" ht="14.1" customHeight="1">
      <c r="C2438">
        <v>5168</v>
      </c>
      <c r="D2438" t="s">
        <v>4305</v>
      </c>
      <c r="E2438">
        <v>690</v>
      </c>
    </row>
    <row r="2439" spans="3:5" ht="14.1" customHeight="1">
      <c r="C2439">
        <v>5055</v>
      </c>
      <c r="D2439" t="s">
        <v>4306</v>
      </c>
      <c r="E2439">
        <v>407</v>
      </c>
    </row>
    <row r="2440" spans="3:5" ht="14.1" customHeight="1">
      <c r="C2440">
        <v>783</v>
      </c>
      <c r="D2440" t="s">
        <v>605</v>
      </c>
      <c r="E2440">
        <v>1070</v>
      </c>
    </row>
    <row r="2441" spans="3:5" ht="14.1" customHeight="1">
      <c r="C2441">
        <v>2271</v>
      </c>
      <c r="D2441" t="s">
        <v>2363</v>
      </c>
      <c r="E2441">
        <v>521</v>
      </c>
    </row>
    <row r="2442" spans="3:5" ht="14.1" customHeight="1">
      <c r="C2442">
        <v>2052</v>
      </c>
      <c r="D2442" t="s">
        <v>2364</v>
      </c>
      <c r="E2442">
        <v>571</v>
      </c>
    </row>
    <row r="2443" spans="3:5" ht="14.1" customHeight="1">
      <c r="C2443">
        <v>2350</v>
      </c>
      <c r="D2443" t="s">
        <v>2365</v>
      </c>
      <c r="E2443">
        <v>471</v>
      </c>
    </row>
    <row r="2444" spans="3:5" ht="14.1" customHeight="1">
      <c r="C2444">
        <v>2410</v>
      </c>
      <c r="D2444" t="s">
        <v>2366</v>
      </c>
      <c r="E2444">
        <v>466</v>
      </c>
    </row>
    <row r="2445" spans="3:5" ht="14.1" customHeight="1">
      <c r="C2445">
        <v>1760</v>
      </c>
      <c r="D2445" t="s">
        <v>2367</v>
      </c>
      <c r="E2445">
        <v>982</v>
      </c>
    </row>
    <row r="2446" spans="3:5" ht="14.1" customHeight="1">
      <c r="C2446">
        <v>1617</v>
      </c>
      <c r="D2446" t="s">
        <v>2368</v>
      </c>
      <c r="E2446">
        <v>805</v>
      </c>
    </row>
    <row r="2447" spans="3:5" ht="14.1" customHeight="1">
      <c r="C2447">
        <v>2301</v>
      </c>
      <c r="D2447" t="s">
        <v>2369</v>
      </c>
      <c r="E2447">
        <v>768</v>
      </c>
    </row>
    <row r="2448" spans="3:5" ht="14.1" customHeight="1">
      <c r="C2448">
        <v>1472</v>
      </c>
      <c r="D2448" t="s">
        <v>2370</v>
      </c>
      <c r="E2448">
        <v>137</v>
      </c>
    </row>
    <row r="2449" spans="3:5" ht="14.1" customHeight="1">
      <c r="C2449">
        <v>2991</v>
      </c>
      <c r="D2449" t="s">
        <v>2371</v>
      </c>
      <c r="E2449">
        <v>546</v>
      </c>
    </row>
    <row r="2450" spans="3:5" ht="14.1" customHeight="1">
      <c r="C2450">
        <v>1311</v>
      </c>
      <c r="D2450" t="s">
        <v>2372</v>
      </c>
      <c r="E2450">
        <v>483</v>
      </c>
    </row>
    <row r="2451" spans="3:5" ht="14.1" customHeight="1">
      <c r="C2451">
        <v>4554</v>
      </c>
      <c r="D2451" t="s">
        <v>3691</v>
      </c>
      <c r="E2451">
        <v>514</v>
      </c>
    </row>
    <row r="2452" spans="3:5" ht="14.1" customHeight="1">
      <c r="C2452">
        <v>5018</v>
      </c>
      <c r="D2452" t="s">
        <v>4024</v>
      </c>
      <c r="E2452">
        <v>725</v>
      </c>
    </row>
    <row r="2453" spans="3:5" ht="14.1" customHeight="1">
      <c r="C2453">
        <v>2459</v>
      </c>
      <c r="D2453" t="s">
        <v>2373</v>
      </c>
      <c r="E2453">
        <v>674</v>
      </c>
    </row>
    <row r="2454" spans="3:5" ht="14.1" customHeight="1">
      <c r="C2454">
        <v>2596</v>
      </c>
      <c r="D2454" t="s">
        <v>2374</v>
      </c>
      <c r="E2454">
        <v>609</v>
      </c>
    </row>
    <row r="2455" spans="3:5" ht="14.1" customHeight="1">
      <c r="C2455">
        <v>2392</v>
      </c>
      <c r="D2455" t="s">
        <v>2375</v>
      </c>
      <c r="E2455">
        <v>474</v>
      </c>
    </row>
    <row r="2456" spans="3:5" ht="14.1" customHeight="1">
      <c r="C2456">
        <v>1707</v>
      </c>
      <c r="D2456" t="s">
        <v>2376</v>
      </c>
      <c r="E2456">
        <v>0</v>
      </c>
    </row>
    <row r="2457" spans="3:5" ht="14.1" customHeight="1">
      <c r="C2457">
        <v>27</v>
      </c>
      <c r="D2457" t="s">
        <v>606</v>
      </c>
      <c r="E2457">
        <v>744</v>
      </c>
    </row>
    <row r="2458" spans="3:5" ht="14.1" customHeight="1">
      <c r="C2458">
        <v>3176</v>
      </c>
      <c r="D2458" t="s">
        <v>2377</v>
      </c>
      <c r="E2458">
        <v>0</v>
      </c>
    </row>
    <row r="2459" spans="3:5" ht="14.1" customHeight="1">
      <c r="C2459">
        <v>1614</v>
      </c>
      <c r="D2459" t="s">
        <v>2378</v>
      </c>
      <c r="E2459">
        <v>635</v>
      </c>
    </row>
    <row r="2460" spans="3:5" ht="14.1" customHeight="1">
      <c r="C2460">
        <v>92</v>
      </c>
      <c r="D2460" t="s">
        <v>607</v>
      </c>
      <c r="E2460">
        <v>376</v>
      </c>
    </row>
    <row r="2461" spans="3:5" ht="14.1" customHeight="1">
      <c r="C2461">
        <v>91</v>
      </c>
      <c r="D2461" t="s">
        <v>189</v>
      </c>
      <c r="E2461">
        <v>424</v>
      </c>
    </row>
    <row r="2462" spans="3:5" ht="14.1" customHeight="1">
      <c r="C2462">
        <v>1142</v>
      </c>
      <c r="D2462" t="s">
        <v>2379</v>
      </c>
      <c r="E2462">
        <v>571</v>
      </c>
    </row>
    <row r="2463" spans="3:5" ht="14.1" customHeight="1">
      <c r="C2463">
        <v>1919</v>
      </c>
      <c r="D2463" t="s">
        <v>2380</v>
      </c>
      <c r="E2463">
        <v>651</v>
      </c>
    </row>
    <row r="2464" spans="3:5" ht="14.1" customHeight="1">
      <c r="C2464">
        <v>2237</v>
      </c>
      <c r="D2464" t="s">
        <v>2381</v>
      </c>
      <c r="E2464">
        <v>621</v>
      </c>
    </row>
    <row r="2465" spans="3:5" ht="14.1" customHeight="1">
      <c r="C2465">
        <v>2829</v>
      </c>
      <c r="D2465" t="s">
        <v>2382</v>
      </c>
      <c r="E2465">
        <v>488</v>
      </c>
    </row>
    <row r="2466" spans="3:5" ht="14.1" customHeight="1">
      <c r="C2466">
        <v>5137</v>
      </c>
      <c r="D2466" t="s">
        <v>4307</v>
      </c>
      <c r="E2466">
        <v>600</v>
      </c>
    </row>
    <row r="2467" spans="3:5" ht="14.1" customHeight="1">
      <c r="C2467">
        <v>5132</v>
      </c>
      <c r="D2467" t="s">
        <v>4308</v>
      </c>
      <c r="E2467">
        <v>571</v>
      </c>
    </row>
    <row r="2468" spans="3:5" ht="14.1" customHeight="1">
      <c r="C2468">
        <v>2411</v>
      </c>
      <c r="D2468" t="s">
        <v>2383</v>
      </c>
      <c r="E2468">
        <v>714</v>
      </c>
    </row>
    <row r="2469" spans="3:5" ht="14.1" customHeight="1">
      <c r="C2469">
        <v>1146</v>
      </c>
      <c r="D2469" t="s">
        <v>2384</v>
      </c>
      <c r="E2469">
        <v>738</v>
      </c>
    </row>
    <row r="2470" spans="3:5" ht="14.1" customHeight="1">
      <c r="C2470">
        <v>3182</v>
      </c>
      <c r="D2470" t="s">
        <v>2385</v>
      </c>
      <c r="E2470">
        <v>0</v>
      </c>
    </row>
    <row r="2471" spans="3:5" ht="14.1" customHeight="1">
      <c r="C2471">
        <v>5047</v>
      </c>
      <c r="D2471" t="s">
        <v>4309</v>
      </c>
      <c r="E2471">
        <v>620</v>
      </c>
    </row>
    <row r="2472" spans="3:5" ht="14.1" customHeight="1">
      <c r="C2472">
        <v>5173</v>
      </c>
      <c r="D2472" t="s">
        <v>4310</v>
      </c>
      <c r="E2472">
        <v>728</v>
      </c>
    </row>
    <row r="2473" spans="3:5" ht="14.1" customHeight="1">
      <c r="C2473">
        <v>2045</v>
      </c>
      <c r="D2473" t="s">
        <v>2386</v>
      </c>
      <c r="E2473">
        <v>811</v>
      </c>
    </row>
    <row r="2474" spans="3:5" ht="14.1" customHeight="1">
      <c r="C2474">
        <v>3170</v>
      </c>
      <c r="D2474" t="s">
        <v>2387</v>
      </c>
      <c r="E2474">
        <v>0</v>
      </c>
    </row>
    <row r="2475" spans="3:5" ht="14.1" customHeight="1">
      <c r="C2475">
        <v>5176</v>
      </c>
      <c r="D2475" t="s">
        <v>4311</v>
      </c>
      <c r="E2475">
        <v>633</v>
      </c>
    </row>
    <row r="2476" spans="3:5" ht="14.1" customHeight="1">
      <c r="C2476">
        <v>5131</v>
      </c>
      <c r="D2476" t="s">
        <v>4312</v>
      </c>
      <c r="E2476">
        <v>571</v>
      </c>
    </row>
    <row r="2477" spans="3:5" ht="14.1" customHeight="1">
      <c r="C2477">
        <v>311</v>
      </c>
      <c r="D2477" t="s">
        <v>2388</v>
      </c>
      <c r="E2477">
        <v>629</v>
      </c>
    </row>
    <row r="2478" spans="3:5" ht="14.1" customHeight="1">
      <c r="C2478">
        <v>5142</v>
      </c>
      <c r="D2478" t="s">
        <v>4313</v>
      </c>
      <c r="E2478">
        <v>585</v>
      </c>
    </row>
    <row r="2479" spans="3:5" ht="14.1" customHeight="1">
      <c r="C2479">
        <v>3183</v>
      </c>
      <c r="D2479" t="s">
        <v>2389</v>
      </c>
      <c r="E2479">
        <v>0</v>
      </c>
    </row>
    <row r="2480" spans="3:5" ht="14.1" customHeight="1">
      <c r="C2480">
        <v>550</v>
      </c>
      <c r="D2480" t="s">
        <v>2390</v>
      </c>
      <c r="E2480">
        <v>680</v>
      </c>
    </row>
    <row r="2481" spans="3:5" ht="14.1" customHeight="1">
      <c r="C2481">
        <v>2728</v>
      </c>
      <c r="D2481" t="s">
        <v>2391</v>
      </c>
      <c r="E2481">
        <v>541</v>
      </c>
    </row>
    <row r="2482" spans="3:5" ht="14.1" customHeight="1">
      <c r="C2482">
        <v>3330</v>
      </c>
      <c r="D2482" t="s">
        <v>2392</v>
      </c>
      <c r="E2482">
        <v>0</v>
      </c>
    </row>
    <row r="2483" spans="3:5" ht="14.1" customHeight="1">
      <c r="C2483">
        <v>1498</v>
      </c>
      <c r="D2483" t="s">
        <v>2393</v>
      </c>
      <c r="E2483">
        <v>762</v>
      </c>
    </row>
    <row r="2484" spans="3:5" ht="14.1" customHeight="1">
      <c r="C2484">
        <v>771</v>
      </c>
      <c r="D2484" t="s">
        <v>608</v>
      </c>
      <c r="E2484">
        <v>382</v>
      </c>
    </row>
    <row r="2485" spans="3:5" ht="14.1" customHeight="1">
      <c r="C2485">
        <v>343</v>
      </c>
      <c r="D2485" t="s">
        <v>190</v>
      </c>
      <c r="E2485">
        <v>645</v>
      </c>
    </row>
    <row r="2486" spans="3:5" ht="14.1" customHeight="1">
      <c r="C2486">
        <v>1143</v>
      </c>
      <c r="D2486" t="s">
        <v>2394</v>
      </c>
      <c r="E2486">
        <v>525</v>
      </c>
    </row>
    <row r="2487" spans="3:5" ht="14.1" customHeight="1">
      <c r="C2487">
        <v>4668</v>
      </c>
      <c r="D2487" t="s">
        <v>4025</v>
      </c>
      <c r="E2487">
        <v>552</v>
      </c>
    </row>
    <row r="2488" spans="3:5" ht="14.1" customHeight="1">
      <c r="C2488">
        <v>3318</v>
      </c>
      <c r="D2488" t="s">
        <v>2395</v>
      </c>
      <c r="E2488">
        <v>0</v>
      </c>
    </row>
    <row r="2489" spans="3:5" ht="14.1" customHeight="1">
      <c r="C2489">
        <v>4644</v>
      </c>
      <c r="D2489" t="s">
        <v>4026</v>
      </c>
      <c r="E2489">
        <v>0</v>
      </c>
    </row>
    <row r="2490" spans="3:5" ht="14.1" customHeight="1">
      <c r="C2490">
        <v>1017</v>
      </c>
      <c r="D2490" t="s">
        <v>2396</v>
      </c>
      <c r="E2490">
        <v>625</v>
      </c>
    </row>
    <row r="2491" spans="3:5" ht="14.1" customHeight="1">
      <c r="C2491">
        <v>3125</v>
      </c>
      <c r="D2491" t="s">
        <v>2397</v>
      </c>
      <c r="E2491">
        <v>0</v>
      </c>
    </row>
    <row r="2492" spans="3:5" ht="14.1" customHeight="1">
      <c r="C2492">
        <v>2586</v>
      </c>
      <c r="D2492" t="s">
        <v>2398</v>
      </c>
      <c r="E2492">
        <v>0</v>
      </c>
    </row>
    <row r="2493" spans="3:5" ht="14.1" customHeight="1">
      <c r="C2493">
        <v>2952</v>
      </c>
      <c r="D2493" t="s">
        <v>2399</v>
      </c>
      <c r="E2493">
        <v>779</v>
      </c>
    </row>
    <row r="2494" spans="3:5" ht="14.1" customHeight="1">
      <c r="C2494">
        <v>265</v>
      </c>
      <c r="D2494" t="s">
        <v>191</v>
      </c>
      <c r="E2494">
        <v>350</v>
      </c>
    </row>
    <row r="2495" spans="3:5" ht="14.1" customHeight="1">
      <c r="C2495">
        <v>4387</v>
      </c>
      <c r="D2495" t="s">
        <v>3692</v>
      </c>
      <c r="E2495">
        <v>510</v>
      </c>
    </row>
    <row r="2496" spans="3:5" ht="14.1" customHeight="1">
      <c r="C2496">
        <v>432</v>
      </c>
      <c r="D2496" t="s">
        <v>192</v>
      </c>
      <c r="E2496">
        <v>583</v>
      </c>
    </row>
    <row r="2497" spans="3:5" ht="14.1" customHeight="1">
      <c r="C2497">
        <v>2105</v>
      </c>
      <c r="D2497" t="s">
        <v>2400</v>
      </c>
      <c r="E2497">
        <v>584</v>
      </c>
    </row>
    <row r="2498" spans="3:5" ht="14.1" customHeight="1">
      <c r="C2498">
        <v>1036</v>
      </c>
      <c r="D2498" t="s">
        <v>2401</v>
      </c>
      <c r="E2498">
        <v>967</v>
      </c>
    </row>
    <row r="2499" spans="3:5" ht="14.1" customHeight="1">
      <c r="C2499">
        <v>1502</v>
      </c>
      <c r="D2499" t="s">
        <v>2402</v>
      </c>
      <c r="E2499">
        <v>762</v>
      </c>
    </row>
    <row r="2500" spans="3:5" ht="14.1" customHeight="1">
      <c r="C2500">
        <v>5010</v>
      </c>
      <c r="D2500" t="s">
        <v>4027</v>
      </c>
      <c r="E2500">
        <v>453</v>
      </c>
    </row>
    <row r="2501" spans="3:5" ht="14.1" customHeight="1">
      <c r="C2501">
        <v>1248</v>
      </c>
      <c r="D2501" t="s">
        <v>2403</v>
      </c>
      <c r="E2501">
        <v>498</v>
      </c>
    </row>
    <row r="2502" spans="3:5" ht="14.1" customHeight="1">
      <c r="C2502">
        <v>381</v>
      </c>
      <c r="D2502" t="s">
        <v>193</v>
      </c>
      <c r="E2502">
        <v>460</v>
      </c>
    </row>
    <row r="2503" spans="3:5" ht="14.1" customHeight="1">
      <c r="C2503">
        <v>2265</v>
      </c>
      <c r="D2503" t="s">
        <v>2404</v>
      </c>
      <c r="E2503">
        <v>451</v>
      </c>
    </row>
    <row r="2504" spans="3:5" ht="14.1" customHeight="1">
      <c r="C2504">
        <v>166</v>
      </c>
      <c r="D2504" t="s">
        <v>609</v>
      </c>
      <c r="E2504">
        <v>734</v>
      </c>
    </row>
    <row r="2505" spans="3:5" ht="14.1" customHeight="1">
      <c r="C2505">
        <v>710</v>
      </c>
      <c r="D2505" t="s">
        <v>610</v>
      </c>
      <c r="E2505">
        <v>832</v>
      </c>
    </row>
    <row r="2506" spans="3:5" ht="14.1" customHeight="1">
      <c r="C2506">
        <v>4985</v>
      </c>
      <c r="D2506" t="s">
        <v>4028</v>
      </c>
      <c r="E2506">
        <v>412</v>
      </c>
    </row>
    <row r="2507" spans="3:5" ht="14.1" customHeight="1">
      <c r="C2507">
        <v>4843</v>
      </c>
      <c r="D2507" t="s">
        <v>4029</v>
      </c>
      <c r="E2507">
        <v>605</v>
      </c>
    </row>
    <row r="2508" spans="3:5" ht="14.1" customHeight="1">
      <c r="C2508">
        <v>4971</v>
      </c>
      <c r="D2508" t="s">
        <v>4030</v>
      </c>
      <c r="E2508">
        <v>647</v>
      </c>
    </row>
    <row r="2509" spans="3:5" ht="14.1" customHeight="1">
      <c r="C2509">
        <v>4969</v>
      </c>
      <c r="D2509" t="s">
        <v>4031</v>
      </c>
      <c r="E2509">
        <v>690</v>
      </c>
    </row>
    <row r="2510" spans="3:5" ht="14.1" customHeight="1">
      <c r="C2510">
        <v>2372</v>
      </c>
      <c r="D2510" t="s">
        <v>2405</v>
      </c>
      <c r="E2510">
        <v>394</v>
      </c>
    </row>
    <row r="2511" spans="3:5" ht="14.1" customHeight="1">
      <c r="C2511">
        <v>617</v>
      </c>
      <c r="D2511" t="s">
        <v>2406</v>
      </c>
      <c r="E2511">
        <v>810</v>
      </c>
    </row>
    <row r="2512" spans="3:5" ht="14.1" customHeight="1">
      <c r="C2512">
        <v>3201</v>
      </c>
      <c r="D2512" t="s">
        <v>2407</v>
      </c>
      <c r="E2512">
        <v>0</v>
      </c>
    </row>
    <row r="2513" spans="3:5" ht="14.1" customHeight="1">
      <c r="C2513">
        <v>1534</v>
      </c>
      <c r="D2513" t="s">
        <v>2408</v>
      </c>
      <c r="E2513">
        <v>954</v>
      </c>
    </row>
    <row r="2514" spans="3:5" ht="14.1" customHeight="1">
      <c r="C2514">
        <v>3124</v>
      </c>
      <c r="D2514" t="s">
        <v>2409</v>
      </c>
      <c r="E2514">
        <v>0</v>
      </c>
    </row>
    <row r="2515" spans="3:5" ht="14.1" customHeight="1">
      <c r="C2515">
        <v>4465</v>
      </c>
      <c r="D2515" t="s">
        <v>3693</v>
      </c>
      <c r="E2515">
        <v>617</v>
      </c>
    </row>
    <row r="2516" spans="3:5" ht="14.1" customHeight="1">
      <c r="C2516">
        <v>1077</v>
      </c>
      <c r="D2516" t="s">
        <v>2410</v>
      </c>
      <c r="E2516">
        <v>434</v>
      </c>
    </row>
    <row r="2517" spans="3:5" ht="14.1" customHeight="1">
      <c r="C2517">
        <v>3287</v>
      </c>
      <c r="D2517" t="s">
        <v>2411</v>
      </c>
      <c r="E2517">
        <v>0</v>
      </c>
    </row>
    <row r="2518" spans="3:5" ht="14.1" customHeight="1">
      <c r="C2518">
        <v>1733</v>
      </c>
      <c r="D2518" t="s">
        <v>2412</v>
      </c>
      <c r="E2518">
        <v>658</v>
      </c>
    </row>
    <row r="2519" spans="3:5" ht="14.1" customHeight="1">
      <c r="C2519">
        <v>5056</v>
      </c>
      <c r="D2519" t="s">
        <v>4314</v>
      </c>
      <c r="E2519">
        <v>421</v>
      </c>
    </row>
    <row r="2520" spans="3:5" ht="14.1" customHeight="1">
      <c r="C2520">
        <v>2944</v>
      </c>
      <c r="D2520" t="s">
        <v>2413</v>
      </c>
      <c r="E2520">
        <v>465</v>
      </c>
    </row>
    <row r="2521" spans="3:5" ht="14.1" customHeight="1">
      <c r="C2521">
        <v>32</v>
      </c>
      <c r="D2521" t="s">
        <v>611</v>
      </c>
      <c r="E2521">
        <v>645</v>
      </c>
    </row>
    <row r="2522" spans="3:5" ht="14.1" customHeight="1">
      <c r="C2522">
        <v>2698</v>
      </c>
      <c r="D2522" t="s">
        <v>2414</v>
      </c>
      <c r="E2522">
        <v>551</v>
      </c>
    </row>
    <row r="2523" spans="3:5" ht="14.1" customHeight="1">
      <c r="C2523">
        <v>2249</v>
      </c>
      <c r="D2523" t="s">
        <v>2415</v>
      </c>
      <c r="E2523">
        <v>531</v>
      </c>
    </row>
    <row r="2524" spans="3:5" ht="14.1" customHeight="1">
      <c r="C2524">
        <v>489</v>
      </c>
      <c r="D2524" t="s">
        <v>612</v>
      </c>
      <c r="E2524">
        <v>773</v>
      </c>
    </row>
    <row r="2525" spans="3:5" ht="14.1" customHeight="1">
      <c r="C2525">
        <v>1109</v>
      </c>
      <c r="D2525" t="s">
        <v>2416</v>
      </c>
      <c r="E2525">
        <v>522</v>
      </c>
    </row>
    <row r="2526" spans="3:5" ht="14.1" customHeight="1">
      <c r="C2526">
        <v>5127</v>
      </c>
      <c r="D2526" t="s">
        <v>4315</v>
      </c>
      <c r="E2526">
        <v>0</v>
      </c>
    </row>
    <row r="2527" spans="3:5" ht="14.1" customHeight="1">
      <c r="C2527">
        <v>2805</v>
      </c>
      <c r="D2527" t="s">
        <v>2417</v>
      </c>
      <c r="E2527">
        <v>577</v>
      </c>
    </row>
    <row r="2528" spans="3:5" ht="14.1" customHeight="1">
      <c r="C2528">
        <v>4130</v>
      </c>
      <c r="D2528" t="s">
        <v>2418</v>
      </c>
      <c r="E2528">
        <v>515</v>
      </c>
    </row>
    <row r="2529" spans="3:5" ht="14.1" customHeight="1">
      <c r="C2529">
        <v>1243</v>
      </c>
      <c r="D2529" t="s">
        <v>2419</v>
      </c>
      <c r="E2529">
        <v>471</v>
      </c>
    </row>
    <row r="2530" spans="3:5" ht="14.1" customHeight="1">
      <c r="C2530">
        <v>1428</v>
      </c>
      <c r="D2530" t="s">
        <v>2420</v>
      </c>
      <c r="E2530">
        <v>445</v>
      </c>
    </row>
    <row r="2531" spans="3:5" ht="14.1" customHeight="1">
      <c r="C2531">
        <v>1269</v>
      </c>
      <c r="D2531" t="s">
        <v>2421</v>
      </c>
      <c r="E2531">
        <v>440</v>
      </c>
    </row>
    <row r="2532" spans="3:5" ht="14.1" customHeight="1">
      <c r="C2532">
        <v>4454</v>
      </c>
      <c r="D2532" t="s">
        <v>3694</v>
      </c>
      <c r="E2532">
        <v>454</v>
      </c>
    </row>
    <row r="2533" spans="3:5" ht="14.1" customHeight="1">
      <c r="C2533">
        <v>2561</v>
      </c>
      <c r="D2533" t="s">
        <v>2422</v>
      </c>
      <c r="E2533">
        <v>0</v>
      </c>
    </row>
    <row r="2534" spans="3:5" ht="14.1" customHeight="1">
      <c r="C2534">
        <v>4154</v>
      </c>
      <c r="D2534" t="s">
        <v>2423</v>
      </c>
      <c r="E2534">
        <v>508</v>
      </c>
    </row>
    <row r="2535" spans="3:5" ht="14.1" customHeight="1">
      <c r="C2535">
        <v>175</v>
      </c>
      <c r="D2535" t="s">
        <v>613</v>
      </c>
      <c r="E2535">
        <v>701</v>
      </c>
    </row>
    <row r="2536" spans="3:5" ht="14.1" customHeight="1">
      <c r="C2536">
        <v>2004</v>
      </c>
      <c r="D2536" t="s">
        <v>2424</v>
      </c>
      <c r="E2536">
        <v>408</v>
      </c>
    </row>
    <row r="2537" spans="3:5" ht="14.1" customHeight="1">
      <c r="C2537">
        <v>1279</v>
      </c>
      <c r="D2537" t="s">
        <v>2425</v>
      </c>
      <c r="E2537">
        <v>466</v>
      </c>
    </row>
    <row r="2538" spans="3:5" ht="14.1" customHeight="1">
      <c r="C2538">
        <v>1531</v>
      </c>
      <c r="D2538" t="s">
        <v>2426</v>
      </c>
      <c r="E2538">
        <v>1187</v>
      </c>
    </row>
    <row r="2539" spans="3:5" ht="14.1" customHeight="1">
      <c r="C2539">
        <v>895</v>
      </c>
      <c r="D2539" t="s">
        <v>614</v>
      </c>
      <c r="E2539">
        <v>601</v>
      </c>
    </row>
    <row r="2540" spans="3:5" ht="14.1" customHeight="1">
      <c r="C2540">
        <v>4305</v>
      </c>
      <c r="D2540" t="s">
        <v>2427</v>
      </c>
      <c r="E2540">
        <v>553</v>
      </c>
    </row>
    <row r="2541" spans="3:5" ht="14.1" customHeight="1">
      <c r="C2541">
        <v>2581</v>
      </c>
      <c r="D2541" t="s">
        <v>2428</v>
      </c>
      <c r="E2541">
        <v>489</v>
      </c>
    </row>
    <row r="2542" spans="3:5" ht="14.1" customHeight="1">
      <c r="C2542">
        <v>1326</v>
      </c>
      <c r="D2542" t="s">
        <v>2429</v>
      </c>
      <c r="E2542">
        <v>733</v>
      </c>
    </row>
    <row r="2543" spans="3:5" ht="14.1" customHeight="1">
      <c r="C2543">
        <v>2294</v>
      </c>
      <c r="D2543" t="s">
        <v>2430</v>
      </c>
      <c r="E2543">
        <v>701</v>
      </c>
    </row>
    <row r="2544" spans="3:5" ht="14.1" customHeight="1">
      <c r="C2544">
        <v>1591</v>
      </c>
      <c r="D2544" t="s">
        <v>2431</v>
      </c>
      <c r="E2544">
        <v>794</v>
      </c>
    </row>
    <row r="2545" spans="3:5" ht="14.1" customHeight="1">
      <c r="C2545">
        <v>1319</v>
      </c>
      <c r="D2545" t="s">
        <v>2432</v>
      </c>
      <c r="E2545">
        <v>581</v>
      </c>
    </row>
    <row r="2546" spans="3:5" ht="14.1" customHeight="1">
      <c r="C2546">
        <v>3079</v>
      </c>
      <c r="D2546" t="s">
        <v>2433</v>
      </c>
      <c r="E2546">
        <v>0</v>
      </c>
    </row>
    <row r="2547" spans="3:5" ht="14.1" customHeight="1">
      <c r="C2547">
        <v>1003</v>
      </c>
      <c r="D2547" t="s">
        <v>2434</v>
      </c>
      <c r="E2547">
        <v>588</v>
      </c>
    </row>
    <row r="2548" spans="3:5" ht="14.1" customHeight="1">
      <c r="C2548">
        <v>2064</v>
      </c>
      <c r="D2548" t="s">
        <v>2435</v>
      </c>
      <c r="E2548">
        <v>1099</v>
      </c>
    </row>
    <row r="2549" spans="3:5" ht="14.1" customHeight="1">
      <c r="C2549">
        <v>3157</v>
      </c>
      <c r="D2549" t="s">
        <v>2436</v>
      </c>
      <c r="E2549">
        <v>0</v>
      </c>
    </row>
    <row r="2550" spans="3:5" ht="14.1" customHeight="1">
      <c r="C2550">
        <v>101</v>
      </c>
      <c r="D2550" t="s">
        <v>2437</v>
      </c>
      <c r="E2550">
        <v>854</v>
      </c>
    </row>
    <row r="2551" spans="3:5" ht="14.1" customHeight="1">
      <c r="C2551">
        <v>1474</v>
      </c>
      <c r="D2551" t="s">
        <v>2438</v>
      </c>
      <c r="E2551">
        <v>617</v>
      </c>
    </row>
    <row r="2552" spans="3:5" ht="14.1" customHeight="1">
      <c r="C2552">
        <v>147</v>
      </c>
      <c r="D2552" t="s">
        <v>2439</v>
      </c>
      <c r="E2552">
        <v>739</v>
      </c>
    </row>
    <row r="2553" spans="3:5" ht="14.1" customHeight="1">
      <c r="C2553">
        <v>1906</v>
      </c>
      <c r="D2553" t="s">
        <v>2440</v>
      </c>
      <c r="E2553">
        <v>613</v>
      </c>
    </row>
    <row r="2554" spans="3:5" ht="14.1" customHeight="1">
      <c r="C2554">
        <v>4926</v>
      </c>
      <c r="D2554" t="s">
        <v>4032</v>
      </c>
      <c r="E2554">
        <v>523</v>
      </c>
    </row>
    <row r="2555" spans="3:5" ht="14.1" customHeight="1">
      <c r="C2555">
        <v>3251</v>
      </c>
      <c r="D2555" t="s">
        <v>2441</v>
      </c>
      <c r="E2555">
        <v>0</v>
      </c>
    </row>
    <row r="2556" spans="3:5" ht="14.1" customHeight="1">
      <c r="C2556">
        <v>312</v>
      </c>
      <c r="D2556" t="s">
        <v>194</v>
      </c>
      <c r="E2556">
        <v>552</v>
      </c>
    </row>
    <row r="2557" spans="3:5" ht="14.1" customHeight="1">
      <c r="C2557">
        <v>3328</v>
      </c>
      <c r="D2557" t="s">
        <v>2442</v>
      </c>
      <c r="E2557">
        <v>0</v>
      </c>
    </row>
    <row r="2558" spans="3:5" ht="14.1" customHeight="1">
      <c r="C2558">
        <v>187</v>
      </c>
      <c r="D2558" t="s">
        <v>195</v>
      </c>
      <c r="E2558">
        <v>562</v>
      </c>
    </row>
    <row r="2559" spans="3:5" ht="14.1" customHeight="1">
      <c r="C2559">
        <v>4319</v>
      </c>
      <c r="D2559" t="s">
        <v>2443</v>
      </c>
      <c r="E2559">
        <v>560</v>
      </c>
    </row>
    <row r="2560" spans="3:5" ht="14.1" customHeight="1">
      <c r="C2560">
        <v>1907</v>
      </c>
      <c r="D2560" t="s">
        <v>2444</v>
      </c>
      <c r="E2560">
        <v>532</v>
      </c>
    </row>
    <row r="2561" spans="3:5" ht="14.1" customHeight="1">
      <c r="C2561">
        <v>2855</v>
      </c>
      <c r="D2561" t="s">
        <v>2445</v>
      </c>
      <c r="E2561">
        <v>406</v>
      </c>
    </row>
    <row r="2562" spans="3:5" ht="14.1" customHeight="1">
      <c r="C2562">
        <v>2423</v>
      </c>
      <c r="D2562" t="s">
        <v>2446</v>
      </c>
      <c r="E2562">
        <v>726</v>
      </c>
    </row>
    <row r="2563" spans="3:5" ht="14.1" customHeight="1">
      <c r="C2563">
        <v>1656</v>
      </c>
      <c r="D2563" t="s">
        <v>2447</v>
      </c>
      <c r="E2563">
        <v>613</v>
      </c>
    </row>
    <row r="2564" spans="3:5" ht="14.1" customHeight="1">
      <c r="C2564">
        <v>2489</v>
      </c>
      <c r="D2564" t="s">
        <v>2448</v>
      </c>
      <c r="E2564">
        <v>693</v>
      </c>
    </row>
    <row r="2565" spans="3:5" ht="14.1" customHeight="1">
      <c r="C2565">
        <v>3269</v>
      </c>
      <c r="D2565" t="s">
        <v>2449</v>
      </c>
      <c r="E2565">
        <v>0</v>
      </c>
    </row>
    <row r="2566" spans="3:5" ht="14.1" customHeight="1">
      <c r="C2566">
        <v>711</v>
      </c>
      <c r="D2566" t="s">
        <v>615</v>
      </c>
      <c r="E2566">
        <v>832</v>
      </c>
    </row>
    <row r="2567" spans="3:5" ht="14.1" customHeight="1">
      <c r="C2567">
        <v>442</v>
      </c>
      <c r="D2567" t="s">
        <v>616</v>
      </c>
      <c r="E2567">
        <v>774</v>
      </c>
    </row>
    <row r="2568" spans="3:5" ht="14.1" customHeight="1">
      <c r="C2568">
        <v>2281</v>
      </c>
      <c r="D2568" t="s">
        <v>2450</v>
      </c>
      <c r="E2568">
        <v>498</v>
      </c>
    </row>
    <row r="2569" spans="3:5" ht="14.1" customHeight="1">
      <c r="C2569">
        <v>2368</v>
      </c>
      <c r="D2569" t="s">
        <v>2451</v>
      </c>
      <c r="E2569">
        <v>390</v>
      </c>
    </row>
    <row r="2570" spans="3:5" ht="14.1" customHeight="1">
      <c r="C2570">
        <v>2628</v>
      </c>
      <c r="D2570" t="s">
        <v>2452</v>
      </c>
      <c r="E2570">
        <v>444</v>
      </c>
    </row>
    <row r="2571" spans="3:5" ht="14.1" customHeight="1">
      <c r="C2571">
        <v>2284</v>
      </c>
      <c r="D2571" t="s">
        <v>2453</v>
      </c>
      <c r="E2571">
        <v>488</v>
      </c>
    </row>
    <row r="2572" spans="3:5" ht="14.1" customHeight="1">
      <c r="C2572">
        <v>509</v>
      </c>
      <c r="D2572" t="s">
        <v>617</v>
      </c>
      <c r="E2572">
        <v>742</v>
      </c>
    </row>
    <row r="2573" spans="3:5" ht="14.1" customHeight="1">
      <c r="C2573">
        <v>1649</v>
      </c>
      <c r="D2573" t="s">
        <v>2454</v>
      </c>
      <c r="E2573">
        <v>530</v>
      </c>
    </row>
    <row r="2574" spans="3:5" ht="14.1" customHeight="1">
      <c r="C2574">
        <v>1259</v>
      </c>
      <c r="D2574" t="s">
        <v>2455</v>
      </c>
      <c r="E2574">
        <v>364</v>
      </c>
    </row>
    <row r="2575" spans="3:5" ht="14.1" customHeight="1">
      <c r="C2575">
        <v>2775</v>
      </c>
      <c r="D2575" t="s">
        <v>2456</v>
      </c>
      <c r="E2575">
        <v>492</v>
      </c>
    </row>
    <row r="2576" spans="3:5" ht="14.1" customHeight="1">
      <c r="C2576">
        <v>378</v>
      </c>
      <c r="D2576" t="s">
        <v>196</v>
      </c>
      <c r="E2576">
        <v>460</v>
      </c>
    </row>
    <row r="2577" spans="3:5" ht="14.1" customHeight="1">
      <c r="C2577">
        <v>456</v>
      </c>
      <c r="D2577" t="s">
        <v>278</v>
      </c>
      <c r="E2577">
        <v>347</v>
      </c>
    </row>
    <row r="2578" spans="3:5" ht="14.1" customHeight="1">
      <c r="C2578">
        <v>1063</v>
      </c>
      <c r="D2578" t="s">
        <v>2457</v>
      </c>
      <c r="E2578">
        <v>699</v>
      </c>
    </row>
    <row r="2579" spans="3:5" ht="14.1" customHeight="1">
      <c r="C2579">
        <v>1519</v>
      </c>
      <c r="D2579" t="s">
        <v>2458</v>
      </c>
      <c r="E2579">
        <v>824</v>
      </c>
    </row>
    <row r="2580" spans="3:5" ht="14.1" customHeight="1">
      <c r="C2580">
        <v>4802</v>
      </c>
      <c r="D2580" t="s">
        <v>4033</v>
      </c>
      <c r="E2580">
        <v>333</v>
      </c>
    </row>
    <row r="2581" spans="3:5" ht="14.1" customHeight="1">
      <c r="C2581">
        <v>2922</v>
      </c>
      <c r="D2581" t="s">
        <v>2459</v>
      </c>
      <c r="E2581">
        <v>672</v>
      </c>
    </row>
    <row r="2582" spans="3:5" ht="14.1" customHeight="1">
      <c r="C2582">
        <v>668</v>
      </c>
      <c r="D2582" t="s">
        <v>618</v>
      </c>
      <c r="E2582">
        <v>566</v>
      </c>
    </row>
    <row r="2583" spans="3:5" ht="14.1" customHeight="1">
      <c r="C2583">
        <v>1847</v>
      </c>
      <c r="D2583" t="s">
        <v>2460</v>
      </c>
      <c r="E2583">
        <v>648</v>
      </c>
    </row>
    <row r="2584" spans="3:5" ht="14.1" customHeight="1">
      <c r="C2584">
        <v>4560</v>
      </c>
      <c r="D2584" t="s">
        <v>3695</v>
      </c>
      <c r="E2584">
        <v>425</v>
      </c>
    </row>
    <row r="2585" spans="3:5" ht="14.1" customHeight="1">
      <c r="C2585">
        <v>907</v>
      </c>
      <c r="D2585" t="s">
        <v>619</v>
      </c>
      <c r="E2585">
        <v>438</v>
      </c>
    </row>
    <row r="2586" spans="3:5" ht="14.1" customHeight="1">
      <c r="C2586">
        <v>2503</v>
      </c>
      <c r="D2586" t="s">
        <v>2461</v>
      </c>
      <c r="E2586">
        <v>634</v>
      </c>
    </row>
    <row r="2587" spans="3:5" ht="14.1" customHeight="1">
      <c r="C2587">
        <v>2806</v>
      </c>
      <c r="D2587" t="s">
        <v>2462</v>
      </c>
      <c r="E2587">
        <v>472</v>
      </c>
    </row>
    <row r="2588" spans="3:5" ht="14.1" customHeight="1">
      <c r="C2588">
        <v>2007</v>
      </c>
      <c r="D2588" t="s">
        <v>2463</v>
      </c>
      <c r="E2588">
        <v>522</v>
      </c>
    </row>
    <row r="2589" spans="3:5" ht="14.1" customHeight="1">
      <c r="C2589">
        <v>1859</v>
      </c>
      <c r="D2589" t="s">
        <v>2464</v>
      </c>
      <c r="E2589">
        <v>565</v>
      </c>
    </row>
    <row r="2590" spans="3:5" ht="14.1" customHeight="1">
      <c r="C2590">
        <v>440</v>
      </c>
      <c r="D2590" t="s">
        <v>620</v>
      </c>
      <c r="E2590">
        <v>791</v>
      </c>
    </row>
    <row r="2591" spans="3:5" ht="14.1" customHeight="1">
      <c r="C2591">
        <v>4824</v>
      </c>
      <c r="D2591" t="s">
        <v>4034</v>
      </c>
      <c r="E2591">
        <v>498</v>
      </c>
    </row>
    <row r="2592" spans="3:5" ht="14.1" customHeight="1">
      <c r="C2592">
        <v>1159</v>
      </c>
      <c r="D2592" t="s">
        <v>2465</v>
      </c>
      <c r="E2592">
        <v>555</v>
      </c>
    </row>
    <row r="2593" spans="3:5" ht="14.1" customHeight="1">
      <c r="C2593">
        <v>1838</v>
      </c>
      <c r="D2593" t="s">
        <v>2466</v>
      </c>
      <c r="E2593">
        <v>699</v>
      </c>
    </row>
    <row r="2594" spans="3:5" ht="14.1" customHeight="1">
      <c r="C2594">
        <v>1174</v>
      </c>
      <c r="D2594" t="s">
        <v>2467</v>
      </c>
      <c r="E2594">
        <v>634</v>
      </c>
    </row>
    <row r="2595" spans="3:5" ht="14.1" customHeight="1">
      <c r="C2595">
        <v>824</v>
      </c>
      <c r="D2595" t="s">
        <v>621</v>
      </c>
      <c r="E2595">
        <v>457</v>
      </c>
    </row>
    <row r="2596" spans="3:5" ht="14.1" customHeight="1">
      <c r="C2596">
        <v>2182</v>
      </c>
      <c r="D2596" t="s">
        <v>2468</v>
      </c>
      <c r="E2596">
        <v>402</v>
      </c>
    </row>
    <row r="2597" spans="3:5" ht="14.1" customHeight="1">
      <c r="C2597">
        <v>620</v>
      </c>
      <c r="D2597" t="s">
        <v>2469</v>
      </c>
      <c r="E2597">
        <v>661</v>
      </c>
    </row>
    <row r="2598" spans="3:5" ht="14.1" customHeight="1">
      <c r="C2598">
        <v>2496</v>
      </c>
      <c r="D2598" t="s">
        <v>2470</v>
      </c>
      <c r="E2598">
        <v>493</v>
      </c>
    </row>
    <row r="2599" spans="3:5" ht="14.1" customHeight="1">
      <c r="C2599">
        <v>1778</v>
      </c>
      <c r="D2599" t="s">
        <v>2471</v>
      </c>
      <c r="E2599">
        <v>460</v>
      </c>
    </row>
    <row r="2600" spans="3:5" ht="14.1" customHeight="1">
      <c r="C2600">
        <v>3130</v>
      </c>
      <c r="D2600" t="s">
        <v>2472</v>
      </c>
      <c r="E2600">
        <v>0</v>
      </c>
    </row>
    <row r="2601" spans="3:5" ht="14.1" customHeight="1">
      <c r="C2601">
        <v>1564</v>
      </c>
      <c r="D2601" t="s">
        <v>2473</v>
      </c>
      <c r="E2601">
        <v>554</v>
      </c>
    </row>
    <row r="2602" spans="3:5" ht="14.1" customHeight="1">
      <c r="C2602">
        <v>1894</v>
      </c>
      <c r="D2602" t="s">
        <v>2474</v>
      </c>
      <c r="E2602">
        <v>426</v>
      </c>
    </row>
    <row r="2603" spans="3:5" ht="14.1" customHeight="1">
      <c r="C2603">
        <v>1537</v>
      </c>
      <c r="D2603" t="s">
        <v>2475</v>
      </c>
      <c r="E2603">
        <v>1146</v>
      </c>
    </row>
    <row r="2604" spans="3:5" ht="14.1" customHeight="1">
      <c r="C2604">
        <v>1282</v>
      </c>
      <c r="D2604" t="s">
        <v>2476</v>
      </c>
      <c r="E2604">
        <v>417</v>
      </c>
    </row>
    <row r="2605" spans="3:5" ht="14.1" customHeight="1">
      <c r="C2605">
        <v>1041</v>
      </c>
      <c r="D2605" t="s">
        <v>2477</v>
      </c>
      <c r="E2605">
        <v>1002</v>
      </c>
    </row>
    <row r="2606" spans="3:5" ht="14.1" customHeight="1">
      <c r="C2606">
        <v>4364</v>
      </c>
      <c r="D2606" t="s">
        <v>622</v>
      </c>
      <c r="E2606">
        <v>802</v>
      </c>
    </row>
    <row r="2607" spans="3:5" ht="14.1" customHeight="1">
      <c r="C2607">
        <v>2193</v>
      </c>
      <c r="D2607" t="s">
        <v>2478</v>
      </c>
      <c r="E2607">
        <v>371</v>
      </c>
    </row>
    <row r="2608" spans="3:5" ht="14.1" customHeight="1">
      <c r="C2608">
        <v>743</v>
      </c>
      <c r="D2608" t="s">
        <v>623</v>
      </c>
      <c r="E2608">
        <v>668</v>
      </c>
    </row>
    <row r="2609" spans="3:5" ht="14.1" customHeight="1">
      <c r="C2609">
        <v>470</v>
      </c>
      <c r="D2609" t="s">
        <v>624</v>
      </c>
      <c r="E2609">
        <v>975</v>
      </c>
    </row>
    <row r="2610" spans="3:5" ht="14.1" customHeight="1">
      <c r="C2610">
        <v>5071</v>
      </c>
      <c r="D2610" t="s">
        <v>4316</v>
      </c>
      <c r="E2610">
        <v>0</v>
      </c>
    </row>
    <row r="2611" spans="3:5" ht="14.1" customHeight="1">
      <c r="C2611">
        <v>3135</v>
      </c>
      <c r="D2611" t="s">
        <v>2479</v>
      </c>
      <c r="E2611">
        <v>0</v>
      </c>
    </row>
    <row r="2612" spans="3:5" ht="14.1" customHeight="1">
      <c r="C2612">
        <v>2393</v>
      </c>
      <c r="D2612" t="s">
        <v>2480</v>
      </c>
      <c r="E2612">
        <v>542</v>
      </c>
    </row>
    <row r="2613" spans="3:5" ht="14.1" customHeight="1">
      <c r="C2613">
        <v>4514</v>
      </c>
      <c r="D2613" t="s">
        <v>3696</v>
      </c>
      <c r="E2613">
        <v>734</v>
      </c>
    </row>
    <row r="2614" spans="3:5" ht="14.1" customHeight="1">
      <c r="C2614">
        <v>2470</v>
      </c>
      <c r="D2614" t="s">
        <v>2481</v>
      </c>
      <c r="E2614">
        <v>667</v>
      </c>
    </row>
    <row r="2615" spans="3:5" ht="14.1" customHeight="1">
      <c r="C2615">
        <v>838</v>
      </c>
      <c r="D2615" t="s">
        <v>625</v>
      </c>
      <c r="E2615">
        <v>564</v>
      </c>
    </row>
    <row r="2616" spans="3:5" ht="14.1" customHeight="1">
      <c r="C2616">
        <v>1187</v>
      </c>
      <c r="D2616" t="s">
        <v>2482</v>
      </c>
      <c r="E2616">
        <v>632</v>
      </c>
    </row>
    <row r="2617" spans="3:5" ht="14.1" customHeight="1">
      <c r="C2617">
        <v>939</v>
      </c>
      <c r="D2617" t="s">
        <v>2483</v>
      </c>
      <c r="E2617">
        <v>614</v>
      </c>
    </row>
    <row r="2618" spans="3:5" ht="14.1" customHeight="1">
      <c r="C2618">
        <v>2473</v>
      </c>
      <c r="D2618" t="s">
        <v>2484</v>
      </c>
      <c r="E2618">
        <v>686</v>
      </c>
    </row>
    <row r="2619" spans="3:5" ht="14.1" customHeight="1">
      <c r="C2619">
        <v>2979</v>
      </c>
      <c r="D2619" t="s">
        <v>2485</v>
      </c>
      <c r="E2619">
        <v>539</v>
      </c>
    </row>
    <row r="2620" spans="3:5" ht="14.1" customHeight="1">
      <c r="C2620">
        <v>2750</v>
      </c>
      <c r="D2620" t="s">
        <v>2486</v>
      </c>
      <c r="E2620">
        <v>752</v>
      </c>
    </row>
    <row r="2621" spans="3:5" ht="14.1" customHeight="1">
      <c r="C2621">
        <v>2066</v>
      </c>
      <c r="D2621" t="s">
        <v>2487</v>
      </c>
      <c r="E2621">
        <v>1029</v>
      </c>
    </row>
    <row r="2622" spans="3:5" ht="14.1" customHeight="1">
      <c r="C2622">
        <v>704</v>
      </c>
      <c r="D2622" t="s">
        <v>626</v>
      </c>
      <c r="E2622">
        <v>751</v>
      </c>
    </row>
    <row r="2623" spans="3:5" ht="14.1" customHeight="1">
      <c r="C2623">
        <v>2377</v>
      </c>
      <c r="D2623" t="s">
        <v>2488</v>
      </c>
      <c r="E2623">
        <v>389</v>
      </c>
    </row>
    <row r="2624" spans="3:5" ht="14.1" customHeight="1">
      <c r="C2624">
        <v>4978</v>
      </c>
      <c r="D2624" t="s">
        <v>4035</v>
      </c>
      <c r="E2624">
        <v>488</v>
      </c>
    </row>
    <row r="2625" spans="3:5" ht="14.1" customHeight="1">
      <c r="C2625">
        <v>1280</v>
      </c>
      <c r="D2625" t="s">
        <v>2489</v>
      </c>
      <c r="E2625">
        <v>532</v>
      </c>
    </row>
    <row r="2626" spans="3:5" ht="14.1" customHeight="1">
      <c r="C2626">
        <v>1737</v>
      </c>
      <c r="D2626" t="s">
        <v>2490</v>
      </c>
      <c r="E2626">
        <v>645</v>
      </c>
    </row>
    <row r="2627" spans="3:5" ht="14.1" customHeight="1">
      <c r="C2627">
        <v>801</v>
      </c>
      <c r="D2627" t="s">
        <v>627</v>
      </c>
      <c r="E2627">
        <v>536</v>
      </c>
    </row>
    <row r="2628" spans="3:5" ht="14.1" customHeight="1">
      <c r="C2628">
        <v>790</v>
      </c>
      <c r="D2628" t="s">
        <v>628</v>
      </c>
      <c r="E2628">
        <v>650</v>
      </c>
    </row>
    <row r="2629" spans="3:5" ht="14.1" customHeight="1">
      <c r="C2629">
        <v>2589</v>
      </c>
      <c r="D2629" t="s">
        <v>2491</v>
      </c>
      <c r="E2629">
        <v>857</v>
      </c>
    </row>
    <row r="2630" spans="3:5" ht="14.1" customHeight="1">
      <c r="C2630">
        <v>4763</v>
      </c>
      <c r="D2630" t="s">
        <v>4036</v>
      </c>
      <c r="E2630">
        <v>595</v>
      </c>
    </row>
    <row r="2631" spans="3:5" ht="14.1" customHeight="1">
      <c r="C2631">
        <v>695</v>
      </c>
      <c r="D2631" t="s">
        <v>629</v>
      </c>
      <c r="E2631">
        <v>638</v>
      </c>
    </row>
    <row r="2632" spans="3:5" ht="14.1" customHeight="1">
      <c r="C2632">
        <v>3290</v>
      </c>
      <c r="D2632" t="s">
        <v>2492</v>
      </c>
      <c r="E2632">
        <v>0</v>
      </c>
    </row>
    <row r="2633" spans="3:5" ht="14.1" customHeight="1">
      <c r="C2633">
        <v>4705</v>
      </c>
      <c r="D2633" t="s">
        <v>4037</v>
      </c>
      <c r="E2633">
        <v>454</v>
      </c>
    </row>
    <row r="2634" spans="3:5" ht="14.1" customHeight="1">
      <c r="C2634">
        <v>4728</v>
      </c>
      <c r="D2634" t="s">
        <v>4038</v>
      </c>
      <c r="E2634">
        <v>483</v>
      </c>
    </row>
    <row r="2635" spans="3:5" ht="14.1" customHeight="1">
      <c r="C2635">
        <v>5195</v>
      </c>
      <c r="D2635" t="s">
        <v>4317</v>
      </c>
      <c r="E2635">
        <v>625</v>
      </c>
    </row>
    <row r="2636" spans="3:5" ht="14.1" customHeight="1">
      <c r="C2636">
        <v>2613</v>
      </c>
      <c r="D2636" t="s">
        <v>2493</v>
      </c>
      <c r="E2636">
        <v>473</v>
      </c>
    </row>
    <row r="2637" spans="3:5" ht="14.1" customHeight="1">
      <c r="C2637">
        <v>1115</v>
      </c>
      <c r="D2637" t="s">
        <v>2494</v>
      </c>
      <c r="E2637">
        <v>722</v>
      </c>
    </row>
    <row r="2638" spans="3:5" ht="14.1" customHeight="1">
      <c r="C2638">
        <v>1116</v>
      </c>
      <c r="D2638" t="s">
        <v>2495</v>
      </c>
      <c r="E2638">
        <v>523</v>
      </c>
    </row>
    <row r="2639" spans="3:5" ht="14.1" customHeight="1">
      <c r="C2639">
        <v>1390</v>
      </c>
      <c r="D2639" t="s">
        <v>2496</v>
      </c>
      <c r="E2639">
        <v>659</v>
      </c>
    </row>
    <row r="2640" spans="3:5" ht="14.1" customHeight="1">
      <c r="C2640">
        <v>5078</v>
      </c>
      <c r="D2640" t="s">
        <v>4318</v>
      </c>
      <c r="E2640">
        <v>400</v>
      </c>
    </row>
    <row r="2641" spans="3:5" ht="14.1" customHeight="1">
      <c r="C2641">
        <v>64</v>
      </c>
      <c r="D2641" t="s">
        <v>630</v>
      </c>
      <c r="E2641">
        <v>501</v>
      </c>
    </row>
    <row r="2642" spans="3:5" ht="14.1" customHeight="1">
      <c r="C2642">
        <v>4137</v>
      </c>
      <c r="D2642" t="s">
        <v>2497</v>
      </c>
      <c r="E2642">
        <v>387</v>
      </c>
    </row>
    <row r="2643" spans="3:5" ht="14.1" customHeight="1">
      <c r="C2643">
        <v>4737</v>
      </c>
      <c r="D2643" t="s">
        <v>4039</v>
      </c>
      <c r="E2643">
        <v>454</v>
      </c>
    </row>
    <row r="2644" spans="3:5" ht="14.1" customHeight="1">
      <c r="C2644">
        <v>1320</v>
      </c>
      <c r="D2644" t="s">
        <v>2498</v>
      </c>
      <c r="E2644">
        <v>693</v>
      </c>
    </row>
    <row r="2645" spans="3:5" ht="14.1" customHeight="1">
      <c r="C2645">
        <v>818</v>
      </c>
      <c r="D2645" t="s">
        <v>631</v>
      </c>
      <c r="E2645">
        <v>427</v>
      </c>
    </row>
    <row r="2646" spans="3:5" ht="14.1" customHeight="1">
      <c r="C2646">
        <v>4735</v>
      </c>
      <c r="D2646" t="s">
        <v>4040</v>
      </c>
      <c r="E2646">
        <v>0</v>
      </c>
    </row>
    <row r="2647" spans="3:5" ht="14.1" customHeight="1">
      <c r="C2647">
        <v>2250</v>
      </c>
      <c r="D2647" t="s">
        <v>2499</v>
      </c>
      <c r="E2647">
        <v>464</v>
      </c>
    </row>
    <row r="2648" spans="3:5" ht="14.1" customHeight="1">
      <c r="C2648">
        <v>2548</v>
      </c>
      <c r="D2648" t="s">
        <v>2500</v>
      </c>
      <c r="E2648">
        <v>341</v>
      </c>
    </row>
    <row r="2649" spans="3:5" ht="14.1" customHeight="1">
      <c r="C2649">
        <v>837</v>
      </c>
      <c r="D2649" t="s">
        <v>632</v>
      </c>
      <c r="E2649">
        <v>812</v>
      </c>
    </row>
    <row r="2650" spans="3:5" ht="14.1" customHeight="1">
      <c r="C2650">
        <v>1833</v>
      </c>
      <c r="D2650" t="s">
        <v>2501</v>
      </c>
      <c r="E2650">
        <v>367</v>
      </c>
    </row>
    <row r="2651" spans="3:5" ht="14.1" customHeight="1">
      <c r="C2651">
        <v>3275</v>
      </c>
      <c r="D2651" t="s">
        <v>2502</v>
      </c>
      <c r="E2651">
        <v>0</v>
      </c>
    </row>
    <row r="2652" spans="3:5" ht="14.1" customHeight="1">
      <c r="C2652">
        <v>786</v>
      </c>
      <c r="D2652" t="s">
        <v>633</v>
      </c>
      <c r="E2652">
        <v>750</v>
      </c>
    </row>
    <row r="2653" spans="3:5" ht="14.1" customHeight="1">
      <c r="C2653">
        <v>1456</v>
      </c>
      <c r="D2653" t="s">
        <v>2503</v>
      </c>
      <c r="E2653">
        <v>659</v>
      </c>
    </row>
    <row r="2654" spans="3:5" ht="14.1" customHeight="1">
      <c r="C2654">
        <v>5099</v>
      </c>
      <c r="D2654" t="s">
        <v>4319</v>
      </c>
      <c r="E2654">
        <v>544</v>
      </c>
    </row>
    <row r="2655" spans="3:5" ht="14.1" customHeight="1">
      <c r="C2655">
        <v>5100</v>
      </c>
      <c r="D2655" t="s">
        <v>4320</v>
      </c>
      <c r="E2655">
        <v>544</v>
      </c>
    </row>
    <row r="2656" spans="3:5" ht="14.1" customHeight="1">
      <c r="C2656">
        <v>1995</v>
      </c>
      <c r="D2656" t="s">
        <v>2504</v>
      </c>
      <c r="E2656">
        <v>475</v>
      </c>
    </row>
    <row r="2657" spans="3:5" ht="14.1" customHeight="1">
      <c r="C2657">
        <v>1247</v>
      </c>
      <c r="D2657" t="s">
        <v>2505</v>
      </c>
      <c r="E2657">
        <v>552</v>
      </c>
    </row>
    <row r="2658" spans="3:5" ht="14.1" customHeight="1">
      <c r="C2658">
        <v>4706</v>
      </c>
      <c r="D2658" t="s">
        <v>4041</v>
      </c>
      <c r="E2658">
        <v>0</v>
      </c>
    </row>
    <row r="2659" spans="3:5" ht="14.1" customHeight="1">
      <c r="C2659">
        <v>2087</v>
      </c>
      <c r="D2659" t="s">
        <v>2506</v>
      </c>
      <c r="E2659">
        <v>547</v>
      </c>
    </row>
    <row r="2660" spans="3:5" ht="14.1" customHeight="1">
      <c r="C2660">
        <v>4632</v>
      </c>
      <c r="D2660" t="s">
        <v>4042</v>
      </c>
      <c r="E2660">
        <v>0</v>
      </c>
    </row>
    <row r="2661" spans="3:5" ht="14.1" customHeight="1">
      <c r="C2661">
        <v>2885</v>
      </c>
      <c r="D2661" t="s">
        <v>2507</v>
      </c>
      <c r="E2661">
        <v>597</v>
      </c>
    </row>
    <row r="2662" spans="3:5" ht="14.1" customHeight="1">
      <c r="C2662">
        <v>384</v>
      </c>
      <c r="D2662" t="s">
        <v>197</v>
      </c>
      <c r="E2662">
        <v>485</v>
      </c>
    </row>
    <row r="2663" spans="3:5" ht="14.1" customHeight="1">
      <c r="C2663">
        <v>680</v>
      </c>
      <c r="D2663" t="s">
        <v>634</v>
      </c>
      <c r="E2663">
        <v>569</v>
      </c>
    </row>
    <row r="2664" spans="3:5" ht="14.1" customHeight="1">
      <c r="C2664">
        <v>2040</v>
      </c>
      <c r="D2664" t="s">
        <v>2508</v>
      </c>
      <c r="E2664">
        <v>627</v>
      </c>
    </row>
    <row r="2665" spans="3:5" ht="14.1" customHeight="1">
      <c r="C2665">
        <v>3120</v>
      </c>
      <c r="D2665" t="s">
        <v>2509</v>
      </c>
      <c r="E2665">
        <v>0</v>
      </c>
    </row>
    <row r="2666" spans="3:5" ht="14.1" customHeight="1">
      <c r="C2666">
        <v>2053</v>
      </c>
      <c r="D2666" t="s">
        <v>2510</v>
      </c>
      <c r="E2666">
        <v>565</v>
      </c>
    </row>
    <row r="2667" spans="3:5" ht="14.1" customHeight="1">
      <c r="C2667">
        <v>485</v>
      </c>
      <c r="D2667" t="s">
        <v>635</v>
      </c>
      <c r="E2667">
        <v>838</v>
      </c>
    </row>
    <row r="2668" spans="3:5" ht="14.1" customHeight="1">
      <c r="C2668">
        <v>1517</v>
      </c>
      <c r="D2668" t="s">
        <v>2511</v>
      </c>
      <c r="E2668">
        <v>900</v>
      </c>
    </row>
    <row r="2669" spans="3:5" ht="14.1" customHeight="1">
      <c r="C2669">
        <v>2010</v>
      </c>
      <c r="D2669" t="s">
        <v>2512</v>
      </c>
      <c r="E2669">
        <v>452</v>
      </c>
    </row>
    <row r="2670" spans="3:5" ht="14.1" customHeight="1">
      <c r="C2670">
        <v>2751</v>
      </c>
      <c r="D2670" t="s">
        <v>2513</v>
      </c>
      <c r="E2670">
        <v>697</v>
      </c>
    </row>
    <row r="2671" spans="3:5" ht="14.1" customHeight="1">
      <c r="C2671">
        <v>2777</v>
      </c>
      <c r="D2671" t="s">
        <v>2514</v>
      </c>
      <c r="E2671">
        <v>484</v>
      </c>
    </row>
    <row r="2672" spans="3:5" ht="14.1" customHeight="1">
      <c r="C2672">
        <v>224</v>
      </c>
      <c r="D2672" t="s">
        <v>198</v>
      </c>
      <c r="E2672">
        <v>625</v>
      </c>
    </row>
    <row r="2673" spans="3:5" ht="14.1" customHeight="1">
      <c r="C2673">
        <v>2718</v>
      </c>
      <c r="D2673" t="s">
        <v>2515</v>
      </c>
      <c r="E2673">
        <v>438</v>
      </c>
    </row>
    <row r="2674" spans="3:5" ht="14.1" customHeight="1">
      <c r="C2674">
        <v>3026</v>
      </c>
      <c r="D2674" t="s">
        <v>2516</v>
      </c>
      <c r="E2674">
        <v>0</v>
      </c>
    </row>
    <row r="2675" spans="3:5" ht="14.1" customHeight="1">
      <c r="C2675">
        <v>2779</v>
      </c>
      <c r="D2675" t="s">
        <v>2517</v>
      </c>
      <c r="E2675">
        <v>748</v>
      </c>
    </row>
    <row r="2676" spans="3:5" ht="14.1" customHeight="1">
      <c r="C2676">
        <v>2578</v>
      </c>
      <c r="D2676" t="s">
        <v>2518</v>
      </c>
      <c r="E2676">
        <v>480</v>
      </c>
    </row>
    <row r="2677" spans="3:5" ht="14.1" customHeight="1">
      <c r="C2677">
        <v>2968</v>
      </c>
      <c r="D2677" t="s">
        <v>2519</v>
      </c>
      <c r="E2677">
        <v>626</v>
      </c>
    </row>
    <row r="2678" spans="3:5" ht="14.1" customHeight="1">
      <c r="C2678">
        <v>2832</v>
      </c>
      <c r="D2678" t="s">
        <v>2520</v>
      </c>
      <c r="E2678">
        <v>650</v>
      </c>
    </row>
    <row r="2679" spans="3:5" ht="14.1" customHeight="1">
      <c r="C2679">
        <v>2624</v>
      </c>
      <c r="D2679" t="s">
        <v>2521</v>
      </c>
      <c r="E2679">
        <v>469</v>
      </c>
    </row>
    <row r="2680" spans="3:5" ht="14.1" customHeight="1">
      <c r="C2680">
        <v>958</v>
      </c>
      <c r="D2680" t="s">
        <v>2522</v>
      </c>
      <c r="E2680">
        <v>467</v>
      </c>
    </row>
    <row r="2681" spans="3:5" ht="14.1" customHeight="1">
      <c r="C2681">
        <v>1268</v>
      </c>
      <c r="D2681" t="s">
        <v>2523</v>
      </c>
      <c r="E2681">
        <v>664</v>
      </c>
    </row>
    <row r="2682" spans="3:5" ht="14.1" customHeight="1">
      <c r="C2682">
        <v>4612</v>
      </c>
      <c r="D2682" t="s">
        <v>4043</v>
      </c>
      <c r="E2682">
        <v>754</v>
      </c>
    </row>
    <row r="2683" spans="3:5" ht="14.1" customHeight="1">
      <c r="C2683">
        <v>582</v>
      </c>
      <c r="D2683" t="s">
        <v>636</v>
      </c>
      <c r="E2683">
        <v>508</v>
      </c>
    </row>
    <row r="2684" spans="3:5" ht="14.1" customHeight="1">
      <c r="C2684">
        <v>3110</v>
      </c>
      <c r="D2684" t="s">
        <v>2524</v>
      </c>
      <c r="E2684">
        <v>0</v>
      </c>
    </row>
    <row r="2685" spans="3:5" ht="14.1" customHeight="1">
      <c r="C2685">
        <v>67</v>
      </c>
      <c r="D2685" t="s">
        <v>637</v>
      </c>
      <c r="E2685">
        <v>717</v>
      </c>
    </row>
    <row r="2686" spans="3:5" ht="14.1" customHeight="1">
      <c r="C2686">
        <v>4672</v>
      </c>
      <c r="D2686" t="s">
        <v>4044</v>
      </c>
      <c r="E2686">
        <v>698</v>
      </c>
    </row>
    <row r="2687" spans="3:5" ht="14.1" customHeight="1">
      <c r="C2687">
        <v>1626</v>
      </c>
      <c r="D2687" t="s">
        <v>2525</v>
      </c>
      <c r="E2687">
        <v>518</v>
      </c>
    </row>
    <row r="2688" spans="3:5" ht="14.1" customHeight="1">
      <c r="C2688">
        <v>3231</v>
      </c>
      <c r="D2688" t="s">
        <v>2526</v>
      </c>
      <c r="E2688">
        <v>0</v>
      </c>
    </row>
    <row r="2689" spans="3:5" ht="14.1" customHeight="1">
      <c r="C2689">
        <v>4911</v>
      </c>
      <c r="D2689" t="s">
        <v>4045</v>
      </c>
      <c r="E2689">
        <v>490</v>
      </c>
    </row>
    <row r="2690" spans="3:5" ht="14.1" customHeight="1">
      <c r="C2690">
        <v>2573</v>
      </c>
      <c r="D2690" t="s">
        <v>2527</v>
      </c>
      <c r="E2690">
        <v>543</v>
      </c>
    </row>
    <row r="2691" spans="3:5" ht="14.1" customHeight="1">
      <c r="C2691">
        <v>1744</v>
      </c>
      <c r="D2691" t="s">
        <v>2528</v>
      </c>
      <c r="E2691">
        <v>831</v>
      </c>
    </row>
    <row r="2692" spans="3:5" ht="14.1" customHeight="1">
      <c r="C2692">
        <v>3208</v>
      </c>
      <c r="D2692" t="s">
        <v>2529</v>
      </c>
      <c r="E2692">
        <v>0</v>
      </c>
    </row>
    <row r="2693" spans="3:5" ht="14.1" customHeight="1">
      <c r="C2693">
        <v>1858</v>
      </c>
      <c r="D2693" t="s">
        <v>2530</v>
      </c>
      <c r="E2693">
        <v>762</v>
      </c>
    </row>
    <row r="2694" spans="3:5" ht="14.1" customHeight="1">
      <c r="C2694">
        <v>4132</v>
      </c>
      <c r="D2694" t="s">
        <v>2531</v>
      </c>
      <c r="E2694">
        <v>508</v>
      </c>
    </row>
    <row r="2695" spans="3:5" ht="14.1" customHeight="1">
      <c r="C2695">
        <v>5015</v>
      </c>
      <c r="D2695" t="s">
        <v>4046</v>
      </c>
      <c r="E2695">
        <v>549</v>
      </c>
    </row>
    <row r="2696" spans="3:5" ht="14.1" customHeight="1">
      <c r="C2696">
        <v>49</v>
      </c>
      <c r="D2696" t="s">
        <v>2532</v>
      </c>
      <c r="E2696">
        <v>771</v>
      </c>
    </row>
    <row r="2697" spans="3:5" ht="14.1" customHeight="1">
      <c r="C2697">
        <v>1727</v>
      </c>
      <c r="D2697" t="s">
        <v>2533</v>
      </c>
      <c r="E2697">
        <v>761</v>
      </c>
    </row>
    <row r="2698" spans="3:5" ht="14.1" customHeight="1">
      <c r="C2698">
        <v>1035</v>
      </c>
      <c r="D2698" t="s">
        <v>2534</v>
      </c>
      <c r="E2698">
        <v>828</v>
      </c>
    </row>
    <row r="2699" spans="3:5" ht="14.1" customHeight="1">
      <c r="C2699">
        <v>4764</v>
      </c>
      <c r="D2699" t="s">
        <v>4047</v>
      </c>
      <c r="E2699">
        <v>569</v>
      </c>
    </row>
    <row r="2700" spans="3:5" ht="14.1" customHeight="1">
      <c r="C2700">
        <v>4608</v>
      </c>
      <c r="D2700" t="s">
        <v>4048</v>
      </c>
      <c r="E2700">
        <v>0</v>
      </c>
    </row>
    <row r="2701" spans="3:5" ht="14.1" customHeight="1">
      <c r="C2701">
        <v>407</v>
      </c>
      <c r="D2701" t="s">
        <v>199</v>
      </c>
      <c r="E2701">
        <v>442</v>
      </c>
    </row>
    <row r="2702" spans="3:5" ht="14.1" customHeight="1">
      <c r="C2702">
        <v>4176</v>
      </c>
      <c r="D2702" t="s">
        <v>2535</v>
      </c>
      <c r="E2702">
        <v>662</v>
      </c>
    </row>
    <row r="2703" spans="3:5" ht="14.1" customHeight="1">
      <c r="C2703">
        <v>632</v>
      </c>
      <c r="D2703" t="s">
        <v>2536</v>
      </c>
      <c r="E2703">
        <v>734</v>
      </c>
    </row>
    <row r="2704" spans="3:5" ht="14.1" customHeight="1">
      <c r="C2704">
        <v>4443</v>
      </c>
      <c r="D2704" t="s">
        <v>3697</v>
      </c>
      <c r="E2704">
        <v>391</v>
      </c>
    </row>
    <row r="2705" spans="3:5" ht="14.1" customHeight="1">
      <c r="C2705">
        <v>104</v>
      </c>
      <c r="D2705" t="s">
        <v>638</v>
      </c>
      <c r="E2705">
        <v>947</v>
      </c>
    </row>
    <row r="2706" spans="3:5" ht="14.1" customHeight="1">
      <c r="C2706">
        <v>1431</v>
      </c>
      <c r="D2706" t="s">
        <v>2537</v>
      </c>
      <c r="E2706">
        <v>432</v>
      </c>
    </row>
    <row r="2707" spans="3:5" ht="14.1" customHeight="1">
      <c r="C2707">
        <v>2789</v>
      </c>
      <c r="D2707" t="s">
        <v>2538</v>
      </c>
      <c r="E2707">
        <v>707</v>
      </c>
    </row>
    <row r="2708" spans="3:5" ht="14.1" customHeight="1">
      <c r="C2708">
        <v>2295</v>
      </c>
      <c r="D2708" t="s">
        <v>2539</v>
      </c>
      <c r="E2708">
        <v>686</v>
      </c>
    </row>
    <row r="2709" spans="3:5" ht="14.1" customHeight="1">
      <c r="C2709">
        <v>1902</v>
      </c>
      <c r="D2709" t="s">
        <v>2540</v>
      </c>
      <c r="E2709">
        <v>782</v>
      </c>
    </row>
    <row r="2710" spans="3:5" ht="14.1" customHeight="1">
      <c r="C2710">
        <v>1091</v>
      </c>
      <c r="D2710" t="s">
        <v>2541</v>
      </c>
      <c r="E2710">
        <v>618</v>
      </c>
    </row>
    <row r="2711" spans="3:5" ht="14.1" customHeight="1">
      <c r="C2711">
        <v>1986</v>
      </c>
      <c r="D2711" t="s">
        <v>2542</v>
      </c>
      <c r="E2711">
        <v>814</v>
      </c>
    </row>
    <row r="2712" spans="3:5" ht="14.1" customHeight="1">
      <c r="C2712">
        <v>1100</v>
      </c>
      <c r="D2712" t="s">
        <v>2543</v>
      </c>
      <c r="E2712">
        <v>784</v>
      </c>
    </row>
    <row r="2713" spans="3:5" ht="14.1" customHeight="1">
      <c r="C2713">
        <v>2328</v>
      </c>
      <c r="D2713" t="s">
        <v>2544</v>
      </c>
      <c r="E2713">
        <v>684</v>
      </c>
    </row>
    <row r="2714" spans="3:5" ht="14.1" customHeight="1">
      <c r="C2714">
        <v>1640</v>
      </c>
      <c r="D2714" t="s">
        <v>2545</v>
      </c>
      <c r="E2714">
        <v>520</v>
      </c>
    </row>
    <row r="2715" spans="3:5" ht="14.1" customHeight="1">
      <c r="C2715">
        <v>1908</v>
      </c>
      <c r="D2715" t="s">
        <v>2546</v>
      </c>
      <c r="E2715">
        <v>993</v>
      </c>
    </row>
    <row r="2716" spans="3:5" ht="14.1" customHeight="1">
      <c r="C2716">
        <v>2847</v>
      </c>
      <c r="D2716" t="s">
        <v>2547</v>
      </c>
      <c r="E2716">
        <v>479</v>
      </c>
    </row>
    <row r="2717" spans="3:5" ht="14.1" customHeight="1">
      <c r="C2717">
        <v>379</v>
      </c>
      <c r="D2717" t="s">
        <v>200</v>
      </c>
      <c r="E2717">
        <v>460</v>
      </c>
    </row>
    <row r="2718" spans="3:5" ht="14.1" customHeight="1">
      <c r="C2718">
        <v>315</v>
      </c>
      <c r="D2718" t="s">
        <v>639</v>
      </c>
      <c r="E2718">
        <v>412</v>
      </c>
    </row>
    <row r="2719" spans="3:5" ht="14.1" customHeight="1">
      <c r="C2719">
        <v>26</v>
      </c>
      <c r="D2719" t="s">
        <v>640</v>
      </c>
      <c r="E2719">
        <v>752</v>
      </c>
    </row>
    <row r="2720" spans="3:5" ht="14.1" customHeight="1">
      <c r="C2720">
        <v>1946</v>
      </c>
      <c r="D2720" t="s">
        <v>2548</v>
      </c>
      <c r="E2720">
        <v>490</v>
      </c>
    </row>
    <row r="2721" spans="3:5" ht="14.1" customHeight="1">
      <c r="C2721">
        <v>2594</v>
      </c>
      <c r="D2721" t="s">
        <v>2549</v>
      </c>
      <c r="E2721">
        <v>605</v>
      </c>
    </row>
    <row r="2722" spans="3:5" ht="14.1" customHeight="1">
      <c r="C2722">
        <v>420</v>
      </c>
      <c r="D2722" t="s">
        <v>2550</v>
      </c>
      <c r="E2722">
        <v>624</v>
      </c>
    </row>
    <row r="2723" spans="3:5" ht="14.1" customHeight="1">
      <c r="C2723">
        <v>1755</v>
      </c>
      <c r="D2723" t="s">
        <v>2551</v>
      </c>
      <c r="E2723">
        <v>1122</v>
      </c>
    </row>
    <row r="2724" spans="3:5" ht="14.1" customHeight="1">
      <c r="C2724">
        <v>1152</v>
      </c>
      <c r="D2724" t="s">
        <v>2552</v>
      </c>
      <c r="E2724">
        <v>617</v>
      </c>
    </row>
    <row r="2725" spans="3:5" ht="14.1" customHeight="1">
      <c r="C2725">
        <v>990</v>
      </c>
      <c r="D2725" t="s">
        <v>2553</v>
      </c>
      <c r="E2725">
        <v>405</v>
      </c>
    </row>
    <row r="2726" spans="3:5" ht="14.1" customHeight="1">
      <c r="C2726">
        <v>4604</v>
      </c>
      <c r="D2726" t="s">
        <v>4049</v>
      </c>
      <c r="E2726">
        <v>450</v>
      </c>
    </row>
    <row r="2727" spans="3:5" ht="14.1" customHeight="1">
      <c r="C2727">
        <v>4482</v>
      </c>
      <c r="D2727" t="s">
        <v>3698</v>
      </c>
      <c r="E2727">
        <v>394</v>
      </c>
    </row>
    <row r="2728" spans="3:5" ht="14.1" customHeight="1">
      <c r="C2728">
        <v>5117</v>
      </c>
      <c r="D2728" t="s">
        <v>4321</v>
      </c>
      <c r="E2728">
        <v>433</v>
      </c>
    </row>
    <row r="2729" spans="3:5" ht="14.1" customHeight="1">
      <c r="C2729">
        <v>4548</v>
      </c>
      <c r="D2729" t="s">
        <v>3699</v>
      </c>
      <c r="E2729">
        <v>586</v>
      </c>
    </row>
    <row r="2730" spans="3:5" ht="14.1" customHeight="1">
      <c r="C2730">
        <v>842</v>
      </c>
      <c r="D2730" t="s">
        <v>641</v>
      </c>
      <c r="E2730">
        <v>659</v>
      </c>
    </row>
    <row r="2731" spans="3:5" ht="14.1" customHeight="1">
      <c r="C2731">
        <v>4337</v>
      </c>
      <c r="D2731" t="s">
        <v>2554</v>
      </c>
      <c r="E2731">
        <v>670</v>
      </c>
    </row>
    <row r="2732" spans="3:5" ht="14.1" customHeight="1">
      <c r="C2732">
        <v>163</v>
      </c>
      <c r="D2732" t="s">
        <v>642</v>
      </c>
      <c r="E2732">
        <v>803</v>
      </c>
    </row>
    <row r="2733" spans="3:5" ht="14.1" customHeight="1">
      <c r="C2733">
        <v>2976</v>
      </c>
      <c r="D2733" t="s">
        <v>2555</v>
      </c>
      <c r="E2733">
        <v>495</v>
      </c>
    </row>
    <row r="2734" spans="3:5" ht="14.1" customHeight="1">
      <c r="C2734">
        <v>4568</v>
      </c>
      <c r="D2734" t="s">
        <v>643</v>
      </c>
      <c r="E2734">
        <v>949</v>
      </c>
    </row>
    <row r="2735" spans="3:5" ht="14.1" customHeight="1">
      <c r="C2735">
        <v>4363</v>
      </c>
      <c r="D2735" t="s">
        <v>2556</v>
      </c>
      <c r="E2735">
        <v>625</v>
      </c>
    </row>
    <row r="2736" spans="3:5" ht="14.1" customHeight="1">
      <c r="C2736">
        <v>3150</v>
      </c>
      <c r="D2736" t="s">
        <v>2557</v>
      </c>
      <c r="E2736">
        <v>0</v>
      </c>
    </row>
    <row r="2737" spans="3:5" ht="14.1" customHeight="1">
      <c r="C2737">
        <v>5041</v>
      </c>
      <c r="D2737" t="s">
        <v>4322</v>
      </c>
      <c r="E2737">
        <v>792</v>
      </c>
    </row>
    <row r="2738" spans="3:5" ht="14.1" customHeight="1">
      <c r="C2738">
        <v>3030</v>
      </c>
      <c r="D2738" t="s">
        <v>644</v>
      </c>
      <c r="E2738">
        <v>0</v>
      </c>
    </row>
    <row r="2739" spans="3:5" ht="14.1" customHeight="1">
      <c r="C2739">
        <v>254</v>
      </c>
      <c r="D2739" t="s">
        <v>2558</v>
      </c>
      <c r="E2739">
        <v>924</v>
      </c>
    </row>
    <row r="2740" spans="3:5" ht="14.1" customHeight="1">
      <c r="C2740">
        <v>1008</v>
      </c>
      <c r="D2740" t="s">
        <v>2559</v>
      </c>
      <c r="E2740">
        <v>555</v>
      </c>
    </row>
    <row r="2741" spans="3:5" ht="14.1" customHeight="1">
      <c r="C2741">
        <v>368</v>
      </c>
      <c r="D2741" t="s">
        <v>201</v>
      </c>
      <c r="E2741">
        <v>457</v>
      </c>
    </row>
    <row r="2742" spans="3:5" ht="14.1" customHeight="1">
      <c r="C2742">
        <v>4271</v>
      </c>
      <c r="D2742" t="s">
        <v>2560</v>
      </c>
      <c r="E2742">
        <v>443</v>
      </c>
    </row>
    <row r="2743" spans="3:5" ht="14.1" customHeight="1">
      <c r="C2743">
        <v>1629</v>
      </c>
      <c r="D2743" t="s">
        <v>2561</v>
      </c>
      <c r="E2743">
        <v>510</v>
      </c>
    </row>
    <row r="2744" spans="3:5" ht="14.1" customHeight="1">
      <c r="C2744">
        <v>821</v>
      </c>
      <c r="D2744" t="s">
        <v>645</v>
      </c>
      <c r="E2744">
        <v>572</v>
      </c>
    </row>
    <row r="2745" spans="3:5" ht="14.1" customHeight="1">
      <c r="C2745">
        <v>3205</v>
      </c>
      <c r="D2745" t="s">
        <v>2562</v>
      </c>
      <c r="E2745">
        <v>0</v>
      </c>
    </row>
    <row r="2746" spans="3:5" ht="14.1" customHeight="1">
      <c r="C2746">
        <v>239</v>
      </c>
      <c r="D2746" t="s">
        <v>646</v>
      </c>
      <c r="E2746">
        <v>537</v>
      </c>
    </row>
    <row r="2747" spans="3:5" ht="14.1" customHeight="1">
      <c r="C2747">
        <v>61</v>
      </c>
      <c r="D2747" t="s">
        <v>2563</v>
      </c>
      <c r="E2747">
        <v>756</v>
      </c>
    </row>
    <row r="2748" spans="3:5" ht="14.1" customHeight="1">
      <c r="C2748">
        <v>4743</v>
      </c>
      <c r="D2748" t="s">
        <v>4050</v>
      </c>
      <c r="E2748">
        <v>0</v>
      </c>
    </row>
    <row r="2749" spans="3:5" ht="14.1" customHeight="1">
      <c r="C2749">
        <v>5136</v>
      </c>
      <c r="D2749" t="s">
        <v>4323</v>
      </c>
      <c r="E2749">
        <v>0</v>
      </c>
    </row>
    <row r="2750" spans="3:5" ht="14.1" customHeight="1">
      <c r="C2750">
        <v>3272</v>
      </c>
      <c r="D2750" t="s">
        <v>2564</v>
      </c>
      <c r="E2750">
        <v>0</v>
      </c>
    </row>
    <row r="2751" spans="3:5" ht="14.1" customHeight="1">
      <c r="C2751">
        <v>1911</v>
      </c>
      <c r="D2751" t="s">
        <v>2565</v>
      </c>
      <c r="E2751">
        <v>678</v>
      </c>
    </row>
    <row r="2752" spans="3:5" ht="14.1" customHeight="1">
      <c r="C2752">
        <v>741</v>
      </c>
      <c r="D2752" t="s">
        <v>2566</v>
      </c>
      <c r="E2752">
        <v>807</v>
      </c>
    </row>
    <row r="2753" spans="3:5" ht="14.1" customHeight="1">
      <c r="C2753">
        <v>1697</v>
      </c>
      <c r="D2753" t="s">
        <v>2567</v>
      </c>
      <c r="E2753">
        <v>971</v>
      </c>
    </row>
    <row r="2754" spans="3:5" ht="14.1" customHeight="1">
      <c r="C2754">
        <v>1658</v>
      </c>
      <c r="D2754" t="s">
        <v>2568</v>
      </c>
      <c r="E2754">
        <v>630</v>
      </c>
    </row>
    <row r="2755" spans="3:5" ht="14.1" customHeight="1">
      <c r="C2755">
        <v>4144</v>
      </c>
      <c r="D2755" t="s">
        <v>2569</v>
      </c>
      <c r="E2755">
        <v>365</v>
      </c>
    </row>
    <row r="2756" spans="3:5" ht="14.1" customHeight="1">
      <c r="C2756">
        <v>4143</v>
      </c>
      <c r="D2756" t="s">
        <v>2570</v>
      </c>
      <c r="E2756">
        <v>376</v>
      </c>
    </row>
    <row r="2757" spans="3:5" ht="14.1" customHeight="1">
      <c r="C2757">
        <v>4789</v>
      </c>
      <c r="D2757" t="s">
        <v>4051</v>
      </c>
      <c r="E2757">
        <v>434</v>
      </c>
    </row>
    <row r="2758" spans="3:5" ht="14.1" customHeight="1">
      <c r="C2758">
        <v>1639</v>
      </c>
      <c r="D2758" t="s">
        <v>2571</v>
      </c>
      <c r="E2758">
        <v>457</v>
      </c>
    </row>
    <row r="2759" spans="3:5" ht="14.1" customHeight="1">
      <c r="C2759">
        <v>5156</v>
      </c>
      <c r="D2759" t="s">
        <v>4324</v>
      </c>
      <c r="E2759">
        <v>0</v>
      </c>
    </row>
    <row r="2760" spans="3:5" ht="14.1" customHeight="1">
      <c r="C2760">
        <v>2497</v>
      </c>
      <c r="D2760" t="s">
        <v>2572</v>
      </c>
      <c r="E2760">
        <v>403</v>
      </c>
    </row>
    <row r="2761" spans="3:5" ht="14.1" customHeight="1">
      <c r="C2761">
        <v>684</v>
      </c>
      <c r="D2761" t="s">
        <v>647</v>
      </c>
      <c r="E2761">
        <v>702</v>
      </c>
    </row>
    <row r="2762" spans="3:5" ht="14.1" customHeight="1">
      <c r="C2762">
        <v>1600</v>
      </c>
      <c r="D2762" t="s">
        <v>2573</v>
      </c>
      <c r="E2762">
        <v>496</v>
      </c>
    </row>
    <row r="2763" spans="3:5" ht="14.1" customHeight="1">
      <c r="C2763">
        <v>2334</v>
      </c>
      <c r="D2763" t="s">
        <v>2574</v>
      </c>
      <c r="E2763">
        <v>525</v>
      </c>
    </row>
    <row r="2764" spans="3:5" ht="14.1" customHeight="1">
      <c r="C2764">
        <v>1713</v>
      </c>
      <c r="D2764" t="s">
        <v>2575</v>
      </c>
      <c r="E2764">
        <v>0</v>
      </c>
    </row>
    <row r="2765" spans="3:5" ht="14.1" customHeight="1">
      <c r="C2765">
        <v>4636</v>
      </c>
      <c r="D2765" t="s">
        <v>4052</v>
      </c>
      <c r="E2765">
        <v>466</v>
      </c>
    </row>
    <row r="2766" spans="3:5" ht="14.1" customHeight="1">
      <c r="C2766">
        <v>2576</v>
      </c>
      <c r="D2766" t="s">
        <v>2576</v>
      </c>
      <c r="E2766">
        <v>521</v>
      </c>
    </row>
    <row r="2767" spans="3:5" ht="14.1" customHeight="1">
      <c r="C2767">
        <v>5016</v>
      </c>
      <c r="D2767" t="s">
        <v>4053</v>
      </c>
      <c r="E2767">
        <v>746</v>
      </c>
    </row>
    <row r="2768" spans="3:5" ht="14.1" customHeight="1">
      <c r="C2768">
        <v>5017</v>
      </c>
      <c r="D2768" t="s">
        <v>4054</v>
      </c>
      <c r="E2768">
        <v>746</v>
      </c>
    </row>
    <row r="2769" spans="3:5" ht="14.1" customHeight="1">
      <c r="C2769">
        <v>2783</v>
      </c>
      <c r="D2769" t="s">
        <v>2577</v>
      </c>
      <c r="E2769">
        <v>907</v>
      </c>
    </row>
    <row r="2770" spans="3:5" ht="14.1" customHeight="1">
      <c r="C2770">
        <v>4701</v>
      </c>
      <c r="D2770" t="s">
        <v>4055</v>
      </c>
      <c r="E2770">
        <v>0</v>
      </c>
    </row>
    <row r="2771" spans="3:5" ht="14.1" customHeight="1">
      <c r="C2771">
        <v>3296</v>
      </c>
      <c r="D2771" t="s">
        <v>2578</v>
      </c>
      <c r="E2771">
        <v>0</v>
      </c>
    </row>
    <row r="2772" spans="3:5" ht="14.1" customHeight="1">
      <c r="C2772">
        <v>812</v>
      </c>
      <c r="D2772" t="s">
        <v>648</v>
      </c>
      <c r="E2772">
        <v>701</v>
      </c>
    </row>
    <row r="2773" spans="3:5" ht="14.1" customHeight="1">
      <c r="C2773">
        <v>5091</v>
      </c>
      <c r="D2773" t="s">
        <v>4325</v>
      </c>
      <c r="E2773">
        <v>420</v>
      </c>
    </row>
    <row r="2774" spans="3:5" ht="14.1" customHeight="1">
      <c r="C2774">
        <v>2330</v>
      </c>
      <c r="D2774" t="s">
        <v>2579</v>
      </c>
      <c r="E2774">
        <v>494</v>
      </c>
    </row>
    <row r="2775" spans="3:5" ht="14.1" customHeight="1">
      <c r="C2775">
        <v>5090</v>
      </c>
      <c r="D2775" t="s">
        <v>4326</v>
      </c>
      <c r="E2775">
        <v>420</v>
      </c>
    </row>
    <row r="2776" spans="3:5" ht="14.1" customHeight="1">
      <c r="C2776">
        <v>2933</v>
      </c>
      <c r="D2776" t="s">
        <v>2580</v>
      </c>
      <c r="E2776">
        <v>669</v>
      </c>
    </row>
    <row r="2777" spans="3:5" ht="14.1" customHeight="1">
      <c r="C2777">
        <v>2950</v>
      </c>
      <c r="D2777" t="s">
        <v>2581</v>
      </c>
      <c r="E2777">
        <v>718</v>
      </c>
    </row>
    <row r="2778" spans="3:5" ht="14.1" customHeight="1">
      <c r="C2778">
        <v>1340</v>
      </c>
      <c r="D2778" t="s">
        <v>2582</v>
      </c>
      <c r="E2778">
        <v>471</v>
      </c>
    </row>
    <row r="2779" spans="3:5" ht="14.1" customHeight="1">
      <c r="C2779">
        <v>2707</v>
      </c>
      <c r="D2779" t="s">
        <v>2583</v>
      </c>
      <c r="E2779">
        <v>400</v>
      </c>
    </row>
    <row r="2780" spans="3:5" ht="14.1" customHeight="1">
      <c r="C2780">
        <v>2174</v>
      </c>
      <c r="D2780" t="s">
        <v>2584</v>
      </c>
      <c r="E2780">
        <v>533</v>
      </c>
    </row>
    <row r="2781" spans="3:5" ht="14.1" customHeight="1">
      <c r="C2781">
        <v>56</v>
      </c>
      <c r="D2781" t="s">
        <v>202</v>
      </c>
      <c r="E2781">
        <v>540</v>
      </c>
    </row>
    <row r="2782" spans="3:5" ht="14.1" customHeight="1">
      <c r="C2782">
        <v>902</v>
      </c>
      <c r="D2782" t="s">
        <v>2585</v>
      </c>
      <c r="E2782">
        <v>518</v>
      </c>
    </row>
    <row r="2783" spans="3:5" ht="14.1" customHeight="1">
      <c r="C2783">
        <v>3197</v>
      </c>
      <c r="D2783" t="s">
        <v>2586</v>
      </c>
      <c r="E2783">
        <v>0</v>
      </c>
    </row>
    <row r="2784" spans="3:5" ht="14.1" customHeight="1">
      <c r="C2784">
        <v>2431</v>
      </c>
      <c r="D2784" t="s">
        <v>2587</v>
      </c>
      <c r="E2784">
        <v>722</v>
      </c>
    </row>
    <row r="2785" spans="3:5" ht="14.1" customHeight="1">
      <c r="C2785">
        <v>1864</v>
      </c>
      <c r="D2785" t="s">
        <v>2588</v>
      </c>
      <c r="E2785">
        <v>665</v>
      </c>
    </row>
    <row r="2786" spans="3:5" ht="14.1" customHeight="1">
      <c r="C2786">
        <v>4192</v>
      </c>
      <c r="D2786" t="s">
        <v>2589</v>
      </c>
      <c r="E2786">
        <v>395</v>
      </c>
    </row>
    <row r="2787" spans="3:5" ht="14.1" customHeight="1">
      <c r="C2787">
        <v>5032</v>
      </c>
      <c r="D2787" t="s">
        <v>4327</v>
      </c>
      <c r="E2787">
        <v>850</v>
      </c>
    </row>
    <row r="2788" spans="3:5" ht="14.1" customHeight="1">
      <c r="C2788">
        <v>4838</v>
      </c>
      <c r="D2788" t="s">
        <v>4056</v>
      </c>
      <c r="E2788">
        <v>596</v>
      </c>
    </row>
    <row r="2789" spans="3:5" ht="14.1" customHeight="1">
      <c r="C2789">
        <v>4211</v>
      </c>
      <c r="D2789" t="s">
        <v>2590</v>
      </c>
      <c r="E2789">
        <v>362</v>
      </c>
    </row>
    <row r="2790" spans="3:5" ht="14.1" customHeight="1">
      <c r="C2790">
        <v>2953</v>
      </c>
      <c r="D2790" t="s">
        <v>2591</v>
      </c>
      <c r="E2790">
        <v>738</v>
      </c>
    </row>
    <row r="2791" spans="3:5" ht="14.1" customHeight="1">
      <c r="C2791">
        <v>2935</v>
      </c>
      <c r="D2791" t="s">
        <v>2592</v>
      </c>
      <c r="E2791">
        <v>746</v>
      </c>
    </row>
    <row r="2792" spans="3:5" ht="14.1" customHeight="1">
      <c r="C2792">
        <v>2230</v>
      </c>
      <c r="D2792" t="s">
        <v>2593</v>
      </c>
      <c r="E2792">
        <v>439</v>
      </c>
    </row>
    <row r="2793" spans="3:5" ht="14.1" customHeight="1">
      <c r="C2793">
        <v>4422</v>
      </c>
      <c r="D2793" t="s">
        <v>3700</v>
      </c>
      <c r="E2793">
        <v>886</v>
      </c>
    </row>
    <row r="2794" spans="3:5" ht="14.1" customHeight="1">
      <c r="C2794">
        <v>2033</v>
      </c>
      <c r="D2794" t="s">
        <v>2594</v>
      </c>
      <c r="E2794">
        <v>467</v>
      </c>
    </row>
    <row r="2795" spans="3:5" ht="14.1" customHeight="1">
      <c r="C2795">
        <v>1229</v>
      </c>
      <c r="D2795" t="s">
        <v>2595</v>
      </c>
      <c r="E2795">
        <v>649</v>
      </c>
    </row>
    <row r="2796" spans="3:5" ht="14.1" customHeight="1">
      <c r="C2796">
        <v>2990</v>
      </c>
      <c r="D2796" t="s">
        <v>2596</v>
      </c>
      <c r="E2796">
        <v>490</v>
      </c>
    </row>
    <row r="2797" spans="3:5" ht="14.1" customHeight="1">
      <c r="C2797">
        <v>2343</v>
      </c>
      <c r="D2797" t="s">
        <v>2597</v>
      </c>
      <c r="E2797">
        <v>760</v>
      </c>
    </row>
    <row r="2798" spans="3:5" ht="14.1" customHeight="1">
      <c r="C2798">
        <v>900</v>
      </c>
      <c r="D2798" t="s">
        <v>2598</v>
      </c>
      <c r="E2798">
        <v>752</v>
      </c>
    </row>
    <row r="2799" spans="3:5" ht="14.1" customHeight="1">
      <c r="C2799">
        <v>1313</v>
      </c>
      <c r="D2799" t="s">
        <v>2599</v>
      </c>
      <c r="E2799">
        <v>543</v>
      </c>
    </row>
    <row r="2800" spans="3:5" ht="14.1" customHeight="1">
      <c r="C2800">
        <v>2525</v>
      </c>
      <c r="D2800" t="s">
        <v>2600</v>
      </c>
      <c r="E2800">
        <v>379</v>
      </c>
    </row>
    <row r="2801" spans="3:5" ht="14.1" customHeight="1">
      <c r="C2801">
        <v>2791</v>
      </c>
      <c r="D2801" t="s">
        <v>2601</v>
      </c>
      <c r="E2801">
        <v>595</v>
      </c>
    </row>
    <row r="2802" spans="3:5" ht="14.1" customHeight="1">
      <c r="C2802">
        <v>4864</v>
      </c>
      <c r="D2802" t="s">
        <v>4057</v>
      </c>
      <c r="E2802">
        <v>822</v>
      </c>
    </row>
    <row r="2803" spans="3:5" ht="14.1" customHeight="1">
      <c r="C2803">
        <v>1101</v>
      </c>
      <c r="D2803" t="s">
        <v>2602</v>
      </c>
      <c r="E2803">
        <v>533</v>
      </c>
    </row>
    <row r="2804" spans="3:5" ht="14.1" customHeight="1">
      <c r="C2804">
        <v>4438</v>
      </c>
      <c r="D2804" t="s">
        <v>3701</v>
      </c>
      <c r="E2804">
        <v>447</v>
      </c>
    </row>
    <row r="2805" spans="3:5" ht="14.1" customHeight="1">
      <c r="C2805">
        <v>4399</v>
      </c>
      <c r="D2805" t="s">
        <v>3702</v>
      </c>
      <c r="E2805">
        <v>636</v>
      </c>
    </row>
    <row r="2806" spans="3:5" ht="14.1" customHeight="1">
      <c r="C2806">
        <v>4374</v>
      </c>
      <c r="D2806" t="s">
        <v>3703</v>
      </c>
      <c r="E2806">
        <v>528</v>
      </c>
    </row>
    <row r="2807" spans="3:5" ht="14.1" customHeight="1">
      <c r="C2807">
        <v>1834</v>
      </c>
      <c r="D2807" t="s">
        <v>2603</v>
      </c>
      <c r="E2807">
        <v>380</v>
      </c>
    </row>
    <row r="2808" spans="3:5" ht="14.1" customHeight="1">
      <c r="C2808">
        <v>3216</v>
      </c>
      <c r="D2808" t="s">
        <v>2604</v>
      </c>
      <c r="E2808">
        <v>0</v>
      </c>
    </row>
    <row r="2809" spans="3:5" ht="14.1" customHeight="1">
      <c r="C2809">
        <v>3090</v>
      </c>
      <c r="D2809" t="s">
        <v>2605</v>
      </c>
      <c r="E2809">
        <v>0</v>
      </c>
    </row>
    <row r="2810" spans="3:5" ht="14.1" customHeight="1">
      <c r="C2810">
        <v>5185</v>
      </c>
      <c r="D2810" t="s">
        <v>4328</v>
      </c>
      <c r="E2810">
        <v>504</v>
      </c>
    </row>
    <row r="2811" spans="3:5" ht="14.1" customHeight="1">
      <c r="C2811">
        <v>1419</v>
      </c>
      <c r="D2811" t="s">
        <v>2606</v>
      </c>
      <c r="E2811">
        <v>562</v>
      </c>
    </row>
    <row r="2812" spans="3:5" ht="14.1" customHeight="1">
      <c r="C2812">
        <v>243</v>
      </c>
      <c r="D2812" t="s">
        <v>203</v>
      </c>
      <c r="E2812">
        <v>486</v>
      </c>
    </row>
    <row r="2813" spans="3:5" ht="14.1" customHeight="1">
      <c r="C2813">
        <v>1623</v>
      </c>
      <c r="D2813" t="s">
        <v>2607</v>
      </c>
      <c r="E2813">
        <v>478</v>
      </c>
    </row>
    <row r="2814" spans="3:5" ht="14.1" customHeight="1">
      <c r="C2814">
        <v>4510</v>
      </c>
      <c r="D2814" t="s">
        <v>3704</v>
      </c>
      <c r="E2814">
        <v>658</v>
      </c>
    </row>
    <row r="2815" spans="3:5" ht="14.1" customHeight="1">
      <c r="C2815">
        <v>4284</v>
      </c>
      <c r="D2815" t="s">
        <v>2608</v>
      </c>
      <c r="E2815">
        <v>543</v>
      </c>
    </row>
    <row r="2816" spans="3:5" ht="14.1" customHeight="1">
      <c r="C2816">
        <v>2692</v>
      </c>
      <c r="D2816" t="s">
        <v>2609</v>
      </c>
      <c r="E2816">
        <v>645</v>
      </c>
    </row>
    <row r="2817" spans="3:5" ht="14.1" customHeight="1">
      <c r="C2817">
        <v>18</v>
      </c>
      <c r="D2817" t="s">
        <v>204</v>
      </c>
      <c r="E2817">
        <v>615</v>
      </c>
    </row>
    <row r="2818" spans="3:5" ht="14.1" customHeight="1">
      <c r="C2818">
        <v>1059</v>
      </c>
      <c r="D2818" t="s">
        <v>2610</v>
      </c>
      <c r="E2818">
        <v>686</v>
      </c>
    </row>
    <row r="2819" spans="3:5" ht="14.1" customHeight="1">
      <c r="C2819">
        <v>464</v>
      </c>
      <c r="D2819" t="s">
        <v>649</v>
      </c>
      <c r="E2819">
        <v>954</v>
      </c>
    </row>
    <row r="2820" spans="3:5" ht="14.1" customHeight="1">
      <c r="C2820">
        <v>3175</v>
      </c>
      <c r="D2820" t="s">
        <v>2611</v>
      </c>
      <c r="E2820">
        <v>0</v>
      </c>
    </row>
    <row r="2821" spans="3:5" ht="14.1" customHeight="1">
      <c r="C2821">
        <v>2524</v>
      </c>
      <c r="D2821" t="s">
        <v>2612</v>
      </c>
      <c r="E2821">
        <v>379</v>
      </c>
    </row>
    <row r="2822" spans="3:5" ht="14.1" customHeight="1">
      <c r="C2822">
        <v>1560</v>
      </c>
      <c r="D2822" t="s">
        <v>2613</v>
      </c>
      <c r="E2822">
        <v>561</v>
      </c>
    </row>
    <row r="2823" spans="3:5" ht="14.1" customHeight="1">
      <c r="C2823">
        <v>4860</v>
      </c>
      <c r="D2823" t="s">
        <v>4058</v>
      </c>
      <c r="E2823">
        <v>768</v>
      </c>
    </row>
    <row r="2824" spans="3:5" ht="14.1" customHeight="1">
      <c r="C2824">
        <v>2905</v>
      </c>
      <c r="D2824" t="s">
        <v>2614</v>
      </c>
      <c r="E2824">
        <v>431</v>
      </c>
    </row>
    <row r="2825" spans="3:5" ht="14.1" customHeight="1">
      <c r="C2825">
        <v>3327</v>
      </c>
      <c r="D2825" t="s">
        <v>2615</v>
      </c>
      <c r="E2825">
        <v>0</v>
      </c>
    </row>
    <row r="2826" spans="3:5" ht="14.1" customHeight="1">
      <c r="C2826">
        <v>2639</v>
      </c>
      <c r="D2826" t="s">
        <v>2616</v>
      </c>
      <c r="E2826">
        <v>605</v>
      </c>
    </row>
    <row r="2827" spans="3:5" ht="14.1" customHeight="1">
      <c r="C2827">
        <v>2014</v>
      </c>
      <c r="D2827" t="s">
        <v>2617</v>
      </c>
      <c r="E2827">
        <v>460</v>
      </c>
    </row>
    <row r="2828" spans="3:5" ht="14.1" customHeight="1">
      <c r="C2828">
        <v>4247</v>
      </c>
      <c r="D2828" t="s">
        <v>2618</v>
      </c>
      <c r="E2828">
        <v>443</v>
      </c>
    </row>
    <row r="2829" spans="3:5" ht="14.1" customHeight="1">
      <c r="C2829">
        <v>2412</v>
      </c>
      <c r="D2829" t="s">
        <v>2619</v>
      </c>
      <c r="E2829">
        <v>370</v>
      </c>
    </row>
    <row r="2830" spans="3:5" ht="14.1" customHeight="1">
      <c r="C2830">
        <v>1548</v>
      </c>
      <c r="D2830" t="s">
        <v>2620</v>
      </c>
      <c r="E2830">
        <v>942</v>
      </c>
    </row>
    <row r="2831" spans="3:5" ht="14.1" customHeight="1">
      <c r="C2831">
        <v>3094</v>
      </c>
      <c r="D2831" t="s">
        <v>2620</v>
      </c>
      <c r="E2831">
        <v>0</v>
      </c>
    </row>
    <row r="2832" spans="3:5" ht="14.1" customHeight="1">
      <c r="C2832">
        <v>1496</v>
      </c>
      <c r="D2832" t="s">
        <v>2621</v>
      </c>
      <c r="E2832">
        <v>808</v>
      </c>
    </row>
    <row r="2833" spans="3:5" ht="14.1" customHeight="1">
      <c r="C2833">
        <v>4831</v>
      </c>
      <c r="D2833" t="s">
        <v>4059</v>
      </c>
      <c r="E2833">
        <v>612</v>
      </c>
    </row>
    <row r="2834" spans="3:5" ht="14.1" customHeight="1">
      <c r="C2834">
        <v>2509</v>
      </c>
      <c r="D2834" t="s">
        <v>2622</v>
      </c>
      <c r="E2834">
        <v>402</v>
      </c>
    </row>
    <row r="2835" spans="3:5" ht="14.1" customHeight="1">
      <c r="C2835">
        <v>3020</v>
      </c>
      <c r="D2835" t="s">
        <v>2623</v>
      </c>
      <c r="E2835">
        <v>0</v>
      </c>
    </row>
    <row r="2836" spans="3:5" ht="14.1" customHeight="1">
      <c r="C2836">
        <v>556</v>
      </c>
      <c r="D2836" t="s">
        <v>650</v>
      </c>
      <c r="E2836">
        <v>726</v>
      </c>
    </row>
    <row r="2837" spans="3:5" ht="14.1" customHeight="1">
      <c r="C2837">
        <v>3050</v>
      </c>
      <c r="D2837" t="s">
        <v>2624</v>
      </c>
      <c r="E2837">
        <v>797</v>
      </c>
    </row>
    <row r="2838" spans="3:5" ht="14.1" customHeight="1">
      <c r="C2838">
        <v>298</v>
      </c>
      <c r="D2838" t="s">
        <v>651</v>
      </c>
      <c r="E2838">
        <v>660</v>
      </c>
    </row>
    <row r="2839" spans="3:5" ht="14.1" customHeight="1">
      <c r="C2839">
        <v>1422</v>
      </c>
      <c r="D2839" t="s">
        <v>2625</v>
      </c>
      <c r="E2839">
        <v>405</v>
      </c>
    </row>
    <row r="2840" spans="3:5" ht="14.1" customHeight="1">
      <c r="C2840">
        <v>2886</v>
      </c>
      <c r="D2840" t="s">
        <v>2626</v>
      </c>
      <c r="E2840">
        <v>341</v>
      </c>
    </row>
    <row r="2841" spans="3:5" ht="14.1" customHeight="1">
      <c r="C2841">
        <v>1241</v>
      </c>
      <c r="D2841" t="s">
        <v>2627</v>
      </c>
      <c r="E2841">
        <v>495</v>
      </c>
    </row>
    <row r="2842" spans="3:5" ht="14.1" customHeight="1">
      <c r="C2842">
        <v>1555</v>
      </c>
      <c r="D2842" t="s">
        <v>2628</v>
      </c>
      <c r="E2842">
        <v>475</v>
      </c>
    </row>
    <row r="2843" spans="3:5" ht="14.1" customHeight="1">
      <c r="C2843">
        <v>4520</v>
      </c>
      <c r="D2843" t="s">
        <v>3705</v>
      </c>
      <c r="E2843">
        <v>741</v>
      </c>
    </row>
    <row r="2844" spans="3:5" ht="14.1" customHeight="1">
      <c r="C2844">
        <v>2701</v>
      </c>
      <c r="D2844" t="s">
        <v>2629</v>
      </c>
      <c r="E2844">
        <v>671</v>
      </c>
    </row>
    <row r="2845" spans="3:5" ht="14.1" customHeight="1">
      <c r="C2845">
        <v>1565</v>
      </c>
      <c r="D2845" t="s">
        <v>2630</v>
      </c>
      <c r="E2845">
        <v>477</v>
      </c>
    </row>
    <row r="2846" spans="3:5" ht="14.1" customHeight="1">
      <c r="C2846">
        <v>2077</v>
      </c>
      <c r="D2846" t="s">
        <v>2631</v>
      </c>
      <c r="E2846">
        <v>493</v>
      </c>
    </row>
    <row r="2847" spans="3:5" ht="14.1" customHeight="1">
      <c r="C2847">
        <v>623</v>
      </c>
      <c r="D2847" t="s">
        <v>652</v>
      </c>
      <c r="E2847">
        <v>400</v>
      </c>
    </row>
    <row r="2848" spans="3:5" ht="14.1" customHeight="1">
      <c r="C2848">
        <v>1352</v>
      </c>
      <c r="D2848" t="s">
        <v>2632</v>
      </c>
      <c r="E2848">
        <v>753</v>
      </c>
    </row>
    <row r="2849" spans="3:5" ht="14.1" customHeight="1">
      <c r="C2849">
        <v>4995</v>
      </c>
      <c r="D2849" t="s">
        <v>4060</v>
      </c>
      <c r="E2849">
        <v>0</v>
      </c>
    </row>
    <row r="2850" spans="3:5" ht="14.1" customHeight="1">
      <c r="C2850">
        <v>259</v>
      </c>
      <c r="D2850" t="s">
        <v>653</v>
      </c>
      <c r="E2850">
        <v>723</v>
      </c>
    </row>
    <row r="2851" spans="3:5" ht="14.1" customHeight="1">
      <c r="C2851">
        <v>1601</v>
      </c>
      <c r="D2851" t="s">
        <v>2633</v>
      </c>
      <c r="E2851">
        <v>414</v>
      </c>
    </row>
    <row r="2852" spans="3:5" ht="14.1" customHeight="1">
      <c r="C2852">
        <v>1211</v>
      </c>
      <c r="D2852" t="s">
        <v>2634</v>
      </c>
      <c r="E2852">
        <v>519</v>
      </c>
    </row>
    <row r="2853" spans="3:5" ht="14.1" customHeight="1">
      <c r="C2853">
        <v>2241</v>
      </c>
      <c r="D2853" t="s">
        <v>2635</v>
      </c>
      <c r="E2853">
        <v>343</v>
      </c>
    </row>
    <row r="2854" spans="3:5" ht="14.1" customHeight="1">
      <c r="C2854">
        <v>408</v>
      </c>
      <c r="D2854" t="s">
        <v>205</v>
      </c>
      <c r="E2854">
        <v>667</v>
      </c>
    </row>
    <row r="2855" spans="3:5" ht="14.1" customHeight="1">
      <c r="C2855">
        <v>1039</v>
      </c>
      <c r="D2855" t="s">
        <v>2636</v>
      </c>
      <c r="E2855">
        <v>756</v>
      </c>
    </row>
    <row r="2856" spans="3:5" ht="14.1" customHeight="1">
      <c r="C2856">
        <v>205</v>
      </c>
      <c r="D2856" t="s">
        <v>206</v>
      </c>
      <c r="E2856">
        <v>611</v>
      </c>
    </row>
    <row r="2857" spans="3:5" ht="14.1" customHeight="1">
      <c r="C2857">
        <v>1578</v>
      </c>
      <c r="D2857" t="s">
        <v>2637</v>
      </c>
      <c r="E2857">
        <v>511</v>
      </c>
    </row>
    <row r="2858" spans="3:5" ht="14.1" customHeight="1">
      <c r="C2858">
        <v>531</v>
      </c>
      <c r="D2858" t="s">
        <v>654</v>
      </c>
      <c r="E2858">
        <v>649</v>
      </c>
    </row>
    <row r="2859" spans="3:5" ht="14.1" customHeight="1">
      <c r="C2859">
        <v>765</v>
      </c>
      <c r="D2859" t="s">
        <v>655</v>
      </c>
      <c r="E2859">
        <v>637</v>
      </c>
    </row>
    <row r="2860" spans="3:5" ht="14.1" customHeight="1">
      <c r="C2860">
        <v>1380</v>
      </c>
      <c r="D2860" t="s">
        <v>2638</v>
      </c>
      <c r="E2860">
        <v>484</v>
      </c>
    </row>
    <row r="2861" spans="3:5" ht="14.1" customHeight="1">
      <c r="C2861">
        <v>1397</v>
      </c>
      <c r="D2861" t="s">
        <v>2639</v>
      </c>
      <c r="E2861">
        <v>682</v>
      </c>
    </row>
    <row r="2862" spans="3:5" ht="14.1" customHeight="1">
      <c r="C2862">
        <v>4994</v>
      </c>
      <c r="D2862" t="s">
        <v>4061</v>
      </c>
      <c r="E2862">
        <v>0</v>
      </c>
    </row>
    <row r="2863" spans="3:5" ht="14.1" customHeight="1">
      <c r="C2863">
        <v>2160</v>
      </c>
      <c r="D2863" t="s">
        <v>2640</v>
      </c>
      <c r="E2863">
        <v>448</v>
      </c>
    </row>
    <row r="2864" spans="3:5" ht="14.1" customHeight="1">
      <c r="C2864">
        <v>279</v>
      </c>
      <c r="D2864" t="s">
        <v>207</v>
      </c>
      <c r="E2864">
        <v>360</v>
      </c>
    </row>
    <row r="2865" spans="3:5" ht="14.1" customHeight="1">
      <c r="C2865">
        <v>469</v>
      </c>
      <c r="D2865" t="s">
        <v>656</v>
      </c>
      <c r="E2865">
        <v>644</v>
      </c>
    </row>
    <row r="2866" spans="3:5" ht="14.1" customHeight="1">
      <c r="C2866">
        <v>4202</v>
      </c>
      <c r="D2866" t="s">
        <v>2641</v>
      </c>
      <c r="E2866">
        <v>550</v>
      </c>
    </row>
    <row r="2867" spans="3:5" ht="14.1" customHeight="1">
      <c r="C2867">
        <v>1363</v>
      </c>
      <c r="D2867" t="s">
        <v>2642</v>
      </c>
      <c r="E2867">
        <v>649</v>
      </c>
    </row>
    <row r="2868" spans="3:5" ht="14.1" customHeight="1">
      <c r="C2868">
        <v>1814</v>
      </c>
      <c r="D2868" t="s">
        <v>2643</v>
      </c>
      <c r="E2868">
        <v>419</v>
      </c>
    </row>
    <row r="2869" spans="3:5" ht="14.1" customHeight="1">
      <c r="C2869">
        <v>1408</v>
      </c>
      <c r="D2869" t="s">
        <v>2644</v>
      </c>
      <c r="E2869">
        <v>765</v>
      </c>
    </row>
    <row r="2870" spans="3:5" ht="14.1" customHeight="1">
      <c r="C2870">
        <v>2104</v>
      </c>
      <c r="D2870" t="s">
        <v>2645</v>
      </c>
      <c r="E2870">
        <v>785</v>
      </c>
    </row>
    <row r="2871" spans="3:5" ht="14.1" customHeight="1">
      <c r="C2871">
        <v>2159</v>
      </c>
      <c r="D2871" t="s">
        <v>2646</v>
      </c>
      <c r="E2871">
        <v>733</v>
      </c>
    </row>
    <row r="2872" spans="3:5" ht="14.1" customHeight="1">
      <c r="C2872">
        <v>1323</v>
      </c>
      <c r="D2872" t="s">
        <v>2647</v>
      </c>
      <c r="E2872">
        <v>888</v>
      </c>
    </row>
    <row r="2873" spans="3:5" ht="14.1" customHeight="1">
      <c r="C2873">
        <v>4375</v>
      </c>
      <c r="D2873" t="s">
        <v>3706</v>
      </c>
      <c r="E2873">
        <v>467</v>
      </c>
    </row>
    <row r="2874" spans="3:5" ht="14.1" customHeight="1">
      <c r="C2874">
        <v>4658</v>
      </c>
      <c r="D2874" t="s">
        <v>4062</v>
      </c>
      <c r="E2874">
        <v>870</v>
      </c>
    </row>
    <row r="2875" spans="3:5" ht="14.1" customHeight="1">
      <c r="C2875">
        <v>593</v>
      </c>
      <c r="D2875" t="s">
        <v>657</v>
      </c>
      <c r="E2875">
        <v>268</v>
      </c>
    </row>
    <row r="2876" spans="3:5" ht="14.1" customHeight="1">
      <c r="C2876">
        <v>4504</v>
      </c>
      <c r="D2876" t="s">
        <v>3707</v>
      </c>
      <c r="E2876">
        <v>778</v>
      </c>
    </row>
    <row r="2877" spans="3:5" ht="14.1" customHeight="1">
      <c r="C2877">
        <v>1219</v>
      </c>
      <c r="D2877" t="s">
        <v>2648</v>
      </c>
      <c r="E2877">
        <v>751</v>
      </c>
    </row>
    <row r="2878" spans="3:5" ht="14.1" customHeight="1">
      <c r="C2878">
        <v>2753</v>
      </c>
      <c r="D2878" t="s">
        <v>2649</v>
      </c>
      <c r="E2878">
        <v>720</v>
      </c>
    </row>
    <row r="2879" spans="3:5" ht="14.1" customHeight="1">
      <c r="C2879">
        <v>4731</v>
      </c>
      <c r="D2879" t="s">
        <v>4063</v>
      </c>
      <c r="E2879">
        <v>547</v>
      </c>
    </row>
    <row r="2880" spans="3:5" ht="14.1" customHeight="1">
      <c r="C2880">
        <v>1414</v>
      </c>
      <c r="D2880" t="s">
        <v>2650</v>
      </c>
      <c r="E2880">
        <v>580</v>
      </c>
    </row>
    <row r="2881" spans="3:5" ht="14.1" customHeight="1">
      <c r="C2881">
        <v>2902</v>
      </c>
      <c r="D2881" t="s">
        <v>2651</v>
      </c>
      <c r="E2881">
        <v>467</v>
      </c>
    </row>
    <row r="2882" spans="3:5" ht="14.1" customHeight="1">
      <c r="C2882">
        <v>289</v>
      </c>
      <c r="D2882" t="s">
        <v>658</v>
      </c>
      <c r="E2882">
        <v>524</v>
      </c>
    </row>
    <row r="2883" spans="3:5" ht="14.1" customHeight="1">
      <c r="C2883">
        <v>458</v>
      </c>
      <c r="D2883" t="s">
        <v>279</v>
      </c>
      <c r="E2883">
        <v>454</v>
      </c>
    </row>
    <row r="2884" spans="3:5" ht="14.1" customHeight="1">
      <c r="C2884">
        <v>3000</v>
      </c>
      <c r="D2884" t="s">
        <v>2652</v>
      </c>
      <c r="E2884">
        <v>0</v>
      </c>
    </row>
    <row r="2885" spans="3:5" ht="14.1" customHeight="1">
      <c r="C2885">
        <v>515</v>
      </c>
      <c r="D2885" t="s">
        <v>659</v>
      </c>
      <c r="E2885">
        <v>578</v>
      </c>
    </row>
    <row r="2886" spans="3:5" ht="14.1" customHeight="1">
      <c r="C2886">
        <v>738</v>
      </c>
      <c r="D2886" t="s">
        <v>660</v>
      </c>
      <c r="E2886">
        <v>737</v>
      </c>
    </row>
    <row r="2887" spans="3:5" ht="14.1" customHeight="1">
      <c r="C2887">
        <v>516</v>
      </c>
      <c r="D2887" t="s">
        <v>661</v>
      </c>
      <c r="E2887">
        <v>578</v>
      </c>
    </row>
    <row r="2888" spans="3:5" ht="14.1" customHeight="1">
      <c r="C2888">
        <v>3005</v>
      </c>
      <c r="D2888" t="s">
        <v>2653</v>
      </c>
      <c r="E2888">
        <v>0</v>
      </c>
    </row>
    <row r="2889" spans="3:5" ht="14.1" customHeight="1">
      <c r="C2889">
        <v>794</v>
      </c>
      <c r="D2889" t="s">
        <v>2654</v>
      </c>
      <c r="E2889">
        <v>582</v>
      </c>
    </row>
    <row r="2890" spans="3:5" ht="14.1" customHeight="1">
      <c r="C2890">
        <v>1382</v>
      </c>
      <c r="D2890" t="s">
        <v>2655</v>
      </c>
      <c r="E2890">
        <v>493</v>
      </c>
    </row>
    <row r="2891" spans="3:5" ht="14.1" customHeight="1">
      <c r="C2891">
        <v>475</v>
      </c>
      <c r="D2891" t="s">
        <v>662</v>
      </c>
      <c r="E2891">
        <v>668</v>
      </c>
    </row>
    <row r="2892" spans="3:5" ht="14.1" customHeight="1">
      <c r="C2892">
        <v>4207</v>
      </c>
      <c r="D2892" t="s">
        <v>2656</v>
      </c>
      <c r="E2892">
        <v>580</v>
      </c>
    </row>
    <row r="2893" spans="3:5" ht="14.1" customHeight="1">
      <c r="C2893">
        <v>4622</v>
      </c>
      <c r="D2893" t="s">
        <v>4064</v>
      </c>
      <c r="E2893">
        <v>0</v>
      </c>
    </row>
    <row r="2894" spans="3:5" ht="14.1" customHeight="1">
      <c r="C2894">
        <v>4475</v>
      </c>
      <c r="D2894" t="s">
        <v>3708</v>
      </c>
      <c r="E2894">
        <v>640</v>
      </c>
    </row>
    <row r="2895" spans="3:5" ht="14.1" customHeight="1">
      <c r="C2895">
        <v>2591</v>
      </c>
      <c r="D2895" t="s">
        <v>2657</v>
      </c>
      <c r="E2895">
        <v>967</v>
      </c>
    </row>
    <row r="2896" spans="3:5" ht="14.1" customHeight="1">
      <c r="C2896">
        <v>1010</v>
      </c>
      <c r="D2896" t="s">
        <v>2658</v>
      </c>
      <c r="E2896">
        <v>356</v>
      </c>
    </row>
    <row r="2897" spans="3:5" ht="14.1" customHeight="1">
      <c r="C2897">
        <v>2920</v>
      </c>
      <c r="D2897" t="s">
        <v>2659</v>
      </c>
      <c r="E2897">
        <v>748</v>
      </c>
    </row>
    <row r="2898" spans="3:5" ht="14.1" customHeight="1">
      <c r="C2898">
        <v>4829</v>
      </c>
      <c r="D2898" t="s">
        <v>4065</v>
      </c>
      <c r="E2898">
        <v>661</v>
      </c>
    </row>
    <row r="2899" spans="3:5" ht="14.1" customHeight="1">
      <c r="C2899">
        <v>1870</v>
      </c>
      <c r="D2899" t="s">
        <v>2660</v>
      </c>
      <c r="E2899">
        <v>528</v>
      </c>
    </row>
    <row r="2900" spans="3:5" ht="14.1" customHeight="1">
      <c r="C2900">
        <v>586</v>
      </c>
      <c r="D2900" t="s">
        <v>663</v>
      </c>
      <c r="E2900">
        <v>438</v>
      </c>
    </row>
    <row r="2901" spans="3:5" ht="14.1" customHeight="1">
      <c r="C2901">
        <v>1723</v>
      </c>
      <c r="D2901" t="s">
        <v>2661</v>
      </c>
      <c r="E2901">
        <v>694</v>
      </c>
    </row>
    <row r="2902" spans="3:5" ht="14.1" customHeight="1">
      <c r="C2902">
        <v>4131</v>
      </c>
      <c r="D2902" t="s">
        <v>2662</v>
      </c>
      <c r="E2902">
        <v>502</v>
      </c>
    </row>
    <row r="2903" spans="3:5" ht="14.1" customHeight="1">
      <c r="C2903">
        <v>3</v>
      </c>
      <c r="D2903" t="s">
        <v>664</v>
      </c>
      <c r="E2903">
        <v>558</v>
      </c>
    </row>
    <row r="2904" spans="3:5" ht="14.1" customHeight="1">
      <c r="C2904">
        <v>2712</v>
      </c>
      <c r="D2904" t="s">
        <v>2663</v>
      </c>
      <c r="E2904">
        <v>532</v>
      </c>
    </row>
    <row r="2905" spans="3:5" ht="14.1" customHeight="1">
      <c r="C2905">
        <v>373</v>
      </c>
      <c r="D2905" t="s">
        <v>208</v>
      </c>
      <c r="E2905">
        <v>460</v>
      </c>
    </row>
    <row r="2906" spans="3:5" ht="14.1" customHeight="1">
      <c r="C2906">
        <v>1961</v>
      </c>
      <c r="D2906" t="s">
        <v>2664</v>
      </c>
      <c r="E2906">
        <v>838</v>
      </c>
    </row>
    <row r="2907" spans="3:5" ht="14.1" customHeight="1">
      <c r="C2907">
        <v>5178</v>
      </c>
      <c r="D2907" t="s">
        <v>4329</v>
      </c>
      <c r="E2907">
        <v>445</v>
      </c>
    </row>
    <row r="2908" spans="3:5" ht="14.1" customHeight="1">
      <c r="C2908">
        <v>54</v>
      </c>
      <c r="D2908" t="s">
        <v>209</v>
      </c>
      <c r="E2908">
        <v>786</v>
      </c>
    </row>
    <row r="2909" spans="3:5" ht="14.1" customHeight="1">
      <c r="C2909">
        <v>3112</v>
      </c>
      <c r="D2909" t="s">
        <v>2665</v>
      </c>
      <c r="E2909">
        <v>0</v>
      </c>
    </row>
    <row r="2910" spans="3:5" ht="14.1" customHeight="1">
      <c r="C2910">
        <v>4760</v>
      </c>
      <c r="D2910" t="s">
        <v>4066</v>
      </c>
      <c r="E2910">
        <v>604</v>
      </c>
    </row>
    <row r="2911" spans="3:5" ht="14.1" customHeight="1">
      <c r="C2911">
        <v>103</v>
      </c>
      <c r="D2911" t="s">
        <v>2666</v>
      </c>
      <c r="E2911">
        <v>1022</v>
      </c>
    </row>
    <row r="2912" spans="3:5" ht="14.1" customHeight="1">
      <c r="C2912">
        <v>4432</v>
      </c>
      <c r="D2912" t="s">
        <v>3709</v>
      </c>
      <c r="E2912">
        <v>478</v>
      </c>
    </row>
    <row r="2913" spans="3:5" ht="14.1" customHeight="1">
      <c r="C2913">
        <v>3195</v>
      </c>
      <c r="D2913" t="s">
        <v>2667</v>
      </c>
      <c r="E2913">
        <v>450</v>
      </c>
    </row>
    <row r="2914" spans="3:5" ht="14.1" customHeight="1">
      <c r="C2914">
        <v>2949</v>
      </c>
      <c r="D2914" t="s">
        <v>2668</v>
      </c>
      <c r="E2914">
        <v>487</v>
      </c>
    </row>
    <row r="2915" spans="3:5" ht="14.1" customHeight="1">
      <c r="C2915">
        <v>901</v>
      </c>
      <c r="D2915" t="s">
        <v>665</v>
      </c>
      <c r="E2915">
        <v>692</v>
      </c>
    </row>
    <row r="2916" spans="3:5" ht="14.1" customHeight="1">
      <c r="C2916">
        <v>2424</v>
      </c>
      <c r="D2916" t="s">
        <v>2669</v>
      </c>
      <c r="E2916">
        <v>687</v>
      </c>
    </row>
    <row r="2917" spans="3:5" ht="14.1" customHeight="1">
      <c r="C2917">
        <v>4306</v>
      </c>
      <c r="D2917" t="s">
        <v>2670</v>
      </c>
      <c r="E2917">
        <v>433</v>
      </c>
    </row>
    <row r="2918" spans="3:5" ht="14.1" customHeight="1">
      <c r="C2918">
        <v>4868</v>
      </c>
      <c r="D2918" t="s">
        <v>4067</v>
      </c>
      <c r="E2918">
        <v>767</v>
      </c>
    </row>
    <row r="2919" spans="3:5" ht="14.1" customHeight="1">
      <c r="C2919">
        <v>4719</v>
      </c>
      <c r="D2919" t="s">
        <v>4068</v>
      </c>
      <c r="E2919">
        <v>437</v>
      </c>
    </row>
    <row r="2920" spans="3:5" ht="14.1" customHeight="1">
      <c r="C2920">
        <v>1966</v>
      </c>
      <c r="D2920" t="s">
        <v>2671</v>
      </c>
      <c r="E2920">
        <v>577</v>
      </c>
    </row>
    <row r="2921" spans="3:5" ht="14.1" customHeight="1">
      <c r="C2921">
        <v>2255</v>
      </c>
      <c r="D2921" t="s">
        <v>2672</v>
      </c>
      <c r="E2921">
        <v>0</v>
      </c>
    </row>
    <row r="2922" spans="3:5" ht="14.1" customHeight="1">
      <c r="C2922">
        <v>2103</v>
      </c>
      <c r="D2922" t="s">
        <v>2673</v>
      </c>
      <c r="E2922">
        <v>702</v>
      </c>
    </row>
    <row r="2923" spans="3:5" ht="14.1" customHeight="1">
      <c r="C2923">
        <v>2898</v>
      </c>
      <c r="D2923" t="s">
        <v>2674</v>
      </c>
      <c r="E2923">
        <v>349</v>
      </c>
    </row>
    <row r="2924" spans="3:5" ht="14.1" customHeight="1">
      <c r="C2924">
        <v>931</v>
      </c>
      <c r="D2924" t="s">
        <v>2675</v>
      </c>
      <c r="E2924">
        <v>654</v>
      </c>
    </row>
    <row r="2925" spans="3:5" ht="14.1" customHeight="1">
      <c r="C2925">
        <v>580</v>
      </c>
      <c r="D2925" t="s">
        <v>666</v>
      </c>
      <c r="E2925">
        <v>768</v>
      </c>
    </row>
    <row r="2926" spans="3:5" ht="14.1" customHeight="1">
      <c r="C2926">
        <v>3164</v>
      </c>
      <c r="D2926" t="s">
        <v>2676</v>
      </c>
      <c r="E2926">
        <v>0</v>
      </c>
    </row>
    <row r="2927" spans="3:5" ht="14.1" customHeight="1">
      <c r="C2927">
        <v>1049</v>
      </c>
      <c r="D2927" t="s">
        <v>2677</v>
      </c>
      <c r="E2927">
        <v>816</v>
      </c>
    </row>
    <row r="2928" spans="3:5" ht="14.1" customHeight="1">
      <c r="C2928">
        <v>503</v>
      </c>
      <c r="D2928" t="s">
        <v>667</v>
      </c>
      <c r="E2928">
        <v>470</v>
      </c>
    </row>
    <row r="2929" spans="3:5" ht="14.1" customHeight="1">
      <c r="C2929">
        <v>1690</v>
      </c>
      <c r="D2929" t="s">
        <v>2678</v>
      </c>
      <c r="E2929">
        <v>685</v>
      </c>
    </row>
    <row r="2930" spans="3:5" ht="14.1" customHeight="1">
      <c r="C2930">
        <v>2541</v>
      </c>
      <c r="D2930" t="s">
        <v>2679</v>
      </c>
      <c r="E2930">
        <v>671</v>
      </c>
    </row>
    <row r="2931" spans="3:5" ht="14.1" customHeight="1">
      <c r="C2931">
        <v>1226</v>
      </c>
      <c r="D2931" t="s">
        <v>2680</v>
      </c>
      <c r="E2931">
        <v>640</v>
      </c>
    </row>
    <row r="2932" spans="3:5" ht="14.1" customHeight="1">
      <c r="C2932">
        <v>4607</v>
      </c>
      <c r="D2932" t="s">
        <v>4069</v>
      </c>
      <c r="E2932">
        <v>524</v>
      </c>
    </row>
    <row r="2933" spans="3:5" ht="14.1" customHeight="1">
      <c r="C2933">
        <v>647</v>
      </c>
      <c r="D2933" t="s">
        <v>2681</v>
      </c>
      <c r="E2933">
        <v>891</v>
      </c>
    </row>
    <row r="2934" spans="3:5" ht="14.1" customHeight="1">
      <c r="C2934">
        <v>203</v>
      </c>
      <c r="D2934" t="s">
        <v>2682</v>
      </c>
      <c r="E2934">
        <v>623</v>
      </c>
    </row>
    <row r="2935" spans="3:5" ht="14.1" customHeight="1">
      <c r="C2935">
        <v>90</v>
      </c>
      <c r="D2935" t="s">
        <v>668</v>
      </c>
      <c r="E2935">
        <v>392</v>
      </c>
    </row>
    <row r="2936" spans="3:5" ht="14.1" customHeight="1">
      <c r="C2936">
        <v>1018</v>
      </c>
      <c r="D2936" t="s">
        <v>2683</v>
      </c>
      <c r="E2936">
        <v>467</v>
      </c>
    </row>
    <row r="2937" spans="3:5" ht="14.1" customHeight="1">
      <c r="C2937">
        <v>797</v>
      </c>
      <c r="D2937" t="s">
        <v>669</v>
      </c>
      <c r="E2937">
        <v>450</v>
      </c>
    </row>
    <row r="2938" spans="3:5" ht="14.1" customHeight="1">
      <c r="C2938">
        <v>438</v>
      </c>
      <c r="D2938" t="s">
        <v>670</v>
      </c>
      <c r="E2938">
        <v>883</v>
      </c>
    </row>
    <row r="2939" spans="3:5" ht="14.1" customHeight="1">
      <c r="C2939">
        <v>439</v>
      </c>
      <c r="D2939" t="s">
        <v>671</v>
      </c>
      <c r="E2939">
        <v>811</v>
      </c>
    </row>
    <row r="2940" spans="3:5" ht="14.1" customHeight="1">
      <c r="C2940">
        <v>3237</v>
      </c>
      <c r="D2940" t="s">
        <v>2684</v>
      </c>
      <c r="E2940">
        <v>0</v>
      </c>
    </row>
    <row r="2941" spans="3:5" ht="14.1" customHeight="1">
      <c r="C2941">
        <v>431</v>
      </c>
      <c r="D2941" t="s">
        <v>210</v>
      </c>
      <c r="E2941">
        <v>611</v>
      </c>
    </row>
    <row r="2942" spans="3:5" ht="14.1" customHeight="1">
      <c r="C2942">
        <v>1385</v>
      </c>
      <c r="D2942" t="s">
        <v>2685</v>
      </c>
      <c r="E2942">
        <v>588</v>
      </c>
    </row>
    <row r="2943" spans="3:5" ht="14.1" customHeight="1">
      <c r="C2943">
        <v>1128</v>
      </c>
      <c r="D2943" t="s">
        <v>2686</v>
      </c>
      <c r="E2943">
        <v>690</v>
      </c>
    </row>
    <row r="2944" spans="3:5" ht="14.1" customHeight="1">
      <c r="C2944">
        <v>558</v>
      </c>
      <c r="D2944" t="s">
        <v>672</v>
      </c>
      <c r="E2944">
        <v>761</v>
      </c>
    </row>
    <row r="2945" spans="3:5" ht="14.1" customHeight="1">
      <c r="C2945">
        <v>1356</v>
      </c>
      <c r="D2945" t="s">
        <v>2687</v>
      </c>
      <c r="E2945">
        <v>760</v>
      </c>
    </row>
    <row r="2946" spans="3:5" ht="14.1" customHeight="1">
      <c r="C2946">
        <v>1561</v>
      </c>
      <c r="D2946" t="s">
        <v>2688</v>
      </c>
      <c r="E2946">
        <v>473</v>
      </c>
    </row>
    <row r="2947" spans="3:5" ht="14.1" customHeight="1">
      <c r="C2947">
        <v>859</v>
      </c>
      <c r="D2947" t="s">
        <v>673</v>
      </c>
      <c r="E2947">
        <v>1094</v>
      </c>
    </row>
    <row r="2948" spans="3:5" ht="14.1" customHeight="1">
      <c r="C2948">
        <v>1671</v>
      </c>
      <c r="D2948" t="s">
        <v>2689</v>
      </c>
      <c r="E2948">
        <v>0</v>
      </c>
    </row>
    <row r="2949" spans="3:5" ht="14.1" customHeight="1">
      <c r="C2949">
        <v>805</v>
      </c>
      <c r="D2949" t="s">
        <v>2690</v>
      </c>
      <c r="E2949">
        <v>965</v>
      </c>
    </row>
    <row r="2950" spans="3:5" ht="14.1" customHeight="1">
      <c r="C2950">
        <v>1848</v>
      </c>
      <c r="D2950" t="s">
        <v>2691</v>
      </c>
      <c r="E2950">
        <v>731</v>
      </c>
    </row>
    <row r="2951" spans="3:5" ht="14.1" customHeight="1">
      <c r="C2951">
        <v>814</v>
      </c>
      <c r="D2951" t="s">
        <v>674</v>
      </c>
      <c r="E2951">
        <v>563</v>
      </c>
    </row>
    <row r="2952" spans="3:5" ht="14.1" customHeight="1">
      <c r="C2952">
        <v>2655</v>
      </c>
      <c r="D2952" t="s">
        <v>2692</v>
      </c>
      <c r="E2952">
        <v>637</v>
      </c>
    </row>
    <row r="2953" spans="3:5" ht="14.1" customHeight="1">
      <c r="C2953">
        <v>4108</v>
      </c>
      <c r="D2953" t="s">
        <v>2693</v>
      </c>
      <c r="E2953">
        <v>572</v>
      </c>
    </row>
    <row r="2954" spans="3:5" ht="14.1" customHeight="1">
      <c r="C2954">
        <v>2959</v>
      </c>
      <c r="D2954" t="s">
        <v>2694</v>
      </c>
      <c r="E2954">
        <v>527</v>
      </c>
    </row>
    <row r="2955" spans="3:5" ht="14.1" customHeight="1">
      <c r="C2955">
        <v>3240</v>
      </c>
      <c r="D2955" t="s">
        <v>2695</v>
      </c>
      <c r="E2955">
        <v>0</v>
      </c>
    </row>
    <row r="2956" spans="3:5" ht="14.1" customHeight="1">
      <c r="C2956">
        <v>4365</v>
      </c>
      <c r="D2956" t="s">
        <v>3710</v>
      </c>
      <c r="E2956">
        <v>429</v>
      </c>
    </row>
    <row r="2957" spans="3:5" ht="14.1" customHeight="1">
      <c r="C2957">
        <v>1803</v>
      </c>
      <c r="D2957" t="s">
        <v>2696</v>
      </c>
      <c r="E2957">
        <v>543</v>
      </c>
    </row>
    <row r="2958" spans="3:5" ht="14.1" customHeight="1">
      <c r="C2958">
        <v>565</v>
      </c>
      <c r="D2958" t="s">
        <v>675</v>
      </c>
      <c r="E2958">
        <v>759</v>
      </c>
    </row>
    <row r="2959" spans="3:5" ht="14.1" customHeight="1">
      <c r="C2959">
        <v>599</v>
      </c>
      <c r="D2959" t="s">
        <v>2697</v>
      </c>
      <c r="E2959">
        <v>593</v>
      </c>
    </row>
    <row r="2960" spans="3:5" ht="14.1" customHeight="1">
      <c r="C2960">
        <v>2112</v>
      </c>
      <c r="D2960" t="s">
        <v>2698</v>
      </c>
      <c r="E2960">
        <v>954</v>
      </c>
    </row>
    <row r="2961" spans="3:5" ht="14.1" customHeight="1">
      <c r="C2961">
        <v>4223</v>
      </c>
      <c r="D2961" t="s">
        <v>2699</v>
      </c>
      <c r="E2961">
        <v>507</v>
      </c>
    </row>
    <row r="2962" spans="3:5" ht="14.1" customHeight="1">
      <c r="C2962">
        <v>2164</v>
      </c>
      <c r="D2962" t="s">
        <v>2700</v>
      </c>
      <c r="E2962">
        <v>533</v>
      </c>
    </row>
    <row r="2963" spans="3:5" ht="14.1" customHeight="1">
      <c r="C2963">
        <v>270</v>
      </c>
      <c r="D2963" t="s">
        <v>2701</v>
      </c>
      <c r="E2963">
        <v>568</v>
      </c>
    </row>
    <row r="2964" spans="3:5" ht="14.1" customHeight="1">
      <c r="C2964">
        <v>559</v>
      </c>
      <c r="D2964" t="s">
        <v>676</v>
      </c>
      <c r="E2964">
        <v>730</v>
      </c>
    </row>
    <row r="2965" spans="3:5" ht="14.1" customHeight="1">
      <c r="C2965">
        <v>1931</v>
      </c>
      <c r="D2965" t="s">
        <v>2702</v>
      </c>
      <c r="E2965">
        <v>428</v>
      </c>
    </row>
    <row r="2966" spans="3:5" ht="14.1" customHeight="1">
      <c r="C2966">
        <v>348</v>
      </c>
      <c r="D2966" t="s">
        <v>211</v>
      </c>
      <c r="E2966">
        <v>731</v>
      </c>
    </row>
    <row r="2967" spans="3:5" ht="14.1" customHeight="1">
      <c r="C2967">
        <v>1354</v>
      </c>
      <c r="D2967" t="s">
        <v>2703</v>
      </c>
      <c r="E2967">
        <v>785</v>
      </c>
    </row>
    <row r="2968" spans="3:5" ht="14.1" customHeight="1">
      <c r="C2968">
        <v>2375</v>
      </c>
      <c r="D2968" t="s">
        <v>2704</v>
      </c>
      <c r="E2968">
        <v>405</v>
      </c>
    </row>
    <row r="2969" spans="3:5" ht="14.1" customHeight="1">
      <c r="C2969">
        <v>1295</v>
      </c>
      <c r="D2969" t="s">
        <v>2705</v>
      </c>
      <c r="E2969">
        <v>530</v>
      </c>
    </row>
    <row r="2970" spans="3:5" ht="14.1" customHeight="1">
      <c r="C2970">
        <v>2441</v>
      </c>
      <c r="D2970" t="s">
        <v>2706</v>
      </c>
      <c r="E2970">
        <v>893</v>
      </c>
    </row>
    <row r="2971" spans="3:5" ht="14.1" customHeight="1">
      <c r="C2971">
        <v>1038</v>
      </c>
      <c r="D2971" t="s">
        <v>2707</v>
      </c>
      <c r="E2971">
        <v>800</v>
      </c>
    </row>
    <row r="2972" spans="3:5" ht="14.1" customHeight="1">
      <c r="C2972">
        <v>2437</v>
      </c>
      <c r="D2972" t="s">
        <v>2708</v>
      </c>
      <c r="E2972">
        <v>676</v>
      </c>
    </row>
    <row r="2973" spans="3:5" ht="14.1" customHeight="1">
      <c r="C2973">
        <v>3190</v>
      </c>
      <c r="D2973" t="s">
        <v>2709</v>
      </c>
      <c r="E2973">
        <v>0</v>
      </c>
    </row>
    <row r="2974" spans="3:5" ht="14.1" customHeight="1">
      <c r="C2974">
        <v>1678</v>
      </c>
      <c r="D2974" t="s">
        <v>2710</v>
      </c>
      <c r="E2974">
        <v>694</v>
      </c>
    </row>
    <row r="2975" spans="3:5" ht="14.1" customHeight="1">
      <c r="C2975">
        <v>4880</v>
      </c>
      <c r="D2975" t="s">
        <v>4070</v>
      </c>
      <c r="E2975">
        <v>584</v>
      </c>
    </row>
    <row r="2976" spans="3:5" ht="14.1" customHeight="1">
      <c r="C2976">
        <v>527</v>
      </c>
      <c r="D2976" t="s">
        <v>677</v>
      </c>
      <c r="E2976">
        <v>366</v>
      </c>
    </row>
    <row r="2977" spans="3:5" ht="14.1" customHeight="1">
      <c r="C2977">
        <v>539</v>
      </c>
      <c r="D2977" t="s">
        <v>678</v>
      </c>
      <c r="E2977">
        <v>616</v>
      </c>
    </row>
    <row r="2978" spans="3:5" ht="14.1" customHeight="1">
      <c r="C2978">
        <v>2876</v>
      </c>
      <c r="D2978" t="s">
        <v>2711</v>
      </c>
      <c r="E2978">
        <v>478</v>
      </c>
    </row>
    <row r="2979" spans="3:5" ht="14.1" customHeight="1">
      <c r="C2979">
        <v>2413</v>
      </c>
      <c r="D2979" t="s">
        <v>2712</v>
      </c>
      <c r="E2979">
        <v>345</v>
      </c>
    </row>
    <row r="2980" spans="3:5" ht="14.1" customHeight="1">
      <c r="C2980">
        <v>5084</v>
      </c>
      <c r="D2980" t="s">
        <v>4330</v>
      </c>
      <c r="E2980">
        <v>417</v>
      </c>
    </row>
    <row r="2981" spans="3:5" ht="14.1" customHeight="1">
      <c r="C2981">
        <v>2969</v>
      </c>
      <c r="D2981" t="s">
        <v>2713</v>
      </c>
      <c r="E2981">
        <v>496</v>
      </c>
    </row>
    <row r="2982" spans="3:5" ht="14.1" customHeight="1">
      <c r="C2982">
        <v>2371</v>
      </c>
      <c r="D2982" t="s">
        <v>2714</v>
      </c>
      <c r="E2982">
        <v>393</v>
      </c>
    </row>
    <row r="2983" spans="3:5" ht="14.1" customHeight="1">
      <c r="C2983">
        <v>4336</v>
      </c>
      <c r="D2983" t="s">
        <v>2715</v>
      </c>
      <c r="E2983">
        <v>665</v>
      </c>
    </row>
    <row r="2984" spans="3:5" ht="14.1" customHeight="1">
      <c r="C2984">
        <v>1682</v>
      </c>
      <c r="D2984" t="s">
        <v>2716</v>
      </c>
      <c r="E2984">
        <v>547</v>
      </c>
    </row>
    <row r="2985" spans="3:5" ht="14.1" customHeight="1">
      <c r="C2985">
        <v>3316</v>
      </c>
      <c r="D2985" t="s">
        <v>2717</v>
      </c>
      <c r="E2985">
        <v>0</v>
      </c>
    </row>
    <row r="2986" spans="3:5" ht="14.1" customHeight="1">
      <c r="C2986">
        <v>595</v>
      </c>
      <c r="D2986" t="s">
        <v>679</v>
      </c>
      <c r="E2986">
        <v>413</v>
      </c>
    </row>
    <row r="2987" spans="3:5" ht="14.1" customHeight="1">
      <c r="C2987">
        <v>2821</v>
      </c>
      <c r="D2987" t="s">
        <v>2718</v>
      </c>
      <c r="E2987">
        <v>479</v>
      </c>
    </row>
    <row r="2988" spans="3:5" ht="14.1" customHeight="1">
      <c r="C2988">
        <v>1709</v>
      </c>
      <c r="D2988" t="s">
        <v>2719</v>
      </c>
      <c r="E2988">
        <v>0</v>
      </c>
    </row>
    <row r="2989" spans="3:5" ht="14.1" customHeight="1">
      <c r="C2989">
        <v>2129</v>
      </c>
      <c r="D2989" t="s">
        <v>2720</v>
      </c>
      <c r="E2989">
        <v>450</v>
      </c>
    </row>
    <row r="2990" spans="3:5" ht="14.1" customHeight="1">
      <c r="C2990">
        <v>4863</v>
      </c>
      <c r="D2990" t="s">
        <v>4071</v>
      </c>
      <c r="E2990">
        <v>878</v>
      </c>
    </row>
    <row r="2991" spans="3:5" ht="14.1" customHeight="1">
      <c r="C2991">
        <v>2083</v>
      </c>
      <c r="D2991" t="s">
        <v>2721</v>
      </c>
      <c r="E2991">
        <v>539</v>
      </c>
    </row>
    <row r="2992" spans="3:5" ht="14.1" customHeight="1">
      <c r="C2992">
        <v>2292</v>
      </c>
      <c r="D2992" t="s">
        <v>2722</v>
      </c>
      <c r="E2992">
        <v>364</v>
      </c>
    </row>
    <row r="2993" spans="3:5" ht="14.1" customHeight="1">
      <c r="C2993">
        <v>2170</v>
      </c>
      <c r="D2993" t="s">
        <v>2723</v>
      </c>
      <c r="E2993">
        <v>508</v>
      </c>
    </row>
    <row r="2994" spans="3:5" ht="14.1" customHeight="1">
      <c r="C2994">
        <v>2266</v>
      </c>
      <c r="D2994" t="s">
        <v>2724</v>
      </c>
      <c r="E2994">
        <v>512</v>
      </c>
    </row>
    <row r="2995" spans="3:5" ht="14.1" customHeight="1">
      <c r="C2995">
        <v>2226</v>
      </c>
      <c r="D2995" t="s">
        <v>2725</v>
      </c>
      <c r="E2995">
        <v>407</v>
      </c>
    </row>
    <row r="2996" spans="3:5" ht="14.1" customHeight="1">
      <c r="C2996">
        <v>1307</v>
      </c>
      <c r="D2996" t="s">
        <v>2726</v>
      </c>
      <c r="E2996">
        <v>440</v>
      </c>
    </row>
    <row r="2997" spans="3:5" ht="14.1" customHeight="1">
      <c r="C2997">
        <v>2666</v>
      </c>
      <c r="D2997" t="s">
        <v>2727</v>
      </c>
      <c r="E2997">
        <v>479</v>
      </c>
    </row>
    <row r="2998" spans="3:5" ht="14.1" customHeight="1">
      <c r="C2998">
        <v>4455</v>
      </c>
      <c r="D2998" t="s">
        <v>3711</v>
      </c>
      <c r="E2998">
        <v>900</v>
      </c>
    </row>
    <row r="2999" spans="3:5" ht="14.1" customHeight="1">
      <c r="C2999">
        <v>1310</v>
      </c>
      <c r="D2999" t="s">
        <v>2728</v>
      </c>
      <c r="E2999">
        <v>611</v>
      </c>
    </row>
    <row r="3000" spans="3:5" ht="14.1" customHeight="1">
      <c r="C3000">
        <v>752</v>
      </c>
      <c r="D3000" t="s">
        <v>680</v>
      </c>
      <c r="E3000">
        <v>798</v>
      </c>
    </row>
    <row r="3001" spans="3:5" ht="14.1" customHeight="1">
      <c r="C3001">
        <v>2610</v>
      </c>
      <c r="D3001" t="s">
        <v>2729</v>
      </c>
      <c r="E3001">
        <v>600</v>
      </c>
    </row>
    <row r="3002" spans="3:5" ht="14.1" customHeight="1">
      <c r="C3002">
        <v>1212</v>
      </c>
      <c r="D3002" t="s">
        <v>2730</v>
      </c>
      <c r="E3002">
        <v>683</v>
      </c>
    </row>
    <row r="3003" spans="3:5" ht="14.1" customHeight="1">
      <c r="C3003">
        <v>1213</v>
      </c>
      <c r="D3003" t="s">
        <v>2731</v>
      </c>
      <c r="E3003">
        <v>683</v>
      </c>
    </row>
    <row r="3004" spans="3:5" ht="14.1" customHeight="1">
      <c r="C3004">
        <v>725</v>
      </c>
      <c r="D3004" t="s">
        <v>681</v>
      </c>
      <c r="E3004">
        <v>980</v>
      </c>
    </row>
    <row r="3005" spans="3:5" ht="14.1" customHeight="1">
      <c r="C3005">
        <v>3043</v>
      </c>
      <c r="D3005" t="s">
        <v>2732</v>
      </c>
      <c r="E3005">
        <v>0</v>
      </c>
    </row>
    <row r="3006" spans="3:5" ht="14.1" customHeight="1">
      <c r="C3006">
        <v>290</v>
      </c>
      <c r="D3006" t="s">
        <v>682</v>
      </c>
      <c r="E3006">
        <v>885</v>
      </c>
    </row>
    <row r="3007" spans="3:5" ht="14.1" customHeight="1">
      <c r="C3007">
        <v>799</v>
      </c>
      <c r="D3007" t="s">
        <v>683</v>
      </c>
      <c r="E3007">
        <v>464</v>
      </c>
    </row>
    <row r="3008" spans="3:5" ht="14.1" customHeight="1">
      <c r="C3008">
        <v>1784</v>
      </c>
      <c r="D3008" t="s">
        <v>2733</v>
      </c>
      <c r="E3008">
        <v>361</v>
      </c>
    </row>
    <row r="3009" spans="3:5" ht="14.1" customHeight="1">
      <c r="C3009">
        <v>1040</v>
      </c>
      <c r="D3009" t="s">
        <v>2734</v>
      </c>
      <c r="E3009">
        <v>598</v>
      </c>
    </row>
    <row r="3010" spans="3:5" ht="14.1" customHeight="1">
      <c r="C3010">
        <v>1865</v>
      </c>
      <c r="D3010" t="s">
        <v>2735</v>
      </c>
      <c r="E3010">
        <v>444</v>
      </c>
    </row>
    <row r="3011" spans="3:5" ht="14.1" customHeight="1">
      <c r="C3011">
        <v>5120</v>
      </c>
      <c r="D3011" t="s">
        <v>4331</v>
      </c>
      <c r="E3011">
        <v>443</v>
      </c>
    </row>
    <row r="3012" spans="3:5" ht="14.1" customHeight="1">
      <c r="C3012">
        <v>2055</v>
      </c>
      <c r="D3012" t="s">
        <v>2736</v>
      </c>
      <c r="E3012">
        <v>611</v>
      </c>
    </row>
    <row r="3013" spans="3:5" ht="14.1" customHeight="1">
      <c r="C3013">
        <v>945</v>
      </c>
      <c r="D3013" t="s">
        <v>2737</v>
      </c>
      <c r="E3013">
        <v>680</v>
      </c>
    </row>
    <row r="3014" spans="3:5" ht="14.1" customHeight="1">
      <c r="C3014">
        <v>426</v>
      </c>
      <c r="D3014" t="s">
        <v>212</v>
      </c>
      <c r="E3014">
        <v>492</v>
      </c>
    </row>
    <row r="3015" spans="3:5" ht="14.1" customHeight="1">
      <c r="C3015">
        <v>1478</v>
      </c>
      <c r="D3015" t="s">
        <v>2738</v>
      </c>
      <c r="E3015">
        <v>454</v>
      </c>
    </row>
    <row r="3016" spans="3:5" ht="14.1" customHeight="1">
      <c r="C3016">
        <v>1879</v>
      </c>
      <c r="D3016" t="s">
        <v>2739</v>
      </c>
      <c r="E3016">
        <v>541</v>
      </c>
    </row>
    <row r="3017" spans="3:5" ht="14.1" customHeight="1">
      <c r="C3017">
        <v>2651</v>
      </c>
      <c r="D3017" t="s">
        <v>2740</v>
      </c>
      <c r="E3017">
        <v>575</v>
      </c>
    </row>
    <row r="3018" spans="3:5" ht="14.1" customHeight="1">
      <c r="C3018">
        <v>2502</v>
      </c>
      <c r="D3018" t="s">
        <v>2741</v>
      </c>
      <c r="E3018">
        <v>505</v>
      </c>
    </row>
    <row r="3019" spans="3:5" ht="14.1" customHeight="1">
      <c r="C3019">
        <v>3071</v>
      </c>
      <c r="D3019" t="s">
        <v>2742</v>
      </c>
      <c r="E3019">
        <v>0</v>
      </c>
    </row>
    <row r="3020" spans="3:5" ht="14.1" customHeight="1">
      <c r="C3020">
        <v>3165</v>
      </c>
      <c r="D3020" t="s">
        <v>2743</v>
      </c>
      <c r="E3020">
        <v>0</v>
      </c>
    </row>
    <row r="3021" spans="3:5" ht="14.1" customHeight="1">
      <c r="C3021">
        <v>488</v>
      </c>
      <c r="D3021" t="s">
        <v>2744</v>
      </c>
      <c r="E3021">
        <v>758</v>
      </c>
    </row>
    <row r="3022" spans="3:5" ht="14.1" customHeight="1">
      <c r="C3022">
        <v>1749</v>
      </c>
      <c r="D3022" t="s">
        <v>684</v>
      </c>
      <c r="E3022">
        <v>970</v>
      </c>
    </row>
    <row r="3023" spans="3:5" ht="14.1" customHeight="1">
      <c r="C3023">
        <v>2034</v>
      </c>
      <c r="D3023" t="s">
        <v>2745</v>
      </c>
      <c r="E3023">
        <v>467</v>
      </c>
    </row>
    <row r="3024" spans="3:5" ht="14.1" customHeight="1">
      <c r="C3024">
        <v>1631</v>
      </c>
      <c r="D3024" t="s">
        <v>2746</v>
      </c>
      <c r="E3024">
        <v>598</v>
      </c>
    </row>
    <row r="3025" spans="3:5" ht="14.1" customHeight="1">
      <c r="C3025">
        <v>1437</v>
      </c>
      <c r="D3025" t="s">
        <v>2747</v>
      </c>
      <c r="E3025">
        <v>478</v>
      </c>
    </row>
    <row r="3026" spans="3:5" ht="14.1" customHeight="1">
      <c r="C3026">
        <v>2792</v>
      </c>
      <c r="D3026" t="s">
        <v>2748</v>
      </c>
      <c r="E3026">
        <v>579</v>
      </c>
    </row>
    <row r="3027" spans="3:5" ht="14.1" customHeight="1">
      <c r="C3027">
        <v>995</v>
      </c>
      <c r="D3027" t="s">
        <v>2749</v>
      </c>
      <c r="E3027">
        <v>425</v>
      </c>
    </row>
    <row r="3028" spans="3:5" ht="14.1" customHeight="1">
      <c r="C3028">
        <v>2278</v>
      </c>
      <c r="D3028" t="s">
        <v>2750</v>
      </c>
      <c r="E3028">
        <v>473</v>
      </c>
    </row>
    <row r="3029" spans="3:5" ht="14.1" customHeight="1">
      <c r="C3029">
        <v>398</v>
      </c>
      <c r="D3029" t="s">
        <v>213</v>
      </c>
      <c r="E3029">
        <v>540</v>
      </c>
    </row>
    <row r="3030" spans="3:5" ht="14.1" customHeight="1">
      <c r="C3030">
        <v>255</v>
      </c>
      <c r="D3030" t="s">
        <v>4072</v>
      </c>
      <c r="E3030">
        <v>427</v>
      </c>
    </row>
    <row r="3031" spans="3:5" ht="14.1" customHeight="1">
      <c r="C3031">
        <v>1201</v>
      </c>
      <c r="D3031" t="s">
        <v>2751</v>
      </c>
      <c r="E3031">
        <v>473</v>
      </c>
    </row>
    <row r="3032" spans="3:5" ht="14.1" customHeight="1">
      <c r="C3032">
        <v>2747</v>
      </c>
      <c r="D3032" t="s">
        <v>2752</v>
      </c>
      <c r="E3032">
        <v>678</v>
      </c>
    </row>
    <row r="3033" spans="3:5" ht="14.1" customHeight="1">
      <c r="C3033">
        <v>2556</v>
      </c>
      <c r="D3033" t="s">
        <v>2753</v>
      </c>
      <c r="E3033">
        <v>611</v>
      </c>
    </row>
    <row r="3034" spans="3:5" ht="14.1" customHeight="1">
      <c r="C3034">
        <v>976</v>
      </c>
      <c r="D3034" t="s">
        <v>2754</v>
      </c>
      <c r="E3034">
        <v>440</v>
      </c>
    </row>
    <row r="3035" spans="3:5" ht="14.1" customHeight="1">
      <c r="C3035">
        <v>5040</v>
      </c>
      <c r="D3035" t="s">
        <v>4332</v>
      </c>
      <c r="E3035">
        <v>850</v>
      </c>
    </row>
    <row r="3036" spans="3:5" ht="14.1" customHeight="1">
      <c r="C3036">
        <v>4456</v>
      </c>
      <c r="D3036" t="s">
        <v>3712</v>
      </c>
      <c r="E3036">
        <v>894</v>
      </c>
    </row>
    <row r="3037" spans="3:5" ht="14.1" customHeight="1">
      <c r="C3037">
        <v>1683</v>
      </c>
      <c r="D3037" t="s">
        <v>2755</v>
      </c>
      <c r="E3037">
        <v>961</v>
      </c>
    </row>
    <row r="3038" spans="3:5" ht="14.1" customHeight="1">
      <c r="C3038">
        <v>4451</v>
      </c>
      <c r="D3038" t="s">
        <v>3713</v>
      </c>
      <c r="E3038">
        <v>443</v>
      </c>
    </row>
    <row r="3039" spans="3:5" ht="14.1" customHeight="1">
      <c r="C3039">
        <v>4452</v>
      </c>
      <c r="D3039" t="s">
        <v>3714</v>
      </c>
      <c r="E3039">
        <v>443</v>
      </c>
    </row>
    <row r="3040" spans="3:5" ht="14.1" customHeight="1">
      <c r="C3040">
        <v>3262</v>
      </c>
      <c r="D3040" t="s">
        <v>2756</v>
      </c>
      <c r="E3040">
        <v>0</v>
      </c>
    </row>
    <row r="3041" spans="3:5" ht="14.1" customHeight="1">
      <c r="C3041">
        <v>2974</v>
      </c>
      <c r="D3041" t="s">
        <v>2757</v>
      </c>
      <c r="E3041">
        <v>529</v>
      </c>
    </row>
    <row r="3042" spans="3:5" ht="14.1" customHeight="1">
      <c r="C3042">
        <v>4670</v>
      </c>
      <c r="D3042" t="s">
        <v>4073</v>
      </c>
      <c r="E3042">
        <v>800</v>
      </c>
    </row>
    <row r="3043" spans="3:5" ht="14.1" customHeight="1">
      <c r="C3043">
        <v>4782</v>
      </c>
      <c r="D3043" t="s">
        <v>4074</v>
      </c>
      <c r="E3043">
        <v>428</v>
      </c>
    </row>
    <row r="3044" spans="3:5" ht="14.1" customHeight="1">
      <c r="C3044">
        <v>2675</v>
      </c>
      <c r="D3044" t="s">
        <v>2758</v>
      </c>
      <c r="E3044">
        <v>643</v>
      </c>
    </row>
    <row r="3045" spans="3:5" ht="14.1" customHeight="1">
      <c r="C3045">
        <v>3031</v>
      </c>
      <c r="D3045" t="s">
        <v>2759</v>
      </c>
      <c r="E3045">
        <v>0</v>
      </c>
    </row>
    <row r="3046" spans="3:5" ht="14.1" customHeight="1">
      <c r="C3046">
        <v>720</v>
      </c>
      <c r="D3046" t="s">
        <v>685</v>
      </c>
      <c r="E3046">
        <v>332</v>
      </c>
    </row>
    <row r="3047" spans="3:5" ht="14.1" customHeight="1">
      <c r="C3047">
        <v>1312</v>
      </c>
      <c r="D3047" t="s">
        <v>2760</v>
      </c>
      <c r="E3047">
        <v>483</v>
      </c>
    </row>
    <row r="3048" spans="3:5" ht="14.1" customHeight="1">
      <c r="C3048">
        <v>2834</v>
      </c>
      <c r="D3048" t="s">
        <v>2761</v>
      </c>
      <c r="E3048">
        <v>476</v>
      </c>
    </row>
    <row r="3049" spans="3:5" ht="14.1" customHeight="1">
      <c r="C3049">
        <v>3161</v>
      </c>
      <c r="D3049" t="s">
        <v>2762</v>
      </c>
      <c r="E3049">
        <v>0</v>
      </c>
    </row>
    <row r="3050" spans="3:5" ht="14.1" customHeight="1">
      <c r="C3050">
        <v>2012</v>
      </c>
      <c r="D3050" t="s">
        <v>2763</v>
      </c>
      <c r="E3050">
        <v>475</v>
      </c>
    </row>
    <row r="3051" spans="3:5" ht="14.1" customHeight="1">
      <c r="C3051">
        <v>1607</v>
      </c>
      <c r="D3051" t="s">
        <v>2764</v>
      </c>
      <c r="E3051">
        <v>528</v>
      </c>
    </row>
    <row r="3052" spans="3:5" ht="14.1" customHeight="1">
      <c r="C3052">
        <v>5004</v>
      </c>
      <c r="D3052" t="s">
        <v>4075</v>
      </c>
      <c r="E3052">
        <v>548</v>
      </c>
    </row>
    <row r="3053" spans="3:5" ht="14.1" customHeight="1">
      <c r="C3053">
        <v>519</v>
      </c>
      <c r="D3053" t="s">
        <v>686</v>
      </c>
      <c r="E3053">
        <v>426</v>
      </c>
    </row>
    <row r="3054" spans="3:5" ht="14.1" customHeight="1">
      <c r="C3054">
        <v>1740</v>
      </c>
      <c r="D3054" t="s">
        <v>2765</v>
      </c>
      <c r="E3054">
        <v>879</v>
      </c>
    </row>
    <row r="3055" spans="3:5" ht="14.1" customHeight="1">
      <c r="C3055">
        <v>722</v>
      </c>
      <c r="D3055" t="s">
        <v>687</v>
      </c>
      <c r="E3055">
        <v>448</v>
      </c>
    </row>
    <row r="3056" spans="3:5" ht="14.1" customHeight="1">
      <c r="C3056">
        <v>1262</v>
      </c>
      <c r="D3056" t="s">
        <v>2766</v>
      </c>
      <c r="E3056">
        <v>470</v>
      </c>
    </row>
    <row r="3057" spans="3:5" ht="14.1" customHeight="1">
      <c r="C3057">
        <v>1731</v>
      </c>
      <c r="D3057" t="s">
        <v>2767</v>
      </c>
      <c r="E3057">
        <v>636</v>
      </c>
    </row>
    <row r="3058" spans="3:5" ht="14.1" customHeight="1">
      <c r="C3058">
        <v>1942</v>
      </c>
      <c r="D3058" t="s">
        <v>2768</v>
      </c>
      <c r="E3058">
        <v>591</v>
      </c>
    </row>
    <row r="3059" spans="3:5" ht="14.1" customHeight="1">
      <c r="C3059">
        <v>2061</v>
      </c>
      <c r="D3059" t="s">
        <v>2769</v>
      </c>
      <c r="E3059">
        <v>1230</v>
      </c>
    </row>
    <row r="3060" spans="3:5" ht="14.1" customHeight="1">
      <c r="C3060">
        <v>4466</v>
      </c>
      <c r="D3060" t="s">
        <v>3715</v>
      </c>
      <c r="E3060">
        <v>617</v>
      </c>
    </row>
    <row r="3061" spans="3:5" ht="14.1" customHeight="1">
      <c r="C3061">
        <v>2956</v>
      </c>
      <c r="D3061" t="s">
        <v>2770</v>
      </c>
      <c r="E3061">
        <v>538</v>
      </c>
    </row>
    <row r="3062" spans="3:5" ht="14.1" customHeight="1">
      <c r="C3062">
        <v>351</v>
      </c>
      <c r="D3062" t="s">
        <v>688</v>
      </c>
      <c r="E3062">
        <v>701</v>
      </c>
    </row>
    <row r="3063" spans="3:5" ht="14.1" customHeight="1">
      <c r="C3063">
        <v>2234</v>
      </c>
      <c r="D3063" t="s">
        <v>2771</v>
      </c>
      <c r="E3063">
        <v>567</v>
      </c>
    </row>
    <row r="3064" spans="3:5" ht="14.1" customHeight="1">
      <c r="C3064">
        <v>1270</v>
      </c>
      <c r="D3064" t="s">
        <v>2772</v>
      </c>
      <c r="E3064">
        <v>552</v>
      </c>
    </row>
    <row r="3065" spans="3:5" ht="14.1" customHeight="1">
      <c r="C3065">
        <v>4150</v>
      </c>
      <c r="D3065" t="s">
        <v>4076</v>
      </c>
      <c r="E3065">
        <v>558</v>
      </c>
    </row>
    <row r="3066" spans="3:5" ht="14.1" customHeight="1">
      <c r="C3066">
        <v>4806</v>
      </c>
      <c r="D3066" t="s">
        <v>4077</v>
      </c>
      <c r="E3066">
        <v>321</v>
      </c>
    </row>
    <row r="3067" spans="3:5" ht="14.1" customHeight="1">
      <c r="C3067">
        <v>2076</v>
      </c>
      <c r="D3067" t="s">
        <v>2773</v>
      </c>
      <c r="E3067">
        <v>714</v>
      </c>
    </row>
    <row r="3068" spans="3:5" ht="14.1" customHeight="1">
      <c r="C3068">
        <v>1239</v>
      </c>
      <c r="D3068" t="s">
        <v>2774</v>
      </c>
      <c r="E3068">
        <v>582</v>
      </c>
    </row>
    <row r="3069" spans="3:5" ht="14.1" customHeight="1">
      <c r="C3069">
        <v>552</v>
      </c>
      <c r="D3069" t="s">
        <v>2775</v>
      </c>
      <c r="E3069">
        <v>929</v>
      </c>
    </row>
    <row r="3070" spans="3:5" ht="14.1" customHeight="1">
      <c r="C3070">
        <v>2482</v>
      </c>
      <c r="D3070" t="s">
        <v>2776</v>
      </c>
      <c r="E3070">
        <v>690</v>
      </c>
    </row>
    <row r="3071" spans="3:5" ht="14.1" customHeight="1">
      <c r="C3071">
        <v>2483</v>
      </c>
      <c r="D3071" t="s">
        <v>2777</v>
      </c>
      <c r="E3071">
        <v>690</v>
      </c>
    </row>
    <row r="3072" spans="3:5" ht="14.1" customHeight="1">
      <c r="C3072">
        <v>4795</v>
      </c>
      <c r="D3072" t="s">
        <v>4078</v>
      </c>
      <c r="E3072">
        <v>486</v>
      </c>
    </row>
    <row r="3073" spans="3:5" ht="14.1" customHeight="1">
      <c r="C3073">
        <v>2452</v>
      </c>
      <c r="D3073" t="s">
        <v>2778</v>
      </c>
      <c r="E3073">
        <v>641</v>
      </c>
    </row>
    <row r="3074" spans="3:5" ht="14.1" customHeight="1">
      <c r="C3074">
        <v>4993</v>
      </c>
      <c r="D3074" t="s">
        <v>4079</v>
      </c>
      <c r="E3074">
        <v>678</v>
      </c>
    </row>
    <row r="3075" spans="3:5" ht="14.1" customHeight="1">
      <c r="C3075">
        <v>2050</v>
      </c>
      <c r="D3075" t="s">
        <v>2779</v>
      </c>
      <c r="E3075">
        <v>603</v>
      </c>
    </row>
    <row r="3076" spans="3:5" ht="14.1" customHeight="1">
      <c r="C3076">
        <v>2818</v>
      </c>
      <c r="D3076" t="s">
        <v>2780</v>
      </c>
      <c r="E3076">
        <v>482</v>
      </c>
    </row>
    <row r="3077" spans="3:5" ht="14.1" customHeight="1">
      <c r="C3077">
        <v>2642</v>
      </c>
      <c r="D3077" t="s">
        <v>2781</v>
      </c>
      <c r="E3077">
        <v>592</v>
      </c>
    </row>
    <row r="3078" spans="3:5" ht="14.1" customHeight="1">
      <c r="C3078">
        <v>3122</v>
      </c>
      <c r="D3078" t="s">
        <v>2782</v>
      </c>
      <c r="E3078">
        <v>0</v>
      </c>
    </row>
    <row r="3079" spans="3:5" ht="14.1" customHeight="1">
      <c r="C3079">
        <v>1045</v>
      </c>
      <c r="D3079" t="s">
        <v>2783</v>
      </c>
      <c r="E3079">
        <v>889</v>
      </c>
    </row>
    <row r="3080" spans="3:5" ht="14.1" customHeight="1">
      <c r="C3080">
        <v>2512</v>
      </c>
      <c r="D3080" t="s">
        <v>2784</v>
      </c>
      <c r="E3080">
        <v>498</v>
      </c>
    </row>
    <row r="3081" spans="3:5" ht="14.1" customHeight="1">
      <c r="C3081">
        <v>1714</v>
      </c>
      <c r="D3081" t="s">
        <v>2785</v>
      </c>
      <c r="E3081">
        <v>0</v>
      </c>
    </row>
    <row r="3082" spans="3:5" ht="14.1" customHeight="1">
      <c r="C3082">
        <v>2038</v>
      </c>
      <c r="D3082" t="s">
        <v>2786</v>
      </c>
      <c r="E3082">
        <v>604</v>
      </c>
    </row>
    <row r="3083" spans="3:5" ht="14.1" customHeight="1">
      <c r="C3083">
        <v>4509</v>
      </c>
      <c r="D3083" t="s">
        <v>3716</v>
      </c>
      <c r="E3083">
        <v>710</v>
      </c>
    </row>
    <row r="3084" spans="3:5" ht="14.1" customHeight="1">
      <c r="C3084">
        <v>4652</v>
      </c>
      <c r="D3084" t="s">
        <v>4080</v>
      </c>
      <c r="E3084">
        <v>469</v>
      </c>
    </row>
    <row r="3085" spans="3:5" ht="14.1" customHeight="1">
      <c r="C3085">
        <v>170</v>
      </c>
      <c r="D3085" t="s">
        <v>214</v>
      </c>
      <c r="E3085">
        <v>694</v>
      </c>
    </row>
    <row r="3086" spans="3:5" ht="14.1" customHeight="1">
      <c r="C3086">
        <v>606</v>
      </c>
      <c r="D3086" t="s">
        <v>689</v>
      </c>
      <c r="E3086">
        <v>452</v>
      </c>
    </row>
    <row r="3087" spans="3:5" ht="14.1" customHeight="1">
      <c r="C3087">
        <v>3040</v>
      </c>
      <c r="D3087" t="s">
        <v>2787</v>
      </c>
      <c r="E3087">
        <v>0</v>
      </c>
    </row>
    <row r="3088" spans="3:5" ht="14.1" customHeight="1">
      <c r="C3088">
        <v>4440</v>
      </c>
      <c r="D3088" t="s">
        <v>3717</v>
      </c>
      <c r="E3088">
        <v>409</v>
      </c>
    </row>
    <row r="3089" spans="3:5" ht="14.1" customHeight="1">
      <c r="C3089">
        <v>529</v>
      </c>
      <c r="D3089" t="s">
        <v>690</v>
      </c>
      <c r="E3089">
        <v>570</v>
      </c>
    </row>
    <row r="3090" spans="3:5" ht="14.1" customHeight="1">
      <c r="C3090">
        <v>1632</v>
      </c>
      <c r="D3090" t="s">
        <v>2788</v>
      </c>
      <c r="E3090">
        <v>538</v>
      </c>
    </row>
    <row r="3091" spans="3:5" ht="14.1" customHeight="1">
      <c r="C3091">
        <v>2529</v>
      </c>
      <c r="D3091" t="s">
        <v>2789</v>
      </c>
      <c r="E3091">
        <v>550</v>
      </c>
    </row>
    <row r="3092" spans="3:5" ht="14.1" customHeight="1">
      <c r="C3092">
        <v>732</v>
      </c>
      <c r="D3092" t="s">
        <v>691</v>
      </c>
      <c r="E3092">
        <v>855</v>
      </c>
    </row>
    <row r="3093" spans="3:5" ht="14.1" customHeight="1">
      <c r="C3093">
        <v>909</v>
      </c>
      <c r="D3093" t="s">
        <v>692</v>
      </c>
      <c r="E3093">
        <v>393</v>
      </c>
    </row>
    <row r="3094" spans="3:5" ht="14.1" customHeight="1">
      <c r="C3094">
        <v>2704</v>
      </c>
      <c r="D3094" t="s">
        <v>2790</v>
      </c>
      <c r="E3094">
        <v>472</v>
      </c>
    </row>
    <row r="3095" spans="3:5" ht="14.1" customHeight="1">
      <c r="C3095">
        <v>2398</v>
      </c>
      <c r="D3095" t="s">
        <v>2791</v>
      </c>
      <c r="E3095">
        <v>410</v>
      </c>
    </row>
    <row r="3096" spans="3:5" ht="14.1" customHeight="1">
      <c r="C3096">
        <v>1855</v>
      </c>
      <c r="D3096" t="s">
        <v>2792</v>
      </c>
      <c r="E3096">
        <v>734</v>
      </c>
    </row>
    <row r="3097" spans="3:5" ht="14.1" customHeight="1">
      <c r="C3097">
        <v>1051</v>
      </c>
      <c r="D3097" t="s">
        <v>2793</v>
      </c>
      <c r="E3097">
        <v>724</v>
      </c>
    </row>
    <row r="3098" spans="3:5" ht="14.1" customHeight="1">
      <c r="C3098">
        <v>4912</v>
      </c>
      <c r="D3098" t="s">
        <v>4081</v>
      </c>
      <c r="E3098">
        <v>502</v>
      </c>
    </row>
    <row r="3099" spans="3:5" ht="14.1" customHeight="1">
      <c r="C3099">
        <v>2506</v>
      </c>
      <c r="D3099" t="s">
        <v>2794</v>
      </c>
      <c r="E3099">
        <v>376</v>
      </c>
    </row>
    <row r="3100" spans="3:5" ht="14.1" customHeight="1">
      <c r="C3100">
        <v>156</v>
      </c>
      <c r="D3100" t="s">
        <v>693</v>
      </c>
      <c r="E3100">
        <v>848</v>
      </c>
    </row>
    <row r="3101" spans="3:5" ht="14.1" customHeight="1">
      <c r="C3101">
        <v>4436</v>
      </c>
      <c r="D3101" t="s">
        <v>3718</v>
      </c>
      <c r="E3101">
        <v>421</v>
      </c>
    </row>
    <row r="3102" spans="3:5" ht="14.1" customHeight="1">
      <c r="C3102">
        <v>1205</v>
      </c>
      <c r="D3102" t="s">
        <v>2795</v>
      </c>
      <c r="E3102">
        <v>628</v>
      </c>
    </row>
    <row r="3103" spans="3:5" ht="14.1" customHeight="1">
      <c r="C3103">
        <v>1204</v>
      </c>
      <c r="D3103" t="s">
        <v>2796</v>
      </c>
      <c r="E3103">
        <v>462</v>
      </c>
    </row>
    <row r="3104" spans="3:5" ht="14.1" customHeight="1">
      <c r="C3104">
        <v>2460</v>
      </c>
      <c r="D3104" t="s">
        <v>2797</v>
      </c>
      <c r="E3104">
        <v>664</v>
      </c>
    </row>
    <row r="3105" spans="3:5" ht="14.1" customHeight="1">
      <c r="C3105">
        <v>5027</v>
      </c>
      <c r="D3105" t="s">
        <v>4333</v>
      </c>
      <c r="E3105">
        <v>623</v>
      </c>
    </row>
    <row r="3106" spans="3:5" ht="14.1" customHeight="1">
      <c r="C3106">
        <v>2923</v>
      </c>
      <c r="D3106" t="s">
        <v>2798</v>
      </c>
      <c r="E3106">
        <v>598</v>
      </c>
    </row>
    <row r="3107" spans="3:5" ht="14.1" customHeight="1">
      <c r="C3107">
        <v>1647</v>
      </c>
      <c r="D3107" t="s">
        <v>2799</v>
      </c>
      <c r="E3107">
        <v>438</v>
      </c>
    </row>
    <row r="3108" spans="3:5" ht="14.1" customHeight="1">
      <c r="C3108">
        <v>4345</v>
      </c>
      <c r="D3108" t="s">
        <v>2800</v>
      </c>
      <c r="E3108">
        <v>511</v>
      </c>
    </row>
    <row r="3109" spans="3:5" ht="14.1" customHeight="1">
      <c r="C3109">
        <v>4380</v>
      </c>
      <c r="D3109" t="s">
        <v>3719</v>
      </c>
      <c r="E3109">
        <v>397</v>
      </c>
    </row>
    <row r="3110" spans="3:5" ht="14.1" customHeight="1">
      <c r="C3110">
        <v>4324</v>
      </c>
      <c r="D3110" t="s">
        <v>2801</v>
      </c>
      <c r="E3110">
        <v>489</v>
      </c>
    </row>
    <row r="3111" spans="3:5" ht="14.1" customHeight="1">
      <c r="C3111">
        <v>733</v>
      </c>
      <c r="D3111" t="s">
        <v>694</v>
      </c>
      <c r="E3111">
        <v>767</v>
      </c>
    </row>
    <row r="3112" spans="3:5" ht="14.1" customHeight="1">
      <c r="C3112">
        <v>2172</v>
      </c>
      <c r="D3112" t="s">
        <v>2802</v>
      </c>
      <c r="E3112">
        <v>633</v>
      </c>
    </row>
    <row r="3113" spans="3:5" ht="14.1" customHeight="1">
      <c r="C3113">
        <v>227</v>
      </c>
      <c r="D3113" t="s">
        <v>2803</v>
      </c>
      <c r="E3113">
        <v>529</v>
      </c>
    </row>
    <row r="3114" spans="3:5" ht="14.1" customHeight="1">
      <c r="C3114">
        <v>5054</v>
      </c>
      <c r="D3114" t="s">
        <v>4334</v>
      </c>
      <c r="E3114">
        <v>407</v>
      </c>
    </row>
    <row r="3115" spans="3:5" ht="14.1" customHeight="1">
      <c r="C3115">
        <v>4899</v>
      </c>
      <c r="D3115" t="s">
        <v>4082</v>
      </c>
      <c r="E3115">
        <v>535</v>
      </c>
    </row>
    <row r="3116" spans="3:5" ht="14.1" customHeight="1">
      <c r="C3116">
        <v>219</v>
      </c>
      <c r="D3116" t="s">
        <v>215</v>
      </c>
      <c r="E3116">
        <v>681</v>
      </c>
    </row>
    <row r="3117" spans="3:5" ht="14.1" customHeight="1">
      <c r="C3117">
        <v>460</v>
      </c>
      <c r="D3117" t="s">
        <v>280</v>
      </c>
      <c r="E3117">
        <v>354</v>
      </c>
    </row>
    <row r="3118" spans="3:5" ht="14.1" customHeight="1">
      <c r="C3118">
        <v>2903</v>
      </c>
      <c r="D3118" t="s">
        <v>2804</v>
      </c>
      <c r="E3118">
        <v>363</v>
      </c>
    </row>
    <row r="3119" spans="3:5" ht="14.1" customHeight="1">
      <c r="C3119">
        <v>2530</v>
      </c>
      <c r="D3119" t="s">
        <v>2805</v>
      </c>
      <c r="E3119">
        <v>540</v>
      </c>
    </row>
    <row r="3120" spans="3:5" ht="14.1" customHeight="1">
      <c r="C3120">
        <v>4579</v>
      </c>
      <c r="D3120" t="s">
        <v>3720</v>
      </c>
      <c r="E3120">
        <v>421</v>
      </c>
    </row>
    <row r="3121" spans="3:5" ht="14.1" customHeight="1">
      <c r="C3121">
        <v>2608</v>
      </c>
      <c r="D3121" t="s">
        <v>2806</v>
      </c>
      <c r="E3121">
        <v>470</v>
      </c>
    </row>
    <row r="3122" spans="3:5" ht="14.1" customHeight="1">
      <c r="C3122">
        <v>2609</v>
      </c>
      <c r="D3122" t="s">
        <v>2807</v>
      </c>
      <c r="E3122">
        <v>401</v>
      </c>
    </row>
    <row r="3123" spans="3:5" ht="14.1" customHeight="1">
      <c r="C3123">
        <v>1245</v>
      </c>
      <c r="D3123" t="s">
        <v>2808</v>
      </c>
      <c r="E3123">
        <v>397</v>
      </c>
    </row>
    <row r="3124" spans="3:5" ht="14.1" customHeight="1">
      <c r="C3124">
        <v>2183</v>
      </c>
      <c r="D3124" t="s">
        <v>2809</v>
      </c>
      <c r="E3124">
        <v>436</v>
      </c>
    </row>
    <row r="3125" spans="3:5" ht="14.1" customHeight="1">
      <c r="C3125">
        <v>4184</v>
      </c>
      <c r="D3125" t="s">
        <v>2810</v>
      </c>
      <c r="E3125">
        <v>405</v>
      </c>
    </row>
    <row r="3126" spans="3:5" ht="14.1" customHeight="1">
      <c r="C3126">
        <v>4185</v>
      </c>
      <c r="D3126" t="s">
        <v>2811</v>
      </c>
      <c r="E3126">
        <v>405</v>
      </c>
    </row>
    <row r="3127" spans="3:5" ht="14.1" customHeight="1">
      <c r="C3127">
        <v>714</v>
      </c>
      <c r="D3127" t="s">
        <v>695</v>
      </c>
      <c r="E3127">
        <v>738</v>
      </c>
    </row>
    <row r="3128" spans="3:5" ht="14.1" customHeight="1">
      <c r="C3128">
        <v>2978</v>
      </c>
      <c r="D3128" t="s">
        <v>2812</v>
      </c>
      <c r="E3128">
        <v>539</v>
      </c>
    </row>
    <row r="3129" spans="3:5" ht="14.1" customHeight="1">
      <c r="C3129">
        <v>4168</v>
      </c>
      <c r="D3129" t="s">
        <v>2813</v>
      </c>
      <c r="E3129">
        <v>945</v>
      </c>
    </row>
    <row r="3130" spans="3:5" ht="14.1" customHeight="1">
      <c r="C3130">
        <v>2139</v>
      </c>
      <c r="D3130" t="s">
        <v>2814</v>
      </c>
      <c r="E3130">
        <v>391</v>
      </c>
    </row>
    <row r="3131" spans="3:5" ht="14.1" customHeight="1">
      <c r="C3131">
        <v>3245</v>
      </c>
      <c r="D3131" t="s">
        <v>2815</v>
      </c>
      <c r="E3131">
        <v>0</v>
      </c>
    </row>
    <row r="3132" spans="3:5" ht="14.1" customHeight="1">
      <c r="C3132">
        <v>4435</v>
      </c>
      <c r="D3132" t="s">
        <v>3721</v>
      </c>
      <c r="E3132">
        <v>434</v>
      </c>
    </row>
    <row r="3133" spans="3:5" ht="14.1" customHeight="1">
      <c r="C3133">
        <v>2425</v>
      </c>
      <c r="D3133" t="s">
        <v>2816</v>
      </c>
      <c r="E3133">
        <v>699</v>
      </c>
    </row>
    <row r="3134" spans="3:5" ht="14.1" customHeight="1">
      <c r="C3134">
        <v>1982</v>
      </c>
      <c r="D3134" t="s">
        <v>2817</v>
      </c>
      <c r="E3134">
        <v>497</v>
      </c>
    </row>
    <row r="3135" spans="3:5" ht="14.1" customHeight="1">
      <c r="C3135">
        <v>1983</v>
      </c>
      <c r="D3135" t="s">
        <v>2818</v>
      </c>
      <c r="E3135">
        <v>498</v>
      </c>
    </row>
    <row r="3136" spans="3:5" ht="14.1" customHeight="1">
      <c r="C3136">
        <v>3191</v>
      </c>
      <c r="D3136" t="s">
        <v>2819</v>
      </c>
      <c r="E3136">
        <v>0</v>
      </c>
    </row>
    <row r="3137" spans="3:5" ht="14.1" customHeight="1">
      <c r="C3137">
        <v>3003</v>
      </c>
      <c r="D3137" t="s">
        <v>2820</v>
      </c>
      <c r="E3137">
        <v>0</v>
      </c>
    </row>
    <row r="3138" spans="3:5" ht="14.1" customHeight="1">
      <c r="C3138">
        <v>2928</v>
      </c>
      <c r="D3138" t="s">
        <v>2821</v>
      </c>
      <c r="E3138">
        <v>621</v>
      </c>
    </row>
    <row r="3139" spans="3:5" ht="14.1" customHeight="1">
      <c r="C3139">
        <v>2767</v>
      </c>
      <c r="D3139" t="s">
        <v>2822</v>
      </c>
      <c r="E3139">
        <v>640</v>
      </c>
    </row>
    <row r="3140" spans="3:5" ht="14.1" customHeight="1">
      <c r="C3140">
        <v>4293</v>
      </c>
      <c r="D3140" t="s">
        <v>2823</v>
      </c>
      <c r="E3140">
        <v>510</v>
      </c>
    </row>
    <row r="3141" spans="3:5" ht="14.1" customHeight="1">
      <c r="C3141">
        <v>4686</v>
      </c>
      <c r="D3141" t="s">
        <v>4083</v>
      </c>
      <c r="E3141">
        <v>0</v>
      </c>
    </row>
    <row r="3142" spans="3:5" ht="14.1" customHeight="1">
      <c r="C3142">
        <v>490</v>
      </c>
      <c r="D3142" t="s">
        <v>696</v>
      </c>
      <c r="E3142">
        <v>617</v>
      </c>
    </row>
    <row r="3143" spans="3:5" ht="14.1" customHeight="1">
      <c r="C3143">
        <v>2319</v>
      </c>
      <c r="D3143" t="s">
        <v>2824</v>
      </c>
      <c r="E3143">
        <v>587</v>
      </c>
    </row>
    <row r="3144" spans="3:5" ht="14.1" customHeight="1">
      <c r="C3144">
        <v>2498</v>
      </c>
      <c r="D3144" t="s">
        <v>2825</v>
      </c>
      <c r="E3144">
        <v>595</v>
      </c>
    </row>
    <row r="3145" spans="3:5" ht="14.1" customHeight="1">
      <c r="C3145">
        <v>5011</v>
      </c>
      <c r="D3145" t="s">
        <v>4084</v>
      </c>
      <c r="E3145">
        <v>605</v>
      </c>
    </row>
    <row r="3146" spans="3:5" ht="14.1" customHeight="1">
      <c r="C3146">
        <v>80</v>
      </c>
      <c r="D3146" t="s">
        <v>697</v>
      </c>
      <c r="E3146">
        <v>549</v>
      </c>
    </row>
    <row r="3147" spans="3:5" ht="14.1" customHeight="1">
      <c r="C3147">
        <v>388</v>
      </c>
      <c r="D3147" t="s">
        <v>216</v>
      </c>
      <c r="E3147">
        <v>480</v>
      </c>
    </row>
    <row r="3148" spans="3:5" ht="14.1" customHeight="1">
      <c r="C3148">
        <v>3001</v>
      </c>
      <c r="D3148" t="s">
        <v>2826</v>
      </c>
      <c r="E3148">
        <v>0</v>
      </c>
    </row>
    <row r="3149" spans="3:5" ht="14.1" customHeight="1">
      <c r="C3149">
        <v>486</v>
      </c>
      <c r="D3149" t="s">
        <v>2827</v>
      </c>
      <c r="E3149">
        <v>792</v>
      </c>
    </row>
    <row r="3150" spans="3:5" ht="14.1" customHeight="1">
      <c r="C3150">
        <v>4484</v>
      </c>
      <c r="D3150" t="s">
        <v>3722</v>
      </c>
      <c r="E3150">
        <v>375</v>
      </c>
    </row>
    <row r="3151" spans="3:5" ht="14.1" customHeight="1">
      <c r="C3151">
        <v>2884</v>
      </c>
      <c r="D3151" t="s">
        <v>2828</v>
      </c>
      <c r="E3151">
        <v>0</v>
      </c>
    </row>
    <row r="3152" spans="3:5" ht="14.1" customHeight="1">
      <c r="C3152">
        <v>2848</v>
      </c>
      <c r="D3152" t="s">
        <v>2829</v>
      </c>
      <c r="E3152">
        <v>451</v>
      </c>
    </row>
    <row r="3153" spans="3:5" ht="14.1" customHeight="1">
      <c r="C3153">
        <v>108</v>
      </c>
      <c r="D3153" t="s">
        <v>217</v>
      </c>
      <c r="E3153">
        <v>945</v>
      </c>
    </row>
    <row r="3154" spans="3:5" ht="14.1" customHeight="1">
      <c r="C3154">
        <v>1981</v>
      </c>
      <c r="D3154" t="s">
        <v>2830</v>
      </c>
      <c r="E3154">
        <v>471</v>
      </c>
    </row>
    <row r="3155" spans="3:5" ht="14.1" customHeight="1">
      <c r="C3155">
        <v>4276</v>
      </c>
      <c r="D3155" t="s">
        <v>2831</v>
      </c>
      <c r="E3155">
        <v>500</v>
      </c>
    </row>
    <row r="3156" spans="3:5" ht="14.1" customHeight="1">
      <c r="C3156">
        <v>377</v>
      </c>
      <c r="D3156" t="s">
        <v>218</v>
      </c>
      <c r="E3156">
        <v>540</v>
      </c>
    </row>
    <row r="3157" spans="3:5" ht="14.1" customHeight="1">
      <c r="C3157">
        <v>3214</v>
      </c>
      <c r="D3157" t="s">
        <v>2832</v>
      </c>
      <c r="E3157">
        <v>0</v>
      </c>
    </row>
    <row r="3158" spans="3:5" ht="14.1" customHeight="1">
      <c r="C3158">
        <v>3350</v>
      </c>
      <c r="D3158" t="s">
        <v>2833</v>
      </c>
      <c r="E3158">
        <v>491</v>
      </c>
    </row>
    <row r="3159" spans="3:5" ht="14.1" customHeight="1">
      <c r="C3159">
        <v>5164</v>
      </c>
      <c r="D3159" t="s">
        <v>4335</v>
      </c>
      <c r="E3159">
        <v>0</v>
      </c>
    </row>
    <row r="3160" spans="3:5" ht="14.1" customHeight="1">
      <c r="C3160">
        <v>1562</v>
      </c>
      <c r="D3160" t="s">
        <v>2834</v>
      </c>
      <c r="E3160">
        <v>473</v>
      </c>
    </row>
    <row r="3161" spans="3:5" ht="14.1" customHeight="1">
      <c r="C3161">
        <v>3308</v>
      </c>
      <c r="D3161" t="s">
        <v>2835</v>
      </c>
      <c r="E3161">
        <v>0</v>
      </c>
    </row>
    <row r="3162" spans="3:5" ht="14.1" customHeight="1">
      <c r="C3162">
        <v>1064</v>
      </c>
      <c r="D3162" t="s">
        <v>2836</v>
      </c>
      <c r="E3162">
        <v>849</v>
      </c>
    </row>
    <row r="3163" spans="3:5" ht="14.1" customHeight="1">
      <c r="C3163">
        <v>913</v>
      </c>
      <c r="D3163" t="s">
        <v>698</v>
      </c>
      <c r="E3163">
        <v>468</v>
      </c>
    </row>
    <row r="3164" spans="3:5" ht="14.1" customHeight="1">
      <c r="C3164">
        <v>505</v>
      </c>
      <c r="D3164" t="s">
        <v>699</v>
      </c>
      <c r="E3164">
        <v>794</v>
      </c>
    </row>
    <row r="3165" spans="3:5" ht="14.1" customHeight="1">
      <c r="C3165">
        <v>1088</v>
      </c>
      <c r="D3165" t="s">
        <v>2837</v>
      </c>
      <c r="E3165">
        <v>578</v>
      </c>
    </row>
    <row r="3166" spans="3:5" ht="14.1" customHeight="1">
      <c r="C3166">
        <v>2720</v>
      </c>
      <c r="D3166" t="s">
        <v>2838</v>
      </c>
      <c r="E3166">
        <v>425</v>
      </c>
    </row>
    <row r="3167" spans="3:5" ht="14.1" customHeight="1">
      <c r="C3167">
        <v>87</v>
      </c>
      <c r="D3167" t="s">
        <v>700</v>
      </c>
      <c r="E3167">
        <v>544</v>
      </c>
    </row>
    <row r="3168" spans="3:5" ht="14.1" customHeight="1">
      <c r="C3168">
        <v>1793</v>
      </c>
      <c r="D3168" t="s">
        <v>2839</v>
      </c>
      <c r="E3168">
        <v>489</v>
      </c>
    </row>
    <row r="3169" spans="3:5" ht="14.1" customHeight="1">
      <c r="C3169">
        <v>2982</v>
      </c>
      <c r="D3169" t="s">
        <v>2840</v>
      </c>
      <c r="E3169">
        <v>490</v>
      </c>
    </row>
    <row r="3170" spans="3:5" ht="14.1" customHeight="1">
      <c r="C3170">
        <v>1955</v>
      </c>
      <c r="D3170" t="s">
        <v>2841</v>
      </c>
      <c r="E3170">
        <v>582</v>
      </c>
    </row>
    <row r="3171" spans="3:5" ht="14.1" customHeight="1">
      <c r="C3171">
        <v>4836</v>
      </c>
      <c r="D3171" t="s">
        <v>4085</v>
      </c>
      <c r="E3171">
        <v>743</v>
      </c>
    </row>
    <row r="3172" spans="3:5" ht="14.1" customHeight="1">
      <c r="C3172">
        <v>1571</v>
      </c>
      <c r="D3172" t="s">
        <v>2842</v>
      </c>
      <c r="E3172">
        <v>446</v>
      </c>
    </row>
    <row r="3173" spans="3:5" ht="14.1" customHeight="1">
      <c r="C3173">
        <v>4967</v>
      </c>
      <c r="D3173" t="s">
        <v>4086</v>
      </c>
      <c r="E3173">
        <v>676</v>
      </c>
    </row>
    <row r="3174" spans="3:5" ht="14.1" customHeight="1">
      <c r="C3174">
        <v>2403</v>
      </c>
      <c r="D3174" t="s">
        <v>2843</v>
      </c>
      <c r="E3174">
        <v>378</v>
      </c>
    </row>
    <row r="3175" spans="3:5" ht="14.1" customHeight="1">
      <c r="C3175">
        <v>2370</v>
      </c>
      <c r="D3175" t="s">
        <v>2844</v>
      </c>
      <c r="E3175">
        <v>389</v>
      </c>
    </row>
    <row r="3176" spans="3:5" ht="14.1" customHeight="1">
      <c r="C3176">
        <v>653</v>
      </c>
      <c r="D3176" t="s">
        <v>701</v>
      </c>
      <c r="E3176">
        <v>488</v>
      </c>
    </row>
    <row r="3177" spans="3:5" ht="14.1" customHeight="1">
      <c r="C3177">
        <v>652</v>
      </c>
      <c r="D3177" t="s">
        <v>702</v>
      </c>
      <c r="E3177">
        <v>588</v>
      </c>
    </row>
    <row r="3178" spans="3:5" ht="14.1" customHeight="1">
      <c r="C3178">
        <v>5111</v>
      </c>
      <c r="D3178" t="s">
        <v>4336</v>
      </c>
      <c r="E3178">
        <v>294</v>
      </c>
    </row>
    <row r="3179" spans="3:5" ht="14.1" customHeight="1">
      <c r="C3179">
        <v>4859</v>
      </c>
      <c r="D3179" t="s">
        <v>4087</v>
      </c>
      <c r="E3179">
        <v>768</v>
      </c>
    </row>
    <row r="3180" spans="3:5" ht="14.1" customHeight="1">
      <c r="C3180">
        <v>1420</v>
      </c>
      <c r="D3180" t="s">
        <v>2845</v>
      </c>
      <c r="E3180">
        <v>659</v>
      </c>
    </row>
    <row r="3181" spans="3:5" ht="14.1" customHeight="1">
      <c r="C3181">
        <v>4869</v>
      </c>
      <c r="D3181" t="s">
        <v>4088</v>
      </c>
      <c r="E3181">
        <v>771</v>
      </c>
    </row>
    <row r="3182" spans="3:5" ht="14.1" customHeight="1">
      <c r="C3182">
        <v>570</v>
      </c>
      <c r="D3182" t="s">
        <v>703</v>
      </c>
      <c r="E3182">
        <v>553</v>
      </c>
    </row>
    <row r="3183" spans="3:5" ht="14.1" customHeight="1">
      <c r="C3183">
        <v>3314</v>
      </c>
      <c r="D3183" t="s">
        <v>2846</v>
      </c>
      <c r="E3183">
        <v>0</v>
      </c>
    </row>
    <row r="3184" spans="3:5" ht="14.1" customHeight="1">
      <c r="C3184">
        <v>4266</v>
      </c>
      <c r="D3184" t="s">
        <v>2847</v>
      </c>
      <c r="E3184">
        <v>448</v>
      </c>
    </row>
    <row r="3185" spans="3:5" ht="14.1" customHeight="1">
      <c r="C3185">
        <v>723</v>
      </c>
      <c r="D3185" t="s">
        <v>704</v>
      </c>
      <c r="E3185">
        <v>369</v>
      </c>
    </row>
    <row r="3186" spans="3:5" ht="14.1" customHeight="1">
      <c r="C3186">
        <v>4957</v>
      </c>
      <c r="D3186" t="s">
        <v>4089</v>
      </c>
      <c r="E3186">
        <v>414</v>
      </c>
    </row>
    <row r="3187" spans="3:5" ht="14.1" customHeight="1">
      <c r="C3187">
        <v>4961</v>
      </c>
      <c r="D3187" t="s">
        <v>4090</v>
      </c>
      <c r="E3187">
        <v>419</v>
      </c>
    </row>
    <row r="3188" spans="3:5" ht="14.1" customHeight="1">
      <c r="C3188">
        <v>2618</v>
      </c>
      <c r="D3188" t="s">
        <v>2848</v>
      </c>
      <c r="E3188">
        <v>499</v>
      </c>
    </row>
    <row r="3189" spans="3:5" ht="14.1" customHeight="1">
      <c r="C3189">
        <v>1102</v>
      </c>
      <c r="D3189" t="s">
        <v>2849</v>
      </c>
      <c r="E3189">
        <v>453</v>
      </c>
    </row>
    <row r="3190" spans="3:5" ht="14.1" customHeight="1">
      <c r="C3190">
        <v>78</v>
      </c>
      <c r="D3190" t="s">
        <v>219</v>
      </c>
      <c r="E3190">
        <v>591</v>
      </c>
    </row>
    <row r="3191" spans="3:5" ht="14.1" customHeight="1">
      <c r="C3191">
        <v>199</v>
      </c>
      <c r="D3191" t="s">
        <v>220</v>
      </c>
      <c r="E3191">
        <v>597</v>
      </c>
    </row>
    <row r="3192" spans="3:5" ht="14.1" customHeight="1">
      <c r="C3192">
        <v>2376</v>
      </c>
      <c r="D3192" t="s">
        <v>2850</v>
      </c>
      <c r="E3192">
        <v>405</v>
      </c>
    </row>
    <row r="3193" spans="3:5" ht="14.1" customHeight="1">
      <c r="C3193">
        <v>3313</v>
      </c>
      <c r="D3193" t="s">
        <v>2851</v>
      </c>
      <c r="E3193">
        <v>0</v>
      </c>
    </row>
    <row r="3194" spans="3:5" ht="14.1" customHeight="1">
      <c r="C3194">
        <v>1514</v>
      </c>
      <c r="D3194" t="s">
        <v>2852</v>
      </c>
      <c r="E3194">
        <v>777</v>
      </c>
    </row>
    <row r="3195" spans="3:5" ht="14.1" customHeight="1">
      <c r="C3195">
        <v>893</v>
      </c>
      <c r="D3195" t="s">
        <v>705</v>
      </c>
      <c r="E3195">
        <v>660</v>
      </c>
    </row>
    <row r="3196" spans="3:5" ht="14.1" customHeight="1">
      <c r="C3196">
        <v>1662</v>
      </c>
      <c r="D3196" t="s">
        <v>2853</v>
      </c>
      <c r="E3196">
        <v>802</v>
      </c>
    </row>
    <row r="3197" spans="3:5" ht="14.1" customHeight="1">
      <c r="C3197">
        <v>1761</v>
      </c>
      <c r="D3197" t="s">
        <v>2854</v>
      </c>
      <c r="E3197">
        <v>936</v>
      </c>
    </row>
    <row r="3198" spans="3:5" ht="14.1" customHeight="1">
      <c r="C3198">
        <v>1542</v>
      </c>
      <c r="D3198" t="s">
        <v>2855</v>
      </c>
      <c r="E3198">
        <v>925</v>
      </c>
    </row>
    <row r="3199" spans="3:5" ht="14.1" customHeight="1">
      <c r="C3199">
        <v>474</v>
      </c>
      <c r="D3199" t="s">
        <v>706</v>
      </c>
      <c r="E3199">
        <v>805</v>
      </c>
    </row>
    <row r="3200" spans="3:5" ht="14.1" customHeight="1">
      <c r="C3200">
        <v>1289</v>
      </c>
      <c r="D3200" t="s">
        <v>2856</v>
      </c>
      <c r="E3200">
        <v>467</v>
      </c>
    </row>
    <row r="3201" spans="3:5" ht="14.1" customHeight="1">
      <c r="C3201">
        <v>2899</v>
      </c>
      <c r="D3201" t="s">
        <v>2857</v>
      </c>
      <c r="E3201">
        <v>462</v>
      </c>
    </row>
    <row r="3202" spans="3:5" ht="14.1" customHeight="1">
      <c r="C3202">
        <v>3066</v>
      </c>
      <c r="D3202" t="s">
        <v>2858</v>
      </c>
      <c r="E3202">
        <v>0</v>
      </c>
    </row>
    <row r="3203" spans="3:5" ht="14.1" customHeight="1">
      <c r="C3203">
        <v>908</v>
      </c>
      <c r="D3203" t="s">
        <v>707</v>
      </c>
      <c r="E3203">
        <v>485</v>
      </c>
    </row>
    <row r="3204" spans="3:5" ht="14.1" customHeight="1">
      <c r="C3204">
        <v>2435</v>
      </c>
      <c r="D3204" t="s">
        <v>2859</v>
      </c>
      <c r="E3204">
        <v>878</v>
      </c>
    </row>
    <row r="3205" spans="3:5" ht="14.1" customHeight="1">
      <c r="C3205">
        <v>4886</v>
      </c>
      <c r="D3205" t="s">
        <v>4091</v>
      </c>
      <c r="E3205">
        <v>480</v>
      </c>
    </row>
    <row r="3206" spans="3:5" ht="14.1" customHeight="1">
      <c r="C3206">
        <v>2185</v>
      </c>
      <c r="D3206" t="s">
        <v>2860</v>
      </c>
      <c r="E3206">
        <v>513</v>
      </c>
    </row>
    <row r="3207" spans="3:5" ht="14.1" customHeight="1">
      <c r="C3207">
        <v>753</v>
      </c>
      <c r="D3207" t="s">
        <v>708</v>
      </c>
      <c r="E3207">
        <v>545</v>
      </c>
    </row>
    <row r="3208" spans="3:5" ht="14.1" customHeight="1">
      <c r="C3208">
        <v>1553</v>
      </c>
      <c r="D3208" t="s">
        <v>2861</v>
      </c>
      <c r="E3208">
        <v>625</v>
      </c>
    </row>
    <row r="3209" spans="3:5" ht="14.1" customHeight="1">
      <c r="C3209">
        <v>776</v>
      </c>
      <c r="D3209" t="s">
        <v>709</v>
      </c>
      <c r="E3209">
        <v>771</v>
      </c>
    </row>
    <row r="3210" spans="3:5" ht="14.1" customHeight="1">
      <c r="C3210">
        <v>1586</v>
      </c>
      <c r="D3210" t="s">
        <v>2862</v>
      </c>
      <c r="E3210">
        <v>574</v>
      </c>
    </row>
    <row r="3211" spans="3:5" ht="14.1" customHeight="1">
      <c r="C3211">
        <v>621</v>
      </c>
      <c r="D3211" t="s">
        <v>710</v>
      </c>
      <c r="E3211">
        <v>772</v>
      </c>
    </row>
    <row r="3212" spans="3:5" ht="14.1" customHeight="1">
      <c r="C3212">
        <v>4348</v>
      </c>
      <c r="D3212" t="s">
        <v>2863</v>
      </c>
      <c r="E3212">
        <v>638</v>
      </c>
    </row>
    <row r="3213" spans="3:5" ht="14.1" customHeight="1">
      <c r="C3213">
        <v>4419</v>
      </c>
      <c r="D3213" t="s">
        <v>3723</v>
      </c>
      <c r="E3213">
        <v>611</v>
      </c>
    </row>
    <row r="3214" spans="3:5" ht="14.1" customHeight="1">
      <c r="C3214">
        <v>563</v>
      </c>
      <c r="D3214" t="s">
        <v>711</v>
      </c>
      <c r="E3214">
        <v>584</v>
      </c>
    </row>
    <row r="3215" spans="3:5" ht="14.1" customHeight="1">
      <c r="C3215">
        <v>2436</v>
      </c>
      <c r="D3215" t="s">
        <v>2864</v>
      </c>
      <c r="E3215">
        <v>863</v>
      </c>
    </row>
    <row r="3216" spans="3:5" ht="14.1" customHeight="1">
      <c r="C3216">
        <v>1882</v>
      </c>
      <c r="D3216" t="s">
        <v>2865</v>
      </c>
      <c r="E3216">
        <v>504</v>
      </c>
    </row>
    <row r="3217" spans="3:5" ht="14.1" customHeight="1">
      <c r="C3217">
        <v>1944</v>
      </c>
      <c r="D3217" t="s">
        <v>2866</v>
      </c>
      <c r="E3217">
        <v>455</v>
      </c>
    </row>
    <row r="3218" spans="3:5" ht="14.1" customHeight="1">
      <c r="C3218">
        <v>2916</v>
      </c>
      <c r="D3218" t="s">
        <v>2867</v>
      </c>
      <c r="E3218">
        <v>774</v>
      </c>
    </row>
    <row r="3219" spans="3:5" ht="14.1" customHeight="1">
      <c r="C3219">
        <v>1272</v>
      </c>
      <c r="D3219" t="s">
        <v>2868</v>
      </c>
      <c r="E3219">
        <v>622</v>
      </c>
    </row>
    <row r="3220" spans="3:5" ht="14.1" customHeight="1">
      <c r="C3220">
        <v>229</v>
      </c>
      <c r="D3220" t="s">
        <v>712</v>
      </c>
      <c r="E3220">
        <v>423</v>
      </c>
    </row>
    <row r="3221" spans="3:5" ht="14.1" customHeight="1">
      <c r="C3221">
        <v>1994</v>
      </c>
      <c r="D3221" t="s">
        <v>2869</v>
      </c>
      <c r="E3221">
        <v>408</v>
      </c>
    </row>
    <row r="3222" spans="3:5" ht="14.1" customHeight="1">
      <c r="C3222">
        <v>718</v>
      </c>
      <c r="D3222" t="s">
        <v>221</v>
      </c>
      <c r="E3222">
        <v>558</v>
      </c>
    </row>
    <row r="3223" spans="3:5" ht="14.1" customHeight="1">
      <c r="C3223">
        <v>1811</v>
      </c>
      <c r="D3223" t="s">
        <v>2870</v>
      </c>
      <c r="E3223">
        <v>542</v>
      </c>
    </row>
    <row r="3224" spans="3:5" ht="14.1" customHeight="1">
      <c r="C3224">
        <v>2932</v>
      </c>
      <c r="D3224" t="s">
        <v>2871</v>
      </c>
      <c r="E3224">
        <v>643</v>
      </c>
    </row>
    <row r="3225" spans="3:5" ht="14.1" customHeight="1">
      <c r="C3225">
        <v>2079</v>
      </c>
      <c r="D3225" t="s">
        <v>2872</v>
      </c>
      <c r="E3225">
        <v>423</v>
      </c>
    </row>
    <row r="3226" spans="3:5" ht="14.1" customHeight="1">
      <c r="C3226">
        <v>47</v>
      </c>
      <c r="D3226" t="s">
        <v>222</v>
      </c>
      <c r="E3226">
        <v>641</v>
      </c>
    </row>
    <row r="3227" spans="3:5" ht="14.1" customHeight="1">
      <c r="C3227">
        <v>2992</v>
      </c>
      <c r="D3227" t="s">
        <v>2873</v>
      </c>
      <c r="E3227">
        <v>0</v>
      </c>
    </row>
    <row r="3228" spans="3:5" ht="14.1" customHeight="1">
      <c r="C3228">
        <v>4998</v>
      </c>
      <c r="D3228" t="s">
        <v>4092</v>
      </c>
      <c r="E3228">
        <v>544</v>
      </c>
    </row>
    <row r="3229" spans="3:5" ht="14.1" customHeight="1">
      <c r="C3229">
        <v>2026</v>
      </c>
      <c r="D3229" t="s">
        <v>2874</v>
      </c>
      <c r="E3229">
        <v>550</v>
      </c>
    </row>
    <row r="3230" spans="3:5" ht="14.1" customHeight="1">
      <c r="C3230">
        <v>5029</v>
      </c>
      <c r="D3230" t="s">
        <v>4337</v>
      </c>
      <c r="E3230">
        <v>367</v>
      </c>
    </row>
    <row r="3231" spans="3:5" ht="14.1" customHeight="1">
      <c r="C3231">
        <v>1407</v>
      </c>
      <c r="D3231" t="s">
        <v>2875</v>
      </c>
      <c r="E3231">
        <v>646</v>
      </c>
    </row>
    <row r="3232" spans="3:5" ht="14.1" customHeight="1">
      <c r="C3232">
        <v>1763</v>
      </c>
      <c r="D3232" t="s">
        <v>2876</v>
      </c>
      <c r="E3232">
        <v>973</v>
      </c>
    </row>
    <row r="3233" spans="3:5" ht="14.1" customHeight="1">
      <c r="C3233">
        <v>1510</v>
      </c>
      <c r="D3233" t="s">
        <v>2877</v>
      </c>
      <c r="E3233">
        <v>794</v>
      </c>
    </row>
    <row r="3234" spans="3:5" ht="14.1" customHeight="1">
      <c r="C3234">
        <v>1099</v>
      </c>
      <c r="D3234" t="s">
        <v>2878</v>
      </c>
      <c r="E3234">
        <v>522</v>
      </c>
    </row>
    <row r="3235" spans="3:5" ht="14.1" customHeight="1">
      <c r="C3235">
        <v>806</v>
      </c>
      <c r="D3235" t="s">
        <v>713</v>
      </c>
      <c r="E3235">
        <v>904</v>
      </c>
    </row>
    <row r="3236" spans="3:5" ht="14.1" customHeight="1">
      <c r="C3236">
        <v>1668</v>
      </c>
      <c r="D3236" t="s">
        <v>2879</v>
      </c>
      <c r="E3236">
        <v>0</v>
      </c>
    </row>
    <row r="3237" spans="3:5" ht="14.1" customHeight="1">
      <c r="C3237">
        <v>1513</v>
      </c>
      <c r="D3237" t="s">
        <v>2880</v>
      </c>
      <c r="E3237">
        <v>753</v>
      </c>
    </row>
    <row r="3238" spans="3:5" ht="14.1" customHeight="1">
      <c r="C3238">
        <v>1643</v>
      </c>
      <c r="D3238" t="s">
        <v>2881</v>
      </c>
      <c r="E3238">
        <v>579</v>
      </c>
    </row>
    <row r="3239" spans="3:5" ht="14.1" customHeight="1">
      <c r="C3239">
        <v>4241</v>
      </c>
      <c r="D3239" t="s">
        <v>2882</v>
      </c>
      <c r="E3239">
        <v>389</v>
      </c>
    </row>
    <row r="3240" spans="3:5" ht="14.1" customHeight="1">
      <c r="C3240">
        <v>1597</v>
      </c>
      <c r="D3240" t="s">
        <v>2883</v>
      </c>
      <c r="E3240">
        <v>423</v>
      </c>
    </row>
    <row r="3241" spans="3:5" ht="14.1" customHeight="1">
      <c r="C3241">
        <v>1566</v>
      </c>
      <c r="D3241" t="s">
        <v>2884</v>
      </c>
      <c r="E3241">
        <v>501</v>
      </c>
    </row>
    <row r="3242" spans="3:5" ht="14.1" customHeight="1">
      <c r="C3242">
        <v>2065</v>
      </c>
      <c r="D3242" t="s">
        <v>2885</v>
      </c>
      <c r="E3242">
        <v>1087</v>
      </c>
    </row>
    <row r="3243" spans="3:5" ht="14.1" customHeight="1">
      <c r="C3243">
        <v>890</v>
      </c>
      <c r="D3243" t="s">
        <v>714</v>
      </c>
      <c r="E3243">
        <v>589</v>
      </c>
    </row>
    <row r="3244" spans="3:5" ht="14.1" customHeight="1">
      <c r="C3244">
        <v>1552</v>
      </c>
      <c r="D3244" t="s">
        <v>2886</v>
      </c>
      <c r="E3244">
        <v>434</v>
      </c>
    </row>
    <row r="3245" spans="3:5" ht="14.1" customHeight="1">
      <c r="C3245">
        <v>1026</v>
      </c>
      <c r="D3245" t="s">
        <v>2887</v>
      </c>
      <c r="E3245">
        <v>400</v>
      </c>
    </row>
    <row r="3246" spans="3:5" ht="14.1" customHeight="1">
      <c r="C3246">
        <v>1027</v>
      </c>
      <c r="D3246" t="s">
        <v>2888</v>
      </c>
      <c r="E3246">
        <v>400</v>
      </c>
    </row>
    <row r="3247" spans="3:5" ht="14.1" customHeight="1">
      <c r="C3247">
        <v>4847</v>
      </c>
      <c r="D3247" t="s">
        <v>4093</v>
      </c>
      <c r="E3247">
        <v>0</v>
      </c>
    </row>
    <row r="3248" spans="3:5" ht="14.1" customHeight="1">
      <c r="C3248">
        <v>357</v>
      </c>
      <c r="D3248" t="s">
        <v>715</v>
      </c>
      <c r="E3248">
        <v>790</v>
      </c>
    </row>
    <row r="3249" spans="3:5" ht="14.1" customHeight="1">
      <c r="C3249">
        <v>403</v>
      </c>
      <c r="D3249" t="s">
        <v>716</v>
      </c>
      <c r="E3249">
        <v>582</v>
      </c>
    </row>
    <row r="3250" spans="3:5" ht="14.1" customHeight="1">
      <c r="C3250">
        <v>1653</v>
      </c>
      <c r="D3250" t="s">
        <v>2889</v>
      </c>
      <c r="E3250">
        <v>933</v>
      </c>
    </row>
    <row r="3251" spans="3:5" ht="14.1" customHeight="1">
      <c r="C3251">
        <v>2866</v>
      </c>
      <c r="D3251" t="s">
        <v>2890</v>
      </c>
      <c r="E3251">
        <v>371</v>
      </c>
    </row>
    <row r="3252" spans="3:5" ht="14.1" customHeight="1">
      <c r="C3252">
        <v>2181</v>
      </c>
      <c r="D3252" t="s">
        <v>2891</v>
      </c>
      <c r="E3252">
        <v>536</v>
      </c>
    </row>
    <row r="3253" spans="3:5" ht="14.1" customHeight="1">
      <c r="C3253">
        <v>2861</v>
      </c>
      <c r="D3253" t="s">
        <v>2892</v>
      </c>
      <c r="E3253">
        <v>397</v>
      </c>
    </row>
    <row r="3254" spans="3:5" ht="14.1" customHeight="1">
      <c r="C3254">
        <v>1113</v>
      </c>
      <c r="D3254" t="s">
        <v>2893</v>
      </c>
      <c r="E3254">
        <v>463</v>
      </c>
    </row>
    <row r="3255" spans="3:5" ht="14.1" customHeight="1">
      <c r="C3255">
        <v>719</v>
      </c>
      <c r="D3255" t="s">
        <v>717</v>
      </c>
      <c r="E3255">
        <v>578</v>
      </c>
    </row>
    <row r="3256" spans="3:5" ht="14.1" customHeight="1">
      <c r="C3256">
        <v>1734</v>
      </c>
      <c r="D3256" t="s">
        <v>2894</v>
      </c>
      <c r="E3256">
        <v>658</v>
      </c>
    </row>
    <row r="3257" spans="3:5" ht="14.1" customHeight="1">
      <c r="C3257">
        <v>1277</v>
      </c>
      <c r="D3257" t="s">
        <v>2895</v>
      </c>
      <c r="E3257">
        <v>418</v>
      </c>
    </row>
    <row r="3258" spans="3:5" ht="14.1" customHeight="1">
      <c r="C3258">
        <v>281</v>
      </c>
      <c r="D3258" t="s">
        <v>223</v>
      </c>
      <c r="E3258">
        <v>440</v>
      </c>
    </row>
    <row r="3259" spans="3:5" ht="14.1" customHeight="1">
      <c r="C3259">
        <v>462</v>
      </c>
      <c r="D3259" t="s">
        <v>718</v>
      </c>
      <c r="E3259">
        <v>687</v>
      </c>
    </row>
    <row r="3260" spans="3:5" ht="14.1" customHeight="1">
      <c r="C3260">
        <v>3226</v>
      </c>
      <c r="D3260" t="s">
        <v>2896</v>
      </c>
      <c r="E3260">
        <v>0</v>
      </c>
    </row>
    <row r="3261" spans="3:5" ht="14.1" customHeight="1">
      <c r="C3261">
        <v>2689</v>
      </c>
      <c r="D3261" t="s">
        <v>2897</v>
      </c>
      <c r="E3261">
        <v>685</v>
      </c>
    </row>
    <row r="3262" spans="3:5" ht="14.1" customHeight="1">
      <c r="C3262">
        <v>1434</v>
      </c>
      <c r="D3262" t="s">
        <v>2898</v>
      </c>
      <c r="E3262">
        <v>568</v>
      </c>
    </row>
    <row r="3263" spans="3:5" ht="14.1" customHeight="1">
      <c r="C3263">
        <v>1343</v>
      </c>
      <c r="D3263" t="s">
        <v>2899</v>
      </c>
      <c r="E3263">
        <v>522</v>
      </c>
    </row>
    <row r="3264" spans="3:5" ht="14.1" customHeight="1">
      <c r="C3264">
        <v>1725</v>
      </c>
      <c r="D3264" t="s">
        <v>2900</v>
      </c>
      <c r="E3264">
        <v>717</v>
      </c>
    </row>
    <row r="3265" spans="3:5" ht="14.1" customHeight="1">
      <c r="C3265">
        <v>1665</v>
      </c>
      <c r="D3265" t="s">
        <v>2901</v>
      </c>
      <c r="E3265">
        <v>648</v>
      </c>
    </row>
    <row r="3266" spans="3:5" ht="14.1" customHeight="1">
      <c r="C3266">
        <v>4747</v>
      </c>
      <c r="D3266" t="s">
        <v>4094</v>
      </c>
      <c r="E3266">
        <v>400</v>
      </c>
    </row>
    <row r="3267" spans="3:5" ht="14.1" customHeight="1">
      <c r="C3267">
        <v>2336</v>
      </c>
      <c r="D3267" t="s">
        <v>2902</v>
      </c>
      <c r="E3267">
        <v>486</v>
      </c>
    </row>
    <row r="3268" spans="3:5" ht="14.1" customHeight="1">
      <c r="C3268">
        <v>971</v>
      </c>
      <c r="D3268" t="s">
        <v>2903</v>
      </c>
      <c r="E3268">
        <v>393</v>
      </c>
    </row>
    <row r="3269" spans="3:5" ht="14.1" customHeight="1">
      <c r="C3269">
        <v>4835</v>
      </c>
      <c r="D3269" t="s">
        <v>4095</v>
      </c>
      <c r="E3269">
        <v>0</v>
      </c>
    </row>
    <row r="3270" spans="3:5" ht="14.1" customHeight="1">
      <c r="C3270">
        <v>57</v>
      </c>
      <c r="D3270" t="s">
        <v>2904</v>
      </c>
      <c r="E3270">
        <v>607</v>
      </c>
    </row>
    <row r="3271" spans="3:5" ht="14.1" customHeight="1">
      <c r="C3271">
        <v>2433</v>
      </c>
      <c r="D3271" t="s">
        <v>2905</v>
      </c>
      <c r="E3271">
        <v>884</v>
      </c>
    </row>
    <row r="3272" spans="3:5" ht="14.1" customHeight="1">
      <c r="C3272">
        <v>512</v>
      </c>
      <c r="D3272" t="s">
        <v>719</v>
      </c>
      <c r="E3272">
        <v>636</v>
      </c>
    </row>
    <row r="3273" spans="3:5" ht="14.1" customHeight="1">
      <c r="C3273">
        <v>3069</v>
      </c>
      <c r="D3273" t="s">
        <v>2906</v>
      </c>
      <c r="E3273">
        <v>0</v>
      </c>
    </row>
    <row r="3274" spans="3:5" ht="14.1" customHeight="1">
      <c r="C3274">
        <v>5116</v>
      </c>
      <c r="D3274" t="s">
        <v>4338</v>
      </c>
      <c r="E3274">
        <v>314</v>
      </c>
    </row>
    <row r="3275" spans="3:5" ht="14.1" customHeight="1">
      <c r="C3275">
        <v>2177</v>
      </c>
      <c r="D3275" t="s">
        <v>2907</v>
      </c>
      <c r="E3275">
        <v>506</v>
      </c>
    </row>
    <row r="3276" spans="3:5" ht="14.1" customHeight="1">
      <c r="C3276">
        <v>345</v>
      </c>
      <c r="D3276" t="s">
        <v>720</v>
      </c>
      <c r="E3276">
        <v>946</v>
      </c>
    </row>
    <row r="3277" spans="3:5" ht="14.1" customHeight="1">
      <c r="C3277">
        <v>762</v>
      </c>
      <c r="D3277" t="s">
        <v>721</v>
      </c>
      <c r="E3277">
        <v>577</v>
      </c>
    </row>
    <row r="3278" spans="3:5" ht="14.1" customHeight="1">
      <c r="C3278">
        <v>4412</v>
      </c>
      <c r="D3278" t="s">
        <v>3724</v>
      </c>
      <c r="E3278">
        <v>478</v>
      </c>
    </row>
    <row r="3279" spans="3:5" ht="14.1" customHeight="1">
      <c r="C3279">
        <v>2043</v>
      </c>
      <c r="D3279" t="s">
        <v>2908</v>
      </c>
      <c r="E3279">
        <v>563</v>
      </c>
    </row>
    <row r="3280" spans="3:5" ht="14.1" customHeight="1">
      <c r="C3280">
        <v>222</v>
      </c>
      <c r="D3280" t="s">
        <v>224</v>
      </c>
      <c r="E3280">
        <v>529</v>
      </c>
    </row>
    <row r="3281" spans="3:5" ht="14.1" customHeight="1">
      <c r="C3281">
        <v>4204</v>
      </c>
      <c r="D3281" t="s">
        <v>2909</v>
      </c>
      <c r="E3281">
        <v>426</v>
      </c>
    </row>
    <row r="3282" spans="3:5" ht="14.1" customHeight="1">
      <c r="C3282">
        <v>3140</v>
      </c>
      <c r="D3282" t="s">
        <v>2910</v>
      </c>
      <c r="E3282">
        <v>0</v>
      </c>
    </row>
    <row r="3283" spans="3:5" ht="14.1" customHeight="1">
      <c r="C3283">
        <v>4874</v>
      </c>
      <c r="D3283" t="s">
        <v>4096</v>
      </c>
      <c r="E3283">
        <v>580</v>
      </c>
    </row>
    <row r="3284" spans="3:5" ht="14.1" customHeight="1">
      <c r="C3284">
        <v>3234</v>
      </c>
      <c r="D3284" t="s">
        <v>2911</v>
      </c>
      <c r="E3284">
        <v>0</v>
      </c>
    </row>
    <row r="3285" spans="3:5" ht="14.1" customHeight="1">
      <c r="C3285">
        <v>1487</v>
      </c>
      <c r="D3285" t="s">
        <v>2912</v>
      </c>
      <c r="E3285">
        <v>743</v>
      </c>
    </row>
    <row r="3286" spans="3:5" ht="14.1" customHeight="1">
      <c r="C3286">
        <v>688</v>
      </c>
      <c r="D3286" t="s">
        <v>722</v>
      </c>
      <c r="E3286">
        <v>793</v>
      </c>
    </row>
    <row r="3287" spans="3:5" ht="14.1" customHeight="1">
      <c r="C3287">
        <v>2125</v>
      </c>
      <c r="D3287" t="s">
        <v>2913</v>
      </c>
      <c r="E3287">
        <v>392</v>
      </c>
    </row>
    <row r="3288" spans="3:5" ht="14.1" customHeight="1">
      <c r="C3288">
        <v>3105</v>
      </c>
      <c r="D3288" t="s">
        <v>2914</v>
      </c>
      <c r="E3288">
        <v>0</v>
      </c>
    </row>
    <row r="3289" spans="3:5" ht="14.1" customHeight="1">
      <c r="C3289">
        <v>916</v>
      </c>
      <c r="D3289" t="s">
        <v>723</v>
      </c>
      <c r="E3289">
        <v>789</v>
      </c>
    </row>
    <row r="3290" spans="3:5" ht="14.1" customHeight="1">
      <c r="C3290">
        <v>4609</v>
      </c>
      <c r="D3290" t="s">
        <v>4097</v>
      </c>
      <c r="E3290">
        <v>0</v>
      </c>
    </row>
    <row r="3291" spans="3:5" ht="14.1" customHeight="1">
      <c r="C3291">
        <v>4974</v>
      </c>
      <c r="D3291" t="s">
        <v>4098</v>
      </c>
      <c r="E3291">
        <v>0</v>
      </c>
    </row>
    <row r="3292" spans="3:5" ht="14.1" customHeight="1">
      <c r="C3292">
        <v>4214</v>
      </c>
      <c r="D3292" t="s">
        <v>2915</v>
      </c>
      <c r="E3292">
        <v>446</v>
      </c>
    </row>
    <row r="3293" spans="3:5" ht="14.1" customHeight="1">
      <c r="C3293">
        <v>1028</v>
      </c>
      <c r="D3293" t="s">
        <v>2916</v>
      </c>
      <c r="E3293">
        <v>591</v>
      </c>
    </row>
    <row r="3294" spans="3:5" ht="14.1" customHeight="1">
      <c r="C3294">
        <v>4476</v>
      </c>
      <c r="D3294" t="s">
        <v>3725</v>
      </c>
      <c r="E3294">
        <v>420</v>
      </c>
    </row>
    <row r="3295" spans="3:5" ht="14.1" customHeight="1">
      <c r="C3295">
        <v>416</v>
      </c>
      <c r="D3295" t="s">
        <v>225</v>
      </c>
      <c r="E3295">
        <v>511</v>
      </c>
    </row>
    <row r="3296" spans="3:5" ht="14.1" customHeight="1">
      <c r="C3296">
        <v>1214</v>
      </c>
      <c r="D3296" t="s">
        <v>2917</v>
      </c>
      <c r="E3296">
        <v>999</v>
      </c>
    </row>
    <row r="3297" spans="3:5" ht="14.1" customHeight="1">
      <c r="C3297">
        <v>2346</v>
      </c>
      <c r="D3297" t="s">
        <v>2918</v>
      </c>
      <c r="E3297">
        <v>790</v>
      </c>
    </row>
    <row r="3298" spans="3:5" ht="14.1" customHeight="1">
      <c r="C3298">
        <v>1215</v>
      </c>
      <c r="D3298" t="s">
        <v>2919</v>
      </c>
      <c r="E3298">
        <v>0</v>
      </c>
    </row>
    <row r="3299" spans="3:5" ht="14.1" customHeight="1">
      <c r="C3299">
        <v>4501</v>
      </c>
      <c r="D3299" t="s">
        <v>3726</v>
      </c>
      <c r="E3299">
        <v>779</v>
      </c>
    </row>
    <row r="3300" spans="3:5" ht="14.1" customHeight="1">
      <c r="C3300">
        <v>3181</v>
      </c>
      <c r="D3300" t="s">
        <v>2920</v>
      </c>
      <c r="E3300">
        <v>0</v>
      </c>
    </row>
    <row r="3301" spans="3:5" ht="14.1" customHeight="1">
      <c r="C3301">
        <v>301</v>
      </c>
      <c r="D3301" t="s">
        <v>724</v>
      </c>
      <c r="E3301">
        <v>691</v>
      </c>
    </row>
    <row r="3302" spans="3:5" ht="14.1" customHeight="1">
      <c r="C3302">
        <v>1856</v>
      </c>
      <c r="D3302" t="s">
        <v>2921</v>
      </c>
      <c r="E3302">
        <v>582</v>
      </c>
    </row>
    <row r="3303" spans="3:5" ht="14.1" customHeight="1">
      <c r="C3303">
        <v>446</v>
      </c>
      <c r="D3303" t="s">
        <v>725</v>
      </c>
      <c r="E3303">
        <v>696</v>
      </c>
    </row>
    <row r="3304" spans="3:5" ht="14.1" customHeight="1">
      <c r="C3304">
        <v>1432</v>
      </c>
      <c r="D3304" t="s">
        <v>2922</v>
      </c>
      <c r="E3304">
        <v>450</v>
      </c>
    </row>
    <row r="3305" spans="3:5" ht="14.1" customHeight="1">
      <c r="C3305">
        <v>1788</v>
      </c>
      <c r="D3305" t="s">
        <v>2923</v>
      </c>
      <c r="E3305">
        <v>362</v>
      </c>
    </row>
    <row r="3306" spans="3:5" ht="14.1" customHeight="1">
      <c r="C3306">
        <v>3139</v>
      </c>
      <c r="D3306" t="s">
        <v>2924</v>
      </c>
      <c r="E3306">
        <v>0</v>
      </c>
    </row>
    <row r="3307" spans="3:5" ht="14.1" customHeight="1">
      <c r="C3307">
        <v>2611</v>
      </c>
      <c r="D3307" t="s">
        <v>2925</v>
      </c>
      <c r="E3307">
        <v>624</v>
      </c>
    </row>
    <row r="3308" spans="3:5" ht="14.1" customHeight="1">
      <c r="C3308">
        <v>4489</v>
      </c>
      <c r="D3308" t="s">
        <v>2926</v>
      </c>
      <c r="E3308">
        <v>374</v>
      </c>
    </row>
    <row r="3309" spans="3:5" ht="14.1" customHeight="1">
      <c r="C3309">
        <v>4515</v>
      </c>
      <c r="D3309" t="s">
        <v>3727</v>
      </c>
      <c r="E3309">
        <v>734</v>
      </c>
    </row>
    <row r="3310" spans="3:5" ht="14.1" customHeight="1">
      <c r="C3310">
        <v>2534</v>
      </c>
      <c r="D3310" t="s">
        <v>2927</v>
      </c>
      <c r="E3310">
        <v>600</v>
      </c>
    </row>
    <row r="3311" spans="3:5" ht="14.1" customHeight="1">
      <c r="C3311">
        <v>2913</v>
      </c>
      <c r="D3311" t="s">
        <v>2928</v>
      </c>
      <c r="E3311">
        <v>895</v>
      </c>
    </row>
    <row r="3312" spans="3:5" ht="14.1" customHeight="1">
      <c r="C3312">
        <v>604</v>
      </c>
      <c r="D3312" t="s">
        <v>726</v>
      </c>
      <c r="E3312">
        <v>443</v>
      </c>
    </row>
    <row r="3313" spans="3:5" ht="14.1" customHeight="1">
      <c r="C3313">
        <v>3063</v>
      </c>
      <c r="D3313" t="s">
        <v>2929</v>
      </c>
      <c r="E3313">
        <v>0</v>
      </c>
    </row>
    <row r="3314" spans="3:5" ht="14.1" customHeight="1">
      <c r="C3314">
        <v>1773</v>
      </c>
      <c r="D3314" t="s">
        <v>2930</v>
      </c>
      <c r="E3314">
        <v>492</v>
      </c>
    </row>
    <row r="3315" spans="3:5" ht="14.1" customHeight="1">
      <c r="C3315">
        <v>2924</v>
      </c>
      <c r="D3315" t="s">
        <v>2931</v>
      </c>
      <c r="E3315">
        <v>641</v>
      </c>
    </row>
    <row r="3316" spans="3:5" ht="14.1" customHeight="1">
      <c r="C3316">
        <v>4233</v>
      </c>
      <c r="D3316" t="s">
        <v>2932</v>
      </c>
      <c r="E3316">
        <v>455</v>
      </c>
    </row>
    <row r="3317" spans="3:5" ht="14.1" customHeight="1">
      <c r="C3317">
        <v>3144</v>
      </c>
      <c r="D3317" t="s">
        <v>2933</v>
      </c>
      <c r="E3317">
        <v>0</v>
      </c>
    </row>
    <row r="3318" spans="3:5" ht="14.1" customHeight="1">
      <c r="C3318">
        <v>1889</v>
      </c>
      <c r="D3318" t="s">
        <v>2934</v>
      </c>
      <c r="E3318">
        <v>461</v>
      </c>
    </row>
    <row r="3319" spans="3:5" ht="14.1" customHeight="1">
      <c r="C3319">
        <v>1389</v>
      </c>
      <c r="D3319" t="s">
        <v>2935</v>
      </c>
      <c r="E3319">
        <v>698</v>
      </c>
    </row>
    <row r="3320" spans="3:5" ht="14.1" customHeight="1">
      <c r="C3320">
        <v>4259</v>
      </c>
      <c r="D3320" t="s">
        <v>2936</v>
      </c>
      <c r="E3320">
        <v>448</v>
      </c>
    </row>
    <row r="3321" spans="3:5" ht="14.1" customHeight="1">
      <c r="C3321">
        <v>4274</v>
      </c>
      <c r="D3321" t="s">
        <v>2937</v>
      </c>
      <c r="E3321">
        <v>591</v>
      </c>
    </row>
    <row r="3322" spans="3:5" ht="14.1" customHeight="1">
      <c r="C3322">
        <v>4637</v>
      </c>
      <c r="D3322" t="s">
        <v>4099</v>
      </c>
      <c r="E3322">
        <v>473</v>
      </c>
    </row>
    <row r="3323" spans="3:5" ht="14.1" customHeight="1">
      <c r="C3323">
        <v>172</v>
      </c>
      <c r="D3323" t="s">
        <v>226</v>
      </c>
      <c r="E3323">
        <v>679</v>
      </c>
    </row>
    <row r="3324" spans="3:5" ht="14.1" customHeight="1">
      <c r="C3324">
        <v>2273</v>
      </c>
      <c r="D3324" t="s">
        <v>2938</v>
      </c>
      <c r="E3324">
        <v>432</v>
      </c>
    </row>
    <row r="3325" spans="3:5" ht="14.1" customHeight="1">
      <c r="C3325">
        <v>497</v>
      </c>
      <c r="D3325" t="s">
        <v>727</v>
      </c>
      <c r="E3325">
        <v>624</v>
      </c>
    </row>
    <row r="3326" spans="3:5" ht="14.1" customHeight="1">
      <c r="C3326">
        <v>3065</v>
      </c>
      <c r="D3326" t="s">
        <v>2939</v>
      </c>
      <c r="E3326">
        <v>0</v>
      </c>
    </row>
    <row r="3327" spans="3:5" ht="14.1" customHeight="1">
      <c r="C3327">
        <v>1071</v>
      </c>
      <c r="D3327" t="s">
        <v>2940</v>
      </c>
      <c r="E3327">
        <v>734</v>
      </c>
    </row>
    <row r="3328" spans="3:5" ht="14.1" customHeight="1">
      <c r="C3328">
        <v>495</v>
      </c>
      <c r="D3328" t="s">
        <v>728</v>
      </c>
      <c r="E3328">
        <v>549</v>
      </c>
    </row>
    <row r="3329" spans="3:5" ht="14.1" customHeight="1">
      <c r="C3329">
        <v>518</v>
      </c>
      <c r="D3329" t="s">
        <v>729</v>
      </c>
      <c r="E3329">
        <v>436</v>
      </c>
    </row>
    <row r="3330" spans="3:5" ht="14.1" customHeight="1">
      <c r="C3330">
        <v>1899</v>
      </c>
      <c r="D3330" t="s">
        <v>2941</v>
      </c>
      <c r="E3330">
        <v>596</v>
      </c>
    </row>
    <row r="3331" spans="3:5" ht="14.1" customHeight="1">
      <c r="C3331">
        <v>4360</v>
      </c>
      <c r="D3331" t="s">
        <v>3728</v>
      </c>
      <c r="E3331">
        <v>701</v>
      </c>
    </row>
    <row r="3332" spans="3:5" ht="14.1" customHeight="1">
      <c r="C3332">
        <v>4286</v>
      </c>
      <c r="D3332" t="s">
        <v>2942</v>
      </c>
      <c r="E3332">
        <v>466</v>
      </c>
    </row>
    <row r="3333" spans="3:5" ht="14.1" customHeight="1">
      <c r="C3333">
        <v>2308</v>
      </c>
      <c r="D3333" t="s">
        <v>2943</v>
      </c>
      <c r="E3333">
        <v>948</v>
      </c>
    </row>
    <row r="3334" spans="3:5" ht="14.1" customHeight="1">
      <c r="C3334">
        <v>4373</v>
      </c>
      <c r="D3334" t="s">
        <v>3729</v>
      </c>
      <c r="E3334">
        <v>487</v>
      </c>
    </row>
    <row r="3335" spans="3:5" ht="14.1" customHeight="1">
      <c r="C3335">
        <v>4950</v>
      </c>
      <c r="D3335" t="s">
        <v>4100</v>
      </c>
      <c r="E3335">
        <v>384</v>
      </c>
    </row>
    <row r="3336" spans="3:5" ht="14.1" customHeight="1">
      <c r="C3336">
        <v>2864</v>
      </c>
      <c r="D3336" t="s">
        <v>2944</v>
      </c>
      <c r="E3336">
        <v>448</v>
      </c>
    </row>
    <row r="3337" spans="3:5" ht="14.1" customHeight="1">
      <c r="C3337">
        <v>1377</v>
      </c>
      <c r="D3337" t="s">
        <v>2945</v>
      </c>
      <c r="E3337">
        <v>436</v>
      </c>
    </row>
    <row r="3338" spans="3:5" ht="14.1" customHeight="1">
      <c r="C3338">
        <v>1774</v>
      </c>
      <c r="D3338" t="s">
        <v>2946</v>
      </c>
      <c r="E3338">
        <v>492</v>
      </c>
    </row>
    <row r="3339" spans="3:5" ht="14.1" customHeight="1">
      <c r="C3339">
        <v>2352</v>
      </c>
      <c r="D3339" t="s">
        <v>2947</v>
      </c>
      <c r="E3339">
        <v>485</v>
      </c>
    </row>
    <row r="3340" spans="3:5" ht="14.1" customHeight="1">
      <c r="C3340">
        <v>2060</v>
      </c>
      <c r="D3340" t="s">
        <v>2948</v>
      </c>
      <c r="E3340">
        <v>1207</v>
      </c>
    </row>
    <row r="3341" spans="3:5" ht="14.1" customHeight="1">
      <c r="C3341">
        <v>399</v>
      </c>
      <c r="D3341" t="s">
        <v>227</v>
      </c>
      <c r="E3341">
        <v>569</v>
      </c>
    </row>
    <row r="3342" spans="3:5" ht="14.1" customHeight="1">
      <c r="C3342">
        <v>4506</v>
      </c>
      <c r="D3342" t="s">
        <v>3730</v>
      </c>
      <c r="E3342">
        <v>689</v>
      </c>
    </row>
    <row r="3343" spans="3:5" ht="14.1" customHeight="1">
      <c r="C3343">
        <v>52</v>
      </c>
      <c r="D3343" t="s">
        <v>730</v>
      </c>
      <c r="E3343">
        <v>579</v>
      </c>
    </row>
    <row r="3344" spans="3:5" ht="14.1" customHeight="1">
      <c r="C3344">
        <v>1364</v>
      </c>
      <c r="D3344" t="s">
        <v>2949</v>
      </c>
      <c r="E3344">
        <v>583</v>
      </c>
    </row>
    <row r="3345" spans="3:5" ht="14.1" customHeight="1">
      <c r="C3345">
        <v>4708</v>
      </c>
      <c r="D3345" t="s">
        <v>4101</v>
      </c>
      <c r="E3345">
        <v>401</v>
      </c>
    </row>
    <row r="3346" spans="3:5" ht="14.1" customHeight="1">
      <c r="C3346">
        <v>4629</v>
      </c>
      <c r="D3346" t="s">
        <v>4102</v>
      </c>
      <c r="E3346">
        <v>473</v>
      </c>
    </row>
    <row r="3347" spans="3:5" ht="14.1" customHeight="1">
      <c r="C3347">
        <v>2660</v>
      </c>
      <c r="D3347" t="s">
        <v>2950</v>
      </c>
      <c r="E3347">
        <v>636</v>
      </c>
    </row>
    <row r="3348" spans="3:5" ht="14.1" customHeight="1">
      <c r="C3348">
        <v>421</v>
      </c>
      <c r="D3348" t="s">
        <v>731</v>
      </c>
      <c r="E3348">
        <v>579</v>
      </c>
    </row>
    <row r="3349" spans="3:5" ht="14.1" customHeight="1">
      <c r="C3349">
        <v>1527</v>
      </c>
      <c r="D3349" t="s">
        <v>2951</v>
      </c>
      <c r="E3349">
        <v>743</v>
      </c>
    </row>
    <row r="3350" spans="3:5" ht="14.1" customHeight="1">
      <c r="C3350">
        <v>813</v>
      </c>
      <c r="D3350" t="s">
        <v>732</v>
      </c>
      <c r="E3350">
        <v>390</v>
      </c>
    </row>
    <row r="3351" spans="3:5" ht="14.1" customHeight="1">
      <c r="C3351">
        <v>1446</v>
      </c>
      <c r="D3351" t="s">
        <v>2952</v>
      </c>
      <c r="E3351">
        <v>573</v>
      </c>
    </row>
    <row r="3352" spans="3:5" ht="14.1" customHeight="1">
      <c r="C3352">
        <v>5042</v>
      </c>
      <c r="D3352" t="s">
        <v>4339</v>
      </c>
      <c r="E3352">
        <v>850</v>
      </c>
    </row>
    <row r="3353" spans="3:5" ht="14.1" customHeight="1">
      <c r="C3353">
        <v>4478</v>
      </c>
      <c r="D3353" t="s">
        <v>3731</v>
      </c>
      <c r="E3353">
        <v>447</v>
      </c>
    </row>
    <row r="3354" spans="3:5" ht="14.1" customHeight="1">
      <c r="C3354">
        <v>1724</v>
      </c>
      <c r="D3354" t="s">
        <v>2953</v>
      </c>
      <c r="E3354">
        <v>422</v>
      </c>
    </row>
    <row r="3355" spans="3:5" ht="14.1" customHeight="1">
      <c r="C3355">
        <v>4692</v>
      </c>
      <c r="D3355" t="s">
        <v>2954</v>
      </c>
      <c r="E3355">
        <v>585</v>
      </c>
    </row>
    <row r="3356" spans="3:5" ht="14.1" customHeight="1">
      <c r="C3356">
        <v>2945</v>
      </c>
      <c r="D3356" t="s">
        <v>2955</v>
      </c>
      <c r="E3356">
        <v>499</v>
      </c>
    </row>
    <row r="3357" spans="3:5" ht="14.1" customHeight="1">
      <c r="C3357">
        <v>2058</v>
      </c>
      <c r="D3357" t="s">
        <v>2956</v>
      </c>
      <c r="E3357">
        <v>583</v>
      </c>
    </row>
    <row r="3358" spans="3:5" ht="14.1" customHeight="1">
      <c r="C3358">
        <v>2904</v>
      </c>
      <c r="D3358" t="s">
        <v>2957</v>
      </c>
      <c r="E3358">
        <v>398</v>
      </c>
    </row>
    <row r="3359" spans="3:5" ht="14.1" customHeight="1">
      <c r="C3359">
        <v>1327</v>
      </c>
      <c r="D3359" t="s">
        <v>2958</v>
      </c>
      <c r="E3359">
        <v>499</v>
      </c>
    </row>
    <row r="3360" spans="3:5" ht="14.1" customHeight="1">
      <c r="C3360">
        <v>1324</v>
      </c>
      <c r="D3360" t="s">
        <v>2959</v>
      </c>
      <c r="E3360">
        <v>518</v>
      </c>
    </row>
    <row r="3361" spans="3:5" ht="14.1" customHeight="1">
      <c r="C3361">
        <v>1611</v>
      </c>
      <c r="D3361" t="s">
        <v>2960</v>
      </c>
      <c r="E3361">
        <v>675</v>
      </c>
    </row>
    <row r="3362" spans="3:5" ht="14.1" customHeight="1">
      <c r="C3362">
        <v>4386</v>
      </c>
      <c r="D3362" t="s">
        <v>3732</v>
      </c>
      <c r="E3362">
        <v>477</v>
      </c>
    </row>
    <row r="3363" spans="3:5" ht="14.1" customHeight="1">
      <c r="C3363">
        <v>37</v>
      </c>
      <c r="D3363" t="s">
        <v>733</v>
      </c>
      <c r="E3363">
        <v>1035</v>
      </c>
    </row>
    <row r="3364" spans="3:5" ht="14.1" customHeight="1">
      <c r="C3364">
        <v>4385</v>
      </c>
      <c r="D3364" t="s">
        <v>3733</v>
      </c>
      <c r="E3364">
        <v>515</v>
      </c>
    </row>
    <row r="3365" spans="3:5" ht="14.1" customHeight="1">
      <c r="C3365">
        <v>1719</v>
      </c>
      <c r="D3365" t="s">
        <v>2961</v>
      </c>
      <c r="E3365">
        <v>0</v>
      </c>
    </row>
    <row r="3366" spans="3:5" ht="14.1" customHeight="1">
      <c r="C3366">
        <v>2228</v>
      </c>
      <c r="D3366" t="s">
        <v>2962</v>
      </c>
      <c r="E3366">
        <v>473</v>
      </c>
    </row>
    <row r="3367" spans="3:5" ht="14.1" customHeight="1">
      <c r="C3367">
        <v>1612</v>
      </c>
      <c r="D3367" t="s">
        <v>2963</v>
      </c>
      <c r="E3367">
        <v>572</v>
      </c>
    </row>
    <row r="3368" spans="3:5" ht="14.1" customHeight="1">
      <c r="C3368">
        <v>1451</v>
      </c>
      <c r="D3368" t="s">
        <v>2964</v>
      </c>
      <c r="E3368">
        <v>622</v>
      </c>
    </row>
    <row r="3369" spans="3:5" ht="14.1" customHeight="1">
      <c r="C3369">
        <v>2326</v>
      </c>
      <c r="D3369" t="s">
        <v>2965</v>
      </c>
      <c r="E3369">
        <v>634</v>
      </c>
    </row>
    <row r="3370" spans="3:5" ht="14.1" customHeight="1">
      <c r="C3370">
        <v>318</v>
      </c>
      <c r="D3370" t="s">
        <v>228</v>
      </c>
      <c r="E3370">
        <v>506</v>
      </c>
    </row>
    <row r="3371" spans="3:5" ht="14.1" customHeight="1">
      <c r="C3371">
        <v>1070</v>
      </c>
      <c r="D3371" t="s">
        <v>2966</v>
      </c>
      <c r="E3371">
        <v>614</v>
      </c>
    </row>
    <row r="3372" spans="3:5" ht="14.1" customHeight="1">
      <c r="C3372">
        <v>2233</v>
      </c>
      <c r="D3372" t="s">
        <v>2967</v>
      </c>
      <c r="E3372">
        <v>405</v>
      </c>
    </row>
    <row r="3373" spans="3:5" ht="14.1" customHeight="1">
      <c r="C3373">
        <v>734</v>
      </c>
      <c r="D3373" t="s">
        <v>734</v>
      </c>
      <c r="E3373">
        <v>671</v>
      </c>
    </row>
    <row r="3374" spans="3:5" ht="14.1" customHeight="1">
      <c r="C3374">
        <v>391</v>
      </c>
      <c r="D3374" t="s">
        <v>735</v>
      </c>
      <c r="E3374">
        <v>552</v>
      </c>
    </row>
    <row r="3375" spans="3:5" ht="14.1" customHeight="1">
      <c r="C3375">
        <v>1895</v>
      </c>
      <c r="D3375" t="s">
        <v>2968</v>
      </c>
      <c r="E3375">
        <v>539</v>
      </c>
    </row>
    <row r="3376" spans="3:5" ht="14.1" customHeight="1">
      <c r="C3376">
        <v>2853</v>
      </c>
      <c r="D3376" t="s">
        <v>2969</v>
      </c>
      <c r="E3376">
        <v>548</v>
      </c>
    </row>
    <row r="3377" spans="3:5" ht="14.1" customHeight="1">
      <c r="C3377">
        <v>2421</v>
      </c>
      <c r="D3377" t="s">
        <v>2970</v>
      </c>
      <c r="E3377">
        <v>844</v>
      </c>
    </row>
    <row r="3378" spans="3:5" ht="14.1" customHeight="1">
      <c r="C3378">
        <v>701</v>
      </c>
      <c r="D3378" t="s">
        <v>2971</v>
      </c>
      <c r="E3378">
        <v>622</v>
      </c>
    </row>
    <row r="3379" spans="3:5" ht="14.1" customHeight="1">
      <c r="C3379">
        <v>3268</v>
      </c>
      <c r="D3379" t="s">
        <v>2972</v>
      </c>
      <c r="E3379">
        <v>0</v>
      </c>
    </row>
    <row r="3380" spans="3:5" ht="14.1" customHeight="1">
      <c r="C3380">
        <v>329</v>
      </c>
      <c r="D3380" t="s">
        <v>736</v>
      </c>
      <c r="E3380">
        <v>963</v>
      </c>
    </row>
    <row r="3381" spans="3:5" ht="14.1" customHeight="1">
      <c r="C3381">
        <v>10</v>
      </c>
      <c r="D3381" t="s">
        <v>737</v>
      </c>
      <c r="E3381">
        <v>724</v>
      </c>
    </row>
    <row r="3382" spans="3:5" ht="14.1" customHeight="1">
      <c r="C3382">
        <v>1388</v>
      </c>
      <c r="D3382" t="s">
        <v>2973</v>
      </c>
      <c r="E3382">
        <v>608</v>
      </c>
    </row>
    <row r="3383" spans="3:5" ht="14.1" customHeight="1">
      <c r="C3383">
        <v>4255</v>
      </c>
      <c r="D3383" t="s">
        <v>2974</v>
      </c>
      <c r="E3383">
        <v>474</v>
      </c>
    </row>
    <row r="3384" spans="3:5" ht="14.1" customHeight="1">
      <c r="C3384">
        <v>5021</v>
      </c>
      <c r="D3384" t="s">
        <v>4103</v>
      </c>
      <c r="E3384">
        <v>531</v>
      </c>
    </row>
    <row r="3385" spans="3:5" ht="14.1" customHeight="1">
      <c r="C3385">
        <v>525</v>
      </c>
      <c r="D3385" t="s">
        <v>738</v>
      </c>
      <c r="E3385">
        <v>605</v>
      </c>
    </row>
    <row r="3386" spans="3:5" ht="14.1" customHeight="1">
      <c r="C3386">
        <v>2157</v>
      </c>
      <c r="D3386" t="s">
        <v>2975</v>
      </c>
      <c r="E3386">
        <v>581</v>
      </c>
    </row>
    <row r="3387" spans="3:5" ht="14.1" customHeight="1">
      <c r="C3387">
        <v>1192</v>
      </c>
      <c r="D3387" t="s">
        <v>2976</v>
      </c>
      <c r="E3387">
        <v>541</v>
      </c>
    </row>
    <row r="3388" spans="3:5" ht="14.1" customHeight="1">
      <c r="C3388">
        <v>835</v>
      </c>
      <c r="D3388" t="s">
        <v>739</v>
      </c>
      <c r="E3388">
        <v>464</v>
      </c>
    </row>
    <row r="3389" spans="3:5" ht="14.1" customHeight="1">
      <c r="C3389">
        <v>4714</v>
      </c>
      <c r="D3389" t="s">
        <v>4104</v>
      </c>
      <c r="E3389">
        <v>478</v>
      </c>
    </row>
    <row r="3390" spans="3:5" ht="14.1" customHeight="1">
      <c r="C3390">
        <v>2150</v>
      </c>
      <c r="D3390" t="s">
        <v>2977</v>
      </c>
      <c r="E3390">
        <v>715</v>
      </c>
    </row>
    <row r="3391" spans="3:5" ht="14.1" customHeight="1">
      <c r="C3391">
        <v>1370</v>
      </c>
      <c r="D3391" t="s">
        <v>2978</v>
      </c>
      <c r="E3391">
        <v>643</v>
      </c>
    </row>
    <row r="3392" spans="3:5" ht="14.1" customHeight="1">
      <c r="C3392">
        <v>1770</v>
      </c>
      <c r="D3392" t="s">
        <v>2979</v>
      </c>
      <c r="E3392">
        <v>504</v>
      </c>
    </row>
    <row r="3393" spans="3:5" ht="14.1" customHeight="1">
      <c r="C3393">
        <v>677</v>
      </c>
      <c r="D3393" t="s">
        <v>2980</v>
      </c>
      <c r="E3393">
        <v>794</v>
      </c>
    </row>
    <row r="3394" spans="3:5" ht="14.1" customHeight="1">
      <c r="C3394">
        <v>1590</v>
      </c>
      <c r="D3394" t="s">
        <v>2981</v>
      </c>
      <c r="E3394">
        <v>564</v>
      </c>
    </row>
    <row r="3395" spans="3:5" ht="14.1" customHeight="1">
      <c r="C3395">
        <v>443</v>
      </c>
      <c r="D3395" t="s">
        <v>229</v>
      </c>
      <c r="E3395">
        <v>736</v>
      </c>
    </row>
    <row r="3396" spans="3:5" ht="14.1" customHeight="1">
      <c r="C3396">
        <v>740</v>
      </c>
      <c r="D3396" t="s">
        <v>740</v>
      </c>
      <c r="E3396">
        <v>713</v>
      </c>
    </row>
    <row r="3397" spans="3:5" ht="14.1" customHeight="1">
      <c r="C3397">
        <v>1127</v>
      </c>
      <c r="D3397" t="s">
        <v>2982</v>
      </c>
      <c r="E3397">
        <v>774</v>
      </c>
    </row>
    <row r="3398" spans="3:5" ht="14.1" customHeight="1">
      <c r="C3398">
        <v>576</v>
      </c>
      <c r="D3398" t="s">
        <v>741</v>
      </c>
      <c r="E3398">
        <v>544</v>
      </c>
    </row>
    <row r="3399" spans="3:5" ht="14.1" customHeight="1">
      <c r="C3399">
        <v>750</v>
      </c>
      <c r="D3399" t="s">
        <v>742</v>
      </c>
      <c r="E3399">
        <v>435</v>
      </c>
    </row>
    <row r="3400" spans="3:5" ht="14.1" customHeight="1">
      <c r="C3400">
        <v>4312</v>
      </c>
      <c r="D3400" t="s">
        <v>2983</v>
      </c>
      <c r="E3400">
        <v>509</v>
      </c>
    </row>
    <row r="3401" spans="3:5" ht="14.1" customHeight="1">
      <c r="C3401">
        <v>4664</v>
      </c>
      <c r="D3401" t="s">
        <v>4105</v>
      </c>
      <c r="E3401">
        <v>668</v>
      </c>
    </row>
    <row r="3402" spans="3:5" ht="14.1" customHeight="1">
      <c r="C3402">
        <v>1799</v>
      </c>
      <c r="D3402" t="s">
        <v>2984</v>
      </c>
      <c r="E3402">
        <v>458</v>
      </c>
    </row>
    <row r="3403" spans="3:5" ht="14.1" customHeight="1">
      <c r="C3403">
        <v>1687</v>
      </c>
      <c r="D3403" t="s">
        <v>2985</v>
      </c>
      <c r="E3403">
        <v>351</v>
      </c>
    </row>
    <row r="3404" spans="3:5" ht="14.1" customHeight="1">
      <c r="C3404">
        <v>4175</v>
      </c>
      <c r="D3404" t="s">
        <v>2986</v>
      </c>
      <c r="E3404">
        <v>461</v>
      </c>
    </row>
    <row r="3405" spans="3:5" ht="14.1" customHeight="1">
      <c r="C3405">
        <v>419</v>
      </c>
      <c r="D3405" t="s">
        <v>230</v>
      </c>
      <c r="E3405">
        <v>378</v>
      </c>
    </row>
    <row r="3406" spans="3:5" ht="14.1" customHeight="1">
      <c r="C3406">
        <v>429</v>
      </c>
      <c r="D3406" t="s">
        <v>4340</v>
      </c>
      <c r="E3406">
        <v>503</v>
      </c>
    </row>
    <row r="3407" spans="3:5" ht="14.1" customHeight="1">
      <c r="C3407">
        <v>362</v>
      </c>
      <c r="D3407" t="s">
        <v>231</v>
      </c>
      <c r="E3407">
        <v>485</v>
      </c>
    </row>
    <row r="3408" spans="3:5" ht="14.1" customHeight="1">
      <c r="C3408">
        <v>2637</v>
      </c>
      <c r="D3408" t="s">
        <v>2987</v>
      </c>
      <c r="E3408">
        <v>799</v>
      </c>
    </row>
    <row r="3409" spans="3:5" ht="14.1" customHeight="1">
      <c r="C3409">
        <v>237</v>
      </c>
      <c r="D3409" t="s">
        <v>2988</v>
      </c>
      <c r="E3409">
        <v>333</v>
      </c>
    </row>
    <row r="3410" spans="3:5" ht="14.1" customHeight="1">
      <c r="C3410">
        <v>4566</v>
      </c>
      <c r="D3410" t="s">
        <v>3734</v>
      </c>
      <c r="E3410">
        <v>477</v>
      </c>
    </row>
    <row r="3411" spans="3:5" ht="14.1" customHeight="1">
      <c r="C3411">
        <v>1837</v>
      </c>
      <c r="D3411" t="s">
        <v>2989</v>
      </c>
      <c r="E3411">
        <v>585</v>
      </c>
    </row>
    <row r="3412" spans="3:5" ht="14.1" customHeight="1">
      <c r="C3412">
        <v>2446</v>
      </c>
      <c r="D3412" t="s">
        <v>2990</v>
      </c>
      <c r="E3412">
        <v>831</v>
      </c>
    </row>
    <row r="3413" spans="3:5" ht="14.1" customHeight="1">
      <c r="C3413">
        <v>1150</v>
      </c>
      <c r="D3413" t="s">
        <v>2991</v>
      </c>
      <c r="E3413">
        <v>757</v>
      </c>
    </row>
    <row r="3414" spans="3:5" ht="14.1" customHeight="1">
      <c r="C3414">
        <v>115</v>
      </c>
      <c r="D3414" t="s">
        <v>743</v>
      </c>
      <c r="E3414">
        <v>1080</v>
      </c>
    </row>
    <row r="3415" spans="3:5" ht="14.1" customHeight="1">
      <c r="C3415">
        <v>1828</v>
      </c>
      <c r="D3415" t="s">
        <v>2992</v>
      </c>
      <c r="E3415">
        <v>372</v>
      </c>
    </row>
    <row r="3416" spans="3:5" ht="14.1" customHeight="1">
      <c r="C3416">
        <v>335</v>
      </c>
      <c r="D3416" t="s">
        <v>744</v>
      </c>
      <c r="E3416">
        <v>592</v>
      </c>
    </row>
    <row r="3417" spans="3:5" ht="14.1" customHeight="1">
      <c r="C3417">
        <v>4351</v>
      </c>
      <c r="D3417" t="s">
        <v>3735</v>
      </c>
      <c r="E3417">
        <v>579</v>
      </c>
    </row>
    <row r="3418" spans="3:5" ht="14.1" customHeight="1">
      <c r="C3418">
        <v>1358</v>
      </c>
      <c r="D3418" t="s">
        <v>2993</v>
      </c>
      <c r="E3418">
        <v>626</v>
      </c>
    </row>
    <row r="3419" spans="3:5" ht="14.1" customHeight="1">
      <c r="C3419">
        <v>2602</v>
      </c>
      <c r="D3419" t="s">
        <v>2994</v>
      </c>
      <c r="E3419">
        <v>979</v>
      </c>
    </row>
    <row r="3420" spans="3:5" ht="14.1" customHeight="1">
      <c r="C3420">
        <v>3224</v>
      </c>
      <c r="D3420" t="s">
        <v>2995</v>
      </c>
      <c r="E3420">
        <v>0</v>
      </c>
    </row>
    <row r="3421" spans="3:5" ht="14.1" customHeight="1">
      <c r="C3421">
        <v>1155</v>
      </c>
      <c r="D3421" t="s">
        <v>2996</v>
      </c>
      <c r="E3421">
        <v>519</v>
      </c>
    </row>
    <row r="3422" spans="3:5" ht="14.1" customHeight="1">
      <c r="C3422">
        <v>800</v>
      </c>
      <c r="D3422" t="s">
        <v>745</v>
      </c>
      <c r="E3422">
        <v>464</v>
      </c>
    </row>
    <row r="3423" spans="3:5" ht="14.1" customHeight="1">
      <c r="C3423">
        <v>2189</v>
      </c>
      <c r="D3423" t="s">
        <v>2997</v>
      </c>
      <c r="E3423">
        <v>534</v>
      </c>
    </row>
    <row r="3424" spans="3:5" ht="14.1" customHeight="1">
      <c r="C3424">
        <v>4138</v>
      </c>
      <c r="D3424" t="s">
        <v>2998</v>
      </c>
      <c r="E3424">
        <v>428</v>
      </c>
    </row>
    <row r="3425" spans="3:5" ht="14.1" customHeight="1">
      <c r="C3425">
        <v>2188</v>
      </c>
      <c r="D3425" t="s">
        <v>2999</v>
      </c>
      <c r="E3425">
        <v>535</v>
      </c>
    </row>
    <row r="3426" spans="3:5" ht="14.1" customHeight="1">
      <c r="C3426">
        <v>2419</v>
      </c>
      <c r="D3426" t="s">
        <v>3000</v>
      </c>
      <c r="E3426">
        <v>434</v>
      </c>
    </row>
    <row r="3427" spans="3:5" ht="14.1" customHeight="1">
      <c r="C3427">
        <v>3167</v>
      </c>
      <c r="D3427" t="s">
        <v>3001</v>
      </c>
      <c r="E3427">
        <v>0</v>
      </c>
    </row>
    <row r="3428" spans="3:5" ht="14.1" customHeight="1">
      <c r="C3428">
        <v>3143</v>
      </c>
      <c r="D3428" t="s">
        <v>3002</v>
      </c>
      <c r="E3428">
        <v>0</v>
      </c>
    </row>
    <row r="3429" spans="3:5" ht="14.1" customHeight="1">
      <c r="C3429">
        <v>2784</v>
      </c>
      <c r="D3429" t="s">
        <v>3003</v>
      </c>
      <c r="E3429">
        <v>869</v>
      </c>
    </row>
    <row r="3430" spans="3:5" ht="14.1" customHeight="1">
      <c r="C3430">
        <v>2785</v>
      </c>
      <c r="D3430" t="s">
        <v>3004</v>
      </c>
      <c r="E3430">
        <v>869</v>
      </c>
    </row>
    <row r="3431" spans="3:5" ht="14.1" customHeight="1">
      <c r="C3431">
        <v>862</v>
      </c>
      <c r="D3431" t="s">
        <v>746</v>
      </c>
      <c r="E3431">
        <v>791</v>
      </c>
    </row>
    <row r="3432" spans="3:5" ht="14.1" customHeight="1">
      <c r="C3432">
        <v>1872</v>
      </c>
      <c r="D3432" t="s">
        <v>3005</v>
      </c>
      <c r="E3432">
        <v>516</v>
      </c>
    </row>
    <row r="3433" spans="3:5" ht="14.1" customHeight="1">
      <c r="C3433">
        <v>4718</v>
      </c>
      <c r="D3433" t="s">
        <v>4106</v>
      </c>
      <c r="E3433">
        <v>563</v>
      </c>
    </row>
    <row r="3434" spans="3:5" ht="14.1" customHeight="1">
      <c r="C3434">
        <v>4596</v>
      </c>
      <c r="D3434" t="s">
        <v>4107</v>
      </c>
      <c r="E3434">
        <v>535</v>
      </c>
    </row>
    <row r="3435" spans="3:5" ht="14.1" customHeight="1">
      <c r="C3435">
        <v>1149</v>
      </c>
      <c r="D3435" t="s">
        <v>3006</v>
      </c>
      <c r="E3435">
        <v>564</v>
      </c>
    </row>
    <row r="3436" spans="3:5" ht="14.1" customHeight="1">
      <c r="C3436">
        <v>4865</v>
      </c>
      <c r="D3436" t="s">
        <v>4108</v>
      </c>
      <c r="E3436">
        <v>809</v>
      </c>
    </row>
    <row r="3437" spans="3:5" ht="14.1" customHeight="1">
      <c r="C3437">
        <v>4941</v>
      </c>
      <c r="D3437" t="s">
        <v>4109</v>
      </c>
      <c r="E3437">
        <v>425</v>
      </c>
    </row>
    <row r="3438" spans="3:5" ht="14.1" customHeight="1">
      <c r="C3438">
        <v>303</v>
      </c>
      <c r="D3438" t="s">
        <v>232</v>
      </c>
      <c r="E3438">
        <v>633</v>
      </c>
    </row>
    <row r="3439" spans="3:5" ht="14.1" customHeight="1">
      <c r="C3439">
        <v>2994</v>
      </c>
      <c r="D3439" t="s">
        <v>3007</v>
      </c>
      <c r="E3439">
        <v>402</v>
      </c>
    </row>
    <row r="3440" spans="3:5" ht="14.1" customHeight="1">
      <c r="C3440">
        <v>2762</v>
      </c>
      <c r="D3440" t="s">
        <v>3008</v>
      </c>
      <c r="E3440">
        <v>621</v>
      </c>
    </row>
    <row r="3441" spans="3:5" ht="14.1" customHeight="1">
      <c r="C3441">
        <v>4866</v>
      </c>
      <c r="D3441" t="s">
        <v>4110</v>
      </c>
      <c r="E3441">
        <v>809</v>
      </c>
    </row>
    <row r="3442" spans="3:5" ht="14.1" customHeight="1">
      <c r="C3442">
        <v>1418</v>
      </c>
      <c r="D3442" t="s">
        <v>3009</v>
      </c>
      <c r="E3442">
        <v>0</v>
      </c>
    </row>
    <row r="3443" spans="3:5" ht="14.1" customHeight="1">
      <c r="C3443">
        <v>3008</v>
      </c>
      <c r="D3443" t="s">
        <v>3010</v>
      </c>
      <c r="E3443">
        <v>0</v>
      </c>
    </row>
    <row r="3444" spans="3:5" ht="14.1" customHeight="1">
      <c r="C3444">
        <v>4723</v>
      </c>
      <c r="D3444" t="s">
        <v>4111</v>
      </c>
      <c r="E3444">
        <v>394</v>
      </c>
    </row>
    <row r="3445" spans="3:5" ht="14.1" customHeight="1">
      <c r="C3445">
        <v>3096</v>
      </c>
      <c r="D3445" t="s">
        <v>3011</v>
      </c>
      <c r="E3445">
        <v>673</v>
      </c>
    </row>
    <row r="3446" spans="3:5" ht="14.1" customHeight="1">
      <c r="C3446">
        <v>2763</v>
      </c>
      <c r="D3446" t="s">
        <v>3012</v>
      </c>
      <c r="E3446">
        <v>622</v>
      </c>
    </row>
    <row r="3447" spans="3:5" ht="14.1" customHeight="1">
      <c r="C3447">
        <v>2011</v>
      </c>
      <c r="D3447" t="s">
        <v>3013</v>
      </c>
      <c r="E3447">
        <v>392</v>
      </c>
    </row>
    <row r="3448" spans="3:5" ht="14.1" customHeight="1">
      <c r="C3448">
        <v>2231</v>
      </c>
      <c r="D3448" t="s">
        <v>3014</v>
      </c>
      <c r="E3448">
        <v>543</v>
      </c>
    </row>
    <row r="3449" spans="3:5" ht="14.1" customHeight="1">
      <c r="C3449">
        <v>1384</v>
      </c>
      <c r="D3449" t="s">
        <v>3015</v>
      </c>
      <c r="E3449">
        <v>766</v>
      </c>
    </row>
    <row r="3450" spans="3:5" ht="14.1" customHeight="1">
      <c r="C3450">
        <v>4810</v>
      </c>
      <c r="D3450" t="s">
        <v>4112</v>
      </c>
      <c r="E3450">
        <v>331</v>
      </c>
    </row>
    <row r="3451" spans="3:5" ht="14.1" customHeight="1">
      <c r="C3451">
        <v>3335</v>
      </c>
      <c r="D3451" t="s">
        <v>3016</v>
      </c>
      <c r="E3451">
        <v>0</v>
      </c>
    </row>
    <row r="3452" spans="3:5" ht="14.1" customHeight="1">
      <c r="C3452">
        <v>2831</v>
      </c>
      <c r="D3452" t="s">
        <v>3017</v>
      </c>
      <c r="E3452">
        <v>509</v>
      </c>
    </row>
    <row r="3453" spans="3:5" ht="14.1" customHeight="1">
      <c r="C3453">
        <v>2404</v>
      </c>
      <c r="D3453" t="s">
        <v>3018</v>
      </c>
      <c r="E3453">
        <v>420</v>
      </c>
    </row>
    <row r="3454" spans="3:5" ht="14.1" customHeight="1">
      <c r="C3454">
        <v>4388</v>
      </c>
      <c r="D3454" t="s">
        <v>3736</v>
      </c>
      <c r="E3454">
        <v>488</v>
      </c>
    </row>
    <row r="3455" spans="3:5" ht="14.1" customHeight="1">
      <c r="C3455">
        <v>2875</v>
      </c>
      <c r="D3455" t="s">
        <v>3019</v>
      </c>
      <c r="E3455">
        <v>478</v>
      </c>
    </row>
    <row r="3456" spans="3:5" ht="14.1" customHeight="1">
      <c r="C3456">
        <v>2663</v>
      </c>
      <c r="D3456" t="s">
        <v>3020</v>
      </c>
      <c r="E3456">
        <v>597</v>
      </c>
    </row>
    <row r="3457" spans="3:5" ht="14.1" customHeight="1">
      <c r="C3457">
        <v>4693</v>
      </c>
      <c r="D3457" t="s">
        <v>3021</v>
      </c>
      <c r="E3457">
        <v>619</v>
      </c>
    </row>
    <row r="3458" spans="3:5" ht="14.1" customHeight="1">
      <c r="C3458">
        <v>1933</v>
      </c>
      <c r="D3458" t="s">
        <v>3022</v>
      </c>
      <c r="E3458">
        <v>400</v>
      </c>
    </row>
    <row r="3459" spans="3:5" ht="14.1" customHeight="1">
      <c r="C3459">
        <v>2479</v>
      </c>
      <c r="D3459" t="s">
        <v>3023</v>
      </c>
      <c r="E3459">
        <v>693</v>
      </c>
    </row>
    <row r="3460" spans="3:5" ht="14.1" customHeight="1">
      <c r="C3460">
        <v>984</v>
      </c>
      <c r="D3460" t="s">
        <v>3024</v>
      </c>
      <c r="E3460">
        <v>394</v>
      </c>
    </row>
    <row r="3461" spans="3:5" ht="14.1" customHeight="1">
      <c r="C3461">
        <v>4148</v>
      </c>
      <c r="D3461" t="s">
        <v>3025</v>
      </c>
      <c r="E3461">
        <v>455</v>
      </c>
    </row>
    <row r="3462" spans="3:5" ht="14.1" customHeight="1">
      <c r="C3462">
        <v>2752</v>
      </c>
      <c r="D3462" t="s">
        <v>3026</v>
      </c>
      <c r="E3462">
        <v>743</v>
      </c>
    </row>
    <row r="3463" spans="3:5" ht="14.1" customHeight="1">
      <c r="C3463">
        <v>2579</v>
      </c>
      <c r="D3463" t="s">
        <v>3027</v>
      </c>
      <c r="E3463">
        <v>429</v>
      </c>
    </row>
    <row r="3464" spans="3:5" ht="14.1" customHeight="1">
      <c r="C3464">
        <v>4750</v>
      </c>
      <c r="D3464" t="s">
        <v>4113</v>
      </c>
      <c r="E3464">
        <v>581</v>
      </c>
    </row>
    <row r="3465" spans="3:5" ht="14.1" customHeight="1">
      <c r="C3465">
        <v>2850</v>
      </c>
      <c r="D3465" t="s">
        <v>3028</v>
      </c>
      <c r="E3465">
        <v>532</v>
      </c>
    </row>
    <row r="3466" spans="3:5" ht="14.1" customHeight="1">
      <c r="C3466">
        <v>4344</v>
      </c>
      <c r="D3466" t="s">
        <v>3029</v>
      </c>
      <c r="E3466">
        <v>0</v>
      </c>
    </row>
    <row r="3467" spans="3:5" ht="14.1" customHeight="1">
      <c r="C3467">
        <v>1254</v>
      </c>
      <c r="D3467" t="s">
        <v>3030</v>
      </c>
      <c r="E3467">
        <v>417</v>
      </c>
    </row>
    <row r="3468" spans="3:5" ht="14.1" customHeight="1">
      <c r="C3468">
        <v>1255</v>
      </c>
      <c r="D3468" t="s">
        <v>3031</v>
      </c>
      <c r="E3468">
        <v>417</v>
      </c>
    </row>
    <row r="3469" spans="3:5" ht="14.1" customHeight="1">
      <c r="C3469">
        <v>328</v>
      </c>
      <c r="D3469" t="s">
        <v>233</v>
      </c>
      <c r="E3469">
        <v>524</v>
      </c>
    </row>
    <row r="3470" spans="3:5" ht="14.1" customHeight="1">
      <c r="C3470">
        <v>2862</v>
      </c>
      <c r="D3470" t="s">
        <v>3032</v>
      </c>
      <c r="E3470">
        <v>472</v>
      </c>
    </row>
    <row r="3471" spans="3:5" ht="14.1" customHeight="1">
      <c r="C3471">
        <v>1075</v>
      </c>
      <c r="D3471" t="s">
        <v>3033</v>
      </c>
      <c r="E3471">
        <v>631</v>
      </c>
    </row>
    <row r="3472" spans="3:5" ht="14.1" customHeight="1">
      <c r="C3472">
        <v>1807</v>
      </c>
      <c r="D3472" t="s">
        <v>3034</v>
      </c>
      <c r="E3472">
        <v>366</v>
      </c>
    </row>
    <row r="3473" spans="3:5" ht="14.1" customHeight="1">
      <c r="C3473">
        <v>2169</v>
      </c>
      <c r="D3473" t="s">
        <v>3035</v>
      </c>
      <c r="E3473">
        <v>469</v>
      </c>
    </row>
    <row r="3474" spans="3:5" ht="14.1" customHeight="1">
      <c r="C3474">
        <v>4340</v>
      </c>
      <c r="D3474" t="s">
        <v>3036</v>
      </c>
      <c r="E3474">
        <v>668</v>
      </c>
    </row>
    <row r="3475" spans="3:5" ht="14.1" customHeight="1">
      <c r="C3475">
        <v>39</v>
      </c>
      <c r="D3475" t="s">
        <v>747</v>
      </c>
      <c r="E3475">
        <v>949</v>
      </c>
    </row>
    <row r="3476" spans="3:5" ht="14.1" customHeight="1">
      <c r="C3476">
        <v>3103</v>
      </c>
      <c r="D3476" t="s">
        <v>3037</v>
      </c>
      <c r="E3476">
        <v>0</v>
      </c>
    </row>
    <row r="3477" spans="3:5" ht="14.1" customHeight="1">
      <c r="C3477">
        <v>789</v>
      </c>
      <c r="D3477" t="s">
        <v>748</v>
      </c>
      <c r="E3477">
        <v>727</v>
      </c>
    </row>
    <row r="3478" spans="3:5" ht="14.1" customHeight="1">
      <c r="C3478">
        <v>4125</v>
      </c>
      <c r="D3478" t="s">
        <v>3038</v>
      </c>
      <c r="E3478">
        <v>503</v>
      </c>
    </row>
    <row r="3479" spans="3:5" ht="14.1" customHeight="1">
      <c r="C3479">
        <v>4390</v>
      </c>
      <c r="D3479" t="s">
        <v>3737</v>
      </c>
      <c r="E3479">
        <v>482</v>
      </c>
    </row>
    <row r="3480" spans="3:5" ht="14.1" customHeight="1">
      <c r="C3480">
        <v>605</v>
      </c>
      <c r="D3480" t="s">
        <v>749</v>
      </c>
      <c r="E3480">
        <v>443</v>
      </c>
    </row>
    <row r="3481" spans="3:5" ht="14.1" customHeight="1">
      <c r="C3481">
        <v>4275</v>
      </c>
      <c r="D3481" t="s">
        <v>3039</v>
      </c>
      <c r="E3481">
        <v>633</v>
      </c>
    </row>
    <row r="3482" spans="3:5" ht="14.1" customHeight="1">
      <c r="C3482">
        <v>4278</v>
      </c>
      <c r="D3482" t="s">
        <v>3040</v>
      </c>
      <c r="E3482">
        <v>621</v>
      </c>
    </row>
    <row r="3483" spans="3:5" ht="14.1" customHeight="1">
      <c r="C3483">
        <v>2128</v>
      </c>
      <c r="D3483" t="s">
        <v>3041</v>
      </c>
      <c r="E3483">
        <v>476</v>
      </c>
    </row>
    <row r="3484" spans="3:5" ht="14.1" customHeight="1">
      <c r="C3484">
        <v>1927</v>
      </c>
      <c r="D3484" t="s">
        <v>3042</v>
      </c>
      <c r="E3484">
        <v>527</v>
      </c>
    </row>
    <row r="3485" spans="3:5" ht="14.1" customHeight="1">
      <c r="C3485">
        <v>2891</v>
      </c>
      <c r="D3485" t="s">
        <v>3043</v>
      </c>
      <c r="E3485">
        <v>501</v>
      </c>
    </row>
    <row r="3486" spans="3:5" ht="14.1" customHeight="1">
      <c r="C3486">
        <v>2892</v>
      </c>
      <c r="D3486" t="s">
        <v>3044</v>
      </c>
      <c r="E3486">
        <v>501</v>
      </c>
    </row>
    <row r="3487" spans="3:5" ht="14.1" customHeight="1">
      <c r="C3487">
        <v>2184</v>
      </c>
      <c r="D3487" t="s">
        <v>3045</v>
      </c>
      <c r="E3487">
        <v>476</v>
      </c>
    </row>
    <row r="3488" spans="3:5" ht="14.1" customHeight="1">
      <c r="C3488">
        <v>679</v>
      </c>
      <c r="D3488" t="s">
        <v>750</v>
      </c>
      <c r="E3488">
        <v>811</v>
      </c>
    </row>
    <row r="3489" spans="3:5" ht="14.1" customHeight="1">
      <c r="C3489">
        <v>959</v>
      </c>
      <c r="D3489" t="s">
        <v>3046</v>
      </c>
      <c r="E3489">
        <v>532</v>
      </c>
    </row>
    <row r="3490" spans="3:5" ht="14.1" customHeight="1">
      <c r="C3490">
        <v>5063</v>
      </c>
      <c r="D3490" t="s">
        <v>4341</v>
      </c>
      <c r="E3490">
        <v>529</v>
      </c>
    </row>
    <row r="3491" spans="3:5" ht="14.1" customHeight="1">
      <c r="C3491">
        <v>112</v>
      </c>
      <c r="D3491" t="s">
        <v>751</v>
      </c>
      <c r="E3491">
        <v>991</v>
      </c>
    </row>
    <row r="3492" spans="3:5" ht="14.1" customHeight="1">
      <c r="C3492">
        <v>340</v>
      </c>
      <c r="D3492" t="s">
        <v>234</v>
      </c>
      <c r="E3492">
        <v>839</v>
      </c>
    </row>
    <row r="3493" spans="3:5" ht="14.1" customHeight="1">
      <c r="C3493">
        <v>2998</v>
      </c>
      <c r="D3493" t="s">
        <v>3047</v>
      </c>
      <c r="E3493">
        <v>0</v>
      </c>
    </row>
    <row r="3494" spans="3:5" ht="14.1" customHeight="1">
      <c r="C3494">
        <v>1535</v>
      </c>
      <c r="D3494" t="s">
        <v>3048</v>
      </c>
      <c r="E3494">
        <v>955</v>
      </c>
    </row>
    <row r="3495" spans="3:5" ht="14.1" customHeight="1">
      <c r="C3495">
        <v>356</v>
      </c>
      <c r="D3495" t="s">
        <v>235</v>
      </c>
      <c r="E3495">
        <v>576</v>
      </c>
    </row>
    <row r="3496" spans="3:5" ht="14.1" customHeight="1">
      <c r="C3496">
        <v>935</v>
      </c>
      <c r="D3496" t="s">
        <v>3049</v>
      </c>
      <c r="E3496">
        <v>468</v>
      </c>
    </row>
    <row r="3497" spans="3:5" ht="14.1" customHeight="1">
      <c r="C3497">
        <v>1594</v>
      </c>
      <c r="D3497" t="s">
        <v>3050</v>
      </c>
      <c r="E3497">
        <v>546</v>
      </c>
    </row>
    <row r="3498" spans="3:5" ht="14.1" customHeight="1">
      <c r="C3498">
        <v>1577</v>
      </c>
      <c r="D3498" t="s">
        <v>3051</v>
      </c>
      <c r="E3498">
        <v>547</v>
      </c>
    </row>
    <row r="3499" spans="3:5" ht="14.1" customHeight="1">
      <c r="C3499">
        <v>2001</v>
      </c>
      <c r="D3499" t="s">
        <v>3052</v>
      </c>
      <c r="E3499">
        <v>493</v>
      </c>
    </row>
    <row r="3500" spans="3:5" ht="14.1" customHeight="1">
      <c r="C3500">
        <v>2274</v>
      </c>
      <c r="D3500" t="s">
        <v>3053</v>
      </c>
      <c r="E3500">
        <v>439</v>
      </c>
    </row>
    <row r="3501" spans="3:5" ht="14.1" customHeight="1">
      <c r="C3501">
        <v>1119</v>
      </c>
      <c r="D3501" t="s">
        <v>3054</v>
      </c>
      <c r="E3501">
        <v>561</v>
      </c>
    </row>
    <row r="3502" spans="3:5" ht="14.1" customHeight="1">
      <c r="C3502">
        <v>854</v>
      </c>
      <c r="D3502" t="s">
        <v>752</v>
      </c>
      <c r="E3502">
        <v>694</v>
      </c>
    </row>
    <row r="3503" spans="3:5" ht="14.1" customHeight="1">
      <c r="C3503">
        <v>3093</v>
      </c>
      <c r="D3503" t="s">
        <v>3055</v>
      </c>
      <c r="E3503">
        <v>0</v>
      </c>
    </row>
    <row r="3504" spans="3:5" ht="14.1" customHeight="1">
      <c r="C3504">
        <v>3305</v>
      </c>
      <c r="D3504" t="s">
        <v>3056</v>
      </c>
      <c r="E3504">
        <v>0</v>
      </c>
    </row>
    <row r="3505" spans="3:5" ht="14.1" customHeight="1">
      <c r="C3505">
        <v>1180</v>
      </c>
      <c r="D3505" t="s">
        <v>3057</v>
      </c>
      <c r="E3505">
        <v>788</v>
      </c>
    </row>
    <row r="3506" spans="3:5" ht="14.1" customHeight="1">
      <c r="C3506">
        <v>619</v>
      </c>
      <c r="D3506" t="s">
        <v>3058</v>
      </c>
      <c r="E3506">
        <v>791</v>
      </c>
    </row>
    <row r="3507" spans="3:5" ht="14.1" customHeight="1">
      <c r="C3507">
        <v>1181</v>
      </c>
      <c r="D3507" t="s">
        <v>3059</v>
      </c>
      <c r="E3507">
        <v>729</v>
      </c>
    </row>
    <row r="3508" spans="3:5" ht="14.1" customHeight="1">
      <c r="C3508">
        <v>3117</v>
      </c>
      <c r="D3508" t="s">
        <v>3060</v>
      </c>
      <c r="E3508">
        <v>0</v>
      </c>
    </row>
    <row r="3509" spans="3:5" ht="14.1" customHeight="1">
      <c r="C3509">
        <v>1193</v>
      </c>
      <c r="D3509" t="s">
        <v>3061</v>
      </c>
      <c r="E3509">
        <v>634</v>
      </c>
    </row>
    <row r="3510" spans="3:5" ht="14.1" customHeight="1">
      <c r="C3510">
        <v>3283</v>
      </c>
      <c r="D3510" t="s">
        <v>3062</v>
      </c>
      <c r="E3510">
        <v>0</v>
      </c>
    </row>
    <row r="3511" spans="3:5" ht="14.1" customHeight="1">
      <c r="C3511">
        <v>1249</v>
      </c>
      <c r="D3511" t="s">
        <v>3063</v>
      </c>
      <c r="E3511">
        <v>498</v>
      </c>
    </row>
    <row r="3512" spans="3:5" ht="14.1" customHeight="1">
      <c r="C3512">
        <v>4280</v>
      </c>
      <c r="D3512" t="s">
        <v>3064</v>
      </c>
      <c r="E3512">
        <v>488</v>
      </c>
    </row>
    <row r="3513" spans="3:5" ht="14.1" customHeight="1">
      <c r="C3513">
        <v>2664</v>
      </c>
      <c r="D3513" t="s">
        <v>3065</v>
      </c>
      <c r="E3513">
        <v>567</v>
      </c>
    </row>
    <row r="3514" spans="3:5" ht="14.1" customHeight="1">
      <c r="C3514">
        <v>612</v>
      </c>
      <c r="D3514" t="s">
        <v>753</v>
      </c>
      <c r="E3514">
        <v>377</v>
      </c>
    </row>
    <row r="3515" spans="3:5" ht="14.1" customHeight="1">
      <c r="C3515">
        <v>613</v>
      </c>
      <c r="D3515" t="s">
        <v>754</v>
      </c>
      <c r="E3515">
        <v>377</v>
      </c>
    </row>
    <row r="3516" spans="3:5" ht="14.1" customHeight="1">
      <c r="C3516">
        <v>2220</v>
      </c>
      <c r="D3516" t="s">
        <v>3066</v>
      </c>
      <c r="E3516">
        <v>569</v>
      </c>
    </row>
    <row r="3517" spans="3:5" ht="14.1" customHeight="1">
      <c r="C3517">
        <v>4734</v>
      </c>
      <c r="D3517" t="s">
        <v>4114</v>
      </c>
      <c r="E3517">
        <v>406</v>
      </c>
    </row>
    <row r="3518" spans="3:5" ht="14.1" customHeight="1">
      <c r="C3518">
        <v>2297</v>
      </c>
      <c r="D3518" t="s">
        <v>3067</v>
      </c>
      <c r="E3518">
        <v>621</v>
      </c>
    </row>
    <row r="3519" spans="3:5" ht="14.1" customHeight="1">
      <c r="C3519">
        <v>4248</v>
      </c>
      <c r="D3519" t="s">
        <v>3068</v>
      </c>
      <c r="E3519">
        <v>475</v>
      </c>
    </row>
    <row r="3520" spans="3:5" ht="14.1" customHeight="1">
      <c r="C3520">
        <v>4890</v>
      </c>
      <c r="D3520" t="s">
        <v>4115</v>
      </c>
      <c r="E3520">
        <v>485</v>
      </c>
    </row>
    <row r="3521" spans="3:5" ht="14.1" customHeight="1">
      <c r="C3521">
        <v>4876</v>
      </c>
      <c r="D3521" t="s">
        <v>4116</v>
      </c>
      <c r="E3521">
        <v>658</v>
      </c>
    </row>
    <row r="3522" spans="3:5" ht="14.1" customHeight="1">
      <c r="C3522">
        <v>3004</v>
      </c>
      <c r="D3522" t="s">
        <v>3069</v>
      </c>
      <c r="E3522">
        <v>0</v>
      </c>
    </row>
    <row r="3523" spans="3:5" ht="14.1" customHeight="1">
      <c r="C3523">
        <v>1489</v>
      </c>
      <c r="D3523" t="s">
        <v>3070</v>
      </c>
      <c r="E3523">
        <v>815</v>
      </c>
    </row>
    <row r="3524" spans="3:5" ht="14.1" customHeight="1">
      <c r="C3524">
        <v>4769</v>
      </c>
      <c r="D3524" t="s">
        <v>4117</v>
      </c>
      <c r="E3524">
        <v>549</v>
      </c>
    </row>
    <row r="3525" spans="3:5" ht="14.1" customHeight="1">
      <c r="C3525">
        <v>2240</v>
      </c>
      <c r="D3525" t="s">
        <v>3071</v>
      </c>
      <c r="E3525">
        <v>316</v>
      </c>
    </row>
    <row r="3526" spans="3:5" ht="14.1" customHeight="1">
      <c r="C3526">
        <v>5109</v>
      </c>
      <c r="D3526" t="s">
        <v>4342</v>
      </c>
      <c r="E3526">
        <v>259</v>
      </c>
    </row>
    <row r="3527" spans="3:5" ht="14.1" customHeight="1">
      <c r="C3527">
        <v>4853</v>
      </c>
      <c r="D3527" t="s">
        <v>4118</v>
      </c>
      <c r="E3527">
        <v>870</v>
      </c>
    </row>
    <row r="3528" spans="3:5" ht="14.1" customHeight="1">
      <c r="C3528">
        <v>2179</v>
      </c>
      <c r="D3528" t="s">
        <v>3072</v>
      </c>
      <c r="E3528">
        <v>531</v>
      </c>
    </row>
    <row r="3529" spans="3:5" ht="14.1" customHeight="1">
      <c r="C3529">
        <v>874</v>
      </c>
      <c r="D3529" t="s">
        <v>755</v>
      </c>
      <c r="E3529">
        <v>557</v>
      </c>
    </row>
    <row r="3530" spans="3:5" ht="14.1" customHeight="1">
      <c r="C3530">
        <v>4970</v>
      </c>
      <c r="D3530" t="s">
        <v>4119</v>
      </c>
      <c r="E3530">
        <v>632</v>
      </c>
    </row>
    <row r="3531" spans="3:5" ht="14.1" customHeight="1">
      <c r="C3531">
        <v>1172</v>
      </c>
      <c r="D3531" t="s">
        <v>3073</v>
      </c>
      <c r="E3531">
        <v>696</v>
      </c>
    </row>
    <row r="3532" spans="3:5" ht="14.1" customHeight="1">
      <c r="C3532">
        <v>1014</v>
      </c>
      <c r="D3532" t="s">
        <v>3074</v>
      </c>
      <c r="E3532">
        <v>504</v>
      </c>
    </row>
    <row r="3533" spans="3:5" ht="14.1" customHeight="1">
      <c r="C3533">
        <v>1165</v>
      </c>
      <c r="D3533" t="s">
        <v>3075</v>
      </c>
      <c r="E3533">
        <v>599</v>
      </c>
    </row>
    <row r="3534" spans="3:5" ht="14.1" customHeight="1">
      <c r="C3534">
        <v>1166</v>
      </c>
      <c r="D3534" t="s">
        <v>3076</v>
      </c>
      <c r="E3534">
        <v>598</v>
      </c>
    </row>
    <row r="3535" spans="3:5" ht="14.1" customHeight="1">
      <c r="C3535">
        <v>4982</v>
      </c>
      <c r="D3535" t="s">
        <v>4120</v>
      </c>
      <c r="E3535">
        <v>410</v>
      </c>
    </row>
    <row r="3536" spans="3:5" ht="14.1" customHeight="1">
      <c r="C3536">
        <v>4641</v>
      </c>
      <c r="D3536" t="s">
        <v>4121</v>
      </c>
      <c r="E3536">
        <v>0</v>
      </c>
    </row>
    <row r="3537" spans="3:5" ht="14.1" customHeight="1">
      <c r="C3537">
        <v>4983</v>
      </c>
      <c r="D3537" t="s">
        <v>4122</v>
      </c>
      <c r="E3537">
        <v>410</v>
      </c>
    </row>
    <row r="3538" spans="3:5" ht="14.1" customHeight="1">
      <c r="C3538">
        <v>286</v>
      </c>
      <c r="D3538" t="s">
        <v>756</v>
      </c>
      <c r="E3538">
        <v>690</v>
      </c>
    </row>
    <row r="3539" spans="3:5" ht="14.1" customHeight="1">
      <c r="C3539">
        <v>3246</v>
      </c>
      <c r="D3539" t="s">
        <v>3077</v>
      </c>
      <c r="E3539">
        <v>639</v>
      </c>
    </row>
    <row r="3540" spans="3:5" ht="14.1" customHeight="1">
      <c r="C3540">
        <v>4461</v>
      </c>
      <c r="D3540" t="s">
        <v>3738</v>
      </c>
      <c r="E3540">
        <v>688</v>
      </c>
    </row>
    <row r="3541" spans="3:5" ht="14.1" customHeight="1">
      <c r="C3541">
        <v>2068</v>
      </c>
      <c r="D3541" t="s">
        <v>3078</v>
      </c>
      <c r="E3541">
        <v>1056</v>
      </c>
    </row>
    <row r="3542" spans="3:5" ht="14.1" customHeight="1">
      <c r="C3542">
        <v>1604</v>
      </c>
      <c r="D3542" t="s">
        <v>3079</v>
      </c>
      <c r="E3542">
        <v>664</v>
      </c>
    </row>
    <row r="3543" spans="3:5" ht="14.1" customHeight="1">
      <c r="C3543">
        <v>5112</v>
      </c>
      <c r="D3543" t="s">
        <v>4343</v>
      </c>
      <c r="E3543">
        <v>210</v>
      </c>
    </row>
    <row r="3544" spans="3:5" ht="14.1" customHeight="1">
      <c r="C3544">
        <v>4400</v>
      </c>
      <c r="D3544" t="s">
        <v>3739</v>
      </c>
      <c r="E3544">
        <v>984</v>
      </c>
    </row>
    <row r="3545" spans="3:5" ht="14.1" customHeight="1">
      <c r="C3545">
        <v>130</v>
      </c>
      <c r="D3545" t="s">
        <v>4344</v>
      </c>
      <c r="E3545">
        <v>414</v>
      </c>
    </row>
    <row r="3546" spans="3:5" ht="14.1" customHeight="1">
      <c r="C3546">
        <v>2288</v>
      </c>
      <c r="D3546" t="s">
        <v>3080</v>
      </c>
      <c r="E3546">
        <v>456</v>
      </c>
    </row>
    <row r="3547" spans="3:5" ht="14.1" customHeight="1">
      <c r="C3547">
        <v>313</v>
      </c>
      <c r="D3547" t="s">
        <v>757</v>
      </c>
      <c r="E3547">
        <v>223</v>
      </c>
    </row>
    <row r="3548" spans="3:5" ht="14.1" customHeight="1">
      <c r="C3548">
        <v>3179</v>
      </c>
      <c r="D3548" t="s">
        <v>3081</v>
      </c>
      <c r="E3548">
        <v>786</v>
      </c>
    </row>
    <row r="3549" spans="3:5" ht="14.1" customHeight="1">
      <c r="C3549">
        <v>712</v>
      </c>
      <c r="D3549" t="s">
        <v>758</v>
      </c>
      <c r="E3549">
        <v>369</v>
      </c>
    </row>
    <row r="3550" spans="3:5" ht="14.1" customHeight="1">
      <c r="C3550">
        <v>1595</v>
      </c>
      <c r="D3550" t="s">
        <v>3082</v>
      </c>
      <c r="E3550">
        <v>0</v>
      </c>
    </row>
    <row r="3551" spans="3:5" ht="14.1" customHeight="1">
      <c r="C3551">
        <v>2552</v>
      </c>
      <c r="D3551" t="s">
        <v>4123</v>
      </c>
      <c r="E3551">
        <v>376</v>
      </c>
    </row>
    <row r="3552" spans="3:5" ht="14.1" customHeight="1">
      <c r="C3552">
        <v>4498</v>
      </c>
      <c r="D3552" t="s">
        <v>3740</v>
      </c>
      <c r="E3552">
        <v>767</v>
      </c>
    </row>
    <row r="3553" spans="3:5" ht="14.1" customHeight="1">
      <c r="C3553">
        <v>1785</v>
      </c>
      <c r="D3553" t="s">
        <v>3083</v>
      </c>
      <c r="E3553">
        <v>515</v>
      </c>
    </row>
    <row r="3554" spans="3:5" ht="14.1" customHeight="1">
      <c r="C3554">
        <v>2723</v>
      </c>
      <c r="D3554" t="s">
        <v>3084</v>
      </c>
      <c r="E3554">
        <v>444</v>
      </c>
    </row>
    <row r="3555" spans="3:5" ht="14.1" customHeight="1">
      <c r="C3555">
        <v>1551</v>
      </c>
      <c r="D3555" t="s">
        <v>3085</v>
      </c>
      <c r="E3555">
        <v>491</v>
      </c>
    </row>
    <row r="3556" spans="3:5" ht="14.1" customHeight="1">
      <c r="C3556">
        <v>897</v>
      </c>
      <c r="D3556" t="s">
        <v>759</v>
      </c>
      <c r="E3556">
        <v>536</v>
      </c>
    </row>
    <row r="3557" spans="3:5" ht="14.1" customHeight="1">
      <c r="C3557">
        <v>4277</v>
      </c>
      <c r="D3557" t="s">
        <v>3086</v>
      </c>
      <c r="E3557">
        <v>655</v>
      </c>
    </row>
    <row r="3558" spans="3:5" ht="14.1" customHeight="1">
      <c r="C3558">
        <v>1462</v>
      </c>
      <c r="D3558" t="s">
        <v>3087</v>
      </c>
      <c r="E3558">
        <v>457</v>
      </c>
    </row>
    <row r="3559" spans="3:5" ht="14.1" customHeight="1">
      <c r="C3559">
        <v>1163</v>
      </c>
      <c r="D3559" t="s">
        <v>3088</v>
      </c>
      <c r="E3559">
        <v>953</v>
      </c>
    </row>
    <row r="3560" spans="3:5" ht="14.1" customHeight="1">
      <c r="C3560">
        <v>132</v>
      </c>
      <c r="D3560" t="s">
        <v>760</v>
      </c>
      <c r="E3560">
        <v>874</v>
      </c>
    </row>
    <row r="3561" spans="3:5" ht="14.1" customHeight="1">
      <c r="C3561">
        <v>2551</v>
      </c>
      <c r="D3561" t="s">
        <v>3089</v>
      </c>
      <c r="E3561">
        <v>470</v>
      </c>
    </row>
    <row r="3562" spans="3:5" ht="14.1" customHeight="1">
      <c r="C3562">
        <v>4720</v>
      </c>
      <c r="D3562" t="s">
        <v>4124</v>
      </c>
      <c r="E3562">
        <v>494</v>
      </c>
    </row>
    <row r="3563" spans="3:5" ht="14.1" customHeight="1">
      <c r="C3563">
        <v>708</v>
      </c>
      <c r="D3563" t="s">
        <v>3090</v>
      </c>
      <c r="E3563">
        <v>0</v>
      </c>
    </row>
    <row r="3564" spans="3:5" ht="14.1" customHeight="1">
      <c r="C3564">
        <v>4657</v>
      </c>
      <c r="D3564" t="s">
        <v>4125</v>
      </c>
      <c r="E3564">
        <v>923</v>
      </c>
    </row>
    <row r="3565" spans="3:5" ht="14.1" customHeight="1">
      <c r="C3565">
        <v>1291</v>
      </c>
      <c r="D3565" t="s">
        <v>3091</v>
      </c>
      <c r="E3565">
        <v>437</v>
      </c>
    </row>
    <row r="3566" spans="3:5" ht="14.1" customHeight="1">
      <c r="C3566">
        <v>1857</v>
      </c>
      <c r="D3566" t="s">
        <v>3092</v>
      </c>
      <c r="E3566">
        <v>573</v>
      </c>
    </row>
    <row r="3567" spans="3:5" ht="14.1" customHeight="1">
      <c r="C3567">
        <v>2209</v>
      </c>
      <c r="D3567" t="s">
        <v>3093</v>
      </c>
      <c r="E3567">
        <v>471</v>
      </c>
    </row>
    <row r="3568" spans="3:5" ht="14.1" customHeight="1">
      <c r="C3568">
        <v>594</v>
      </c>
      <c r="D3568" t="s">
        <v>761</v>
      </c>
      <c r="E3568">
        <v>327</v>
      </c>
    </row>
    <row r="3569" spans="3:5" ht="14.1" customHeight="1">
      <c r="C3569">
        <v>3202</v>
      </c>
      <c r="D3569" t="s">
        <v>3094</v>
      </c>
      <c r="E3569">
        <v>0</v>
      </c>
    </row>
    <row r="3570" spans="3:5" ht="14.1" customHeight="1">
      <c r="C3570">
        <v>2865</v>
      </c>
      <c r="D3570" t="s">
        <v>3095</v>
      </c>
      <c r="E3570">
        <v>499</v>
      </c>
    </row>
    <row r="3571" spans="3:5" ht="14.1" customHeight="1">
      <c r="C3571">
        <v>2860</v>
      </c>
      <c r="D3571" t="s">
        <v>3096</v>
      </c>
      <c r="E3571">
        <v>400</v>
      </c>
    </row>
    <row r="3572" spans="3:5" ht="14.1" customHeight="1">
      <c r="C3572">
        <v>2910</v>
      </c>
      <c r="D3572" t="s">
        <v>3097</v>
      </c>
      <c r="E3572">
        <v>564</v>
      </c>
    </row>
    <row r="3573" spans="3:5" ht="14.1" customHeight="1">
      <c r="C3573">
        <v>4685</v>
      </c>
      <c r="D3573" t="s">
        <v>4126</v>
      </c>
      <c r="E3573">
        <v>516</v>
      </c>
    </row>
    <row r="3574" spans="3:5" ht="14.1" customHeight="1">
      <c r="C3574">
        <v>4224</v>
      </c>
      <c r="D3574" t="s">
        <v>3098</v>
      </c>
      <c r="E3574">
        <v>503</v>
      </c>
    </row>
    <row r="3575" spans="3:5" ht="14.1" customHeight="1">
      <c r="C3575">
        <v>3206</v>
      </c>
      <c r="D3575" t="s">
        <v>3099</v>
      </c>
      <c r="E3575">
        <v>0</v>
      </c>
    </row>
    <row r="3576" spans="3:5" ht="14.1" customHeight="1">
      <c r="C3576">
        <v>3012</v>
      </c>
      <c r="D3576" t="s">
        <v>3100</v>
      </c>
      <c r="E3576">
        <v>0</v>
      </c>
    </row>
    <row r="3577" spans="3:5" ht="14.1" customHeight="1">
      <c r="C3577">
        <v>427</v>
      </c>
      <c r="D3577" t="s">
        <v>762</v>
      </c>
      <c r="E3577">
        <v>655</v>
      </c>
    </row>
    <row r="3578" spans="3:5" ht="14.1" customHeight="1">
      <c r="C3578">
        <v>4235</v>
      </c>
      <c r="D3578" t="s">
        <v>3101</v>
      </c>
      <c r="E3578">
        <v>549</v>
      </c>
    </row>
    <row r="3579" spans="3:5" ht="14.1" customHeight="1">
      <c r="C3579">
        <v>50</v>
      </c>
      <c r="D3579" t="s">
        <v>3102</v>
      </c>
      <c r="E3579">
        <v>797</v>
      </c>
    </row>
    <row r="3580" spans="3:5" ht="14.1" customHeight="1">
      <c r="C3580">
        <v>1967</v>
      </c>
      <c r="D3580" t="s">
        <v>3103</v>
      </c>
      <c r="E3580">
        <v>577</v>
      </c>
    </row>
    <row r="3581" spans="3:5" ht="14.1" customHeight="1">
      <c r="C3581">
        <v>4648</v>
      </c>
      <c r="D3581" t="s">
        <v>4127</v>
      </c>
      <c r="E3581">
        <v>586</v>
      </c>
    </row>
    <row r="3582" spans="3:5" ht="14.1" customHeight="1">
      <c r="C3582">
        <v>2544</v>
      </c>
      <c r="D3582" t="s">
        <v>3104</v>
      </c>
      <c r="E3582">
        <v>544</v>
      </c>
    </row>
    <row r="3583" spans="3:5" ht="14.1" customHeight="1">
      <c r="C3583">
        <v>956</v>
      </c>
      <c r="D3583" t="s">
        <v>3105</v>
      </c>
      <c r="E3583">
        <v>478</v>
      </c>
    </row>
    <row r="3584" spans="3:5" ht="14.1" customHeight="1">
      <c r="C3584">
        <v>957</v>
      </c>
      <c r="D3584" t="s">
        <v>3106</v>
      </c>
      <c r="E3584">
        <v>668</v>
      </c>
    </row>
    <row r="3585" spans="3:5" ht="14.1" customHeight="1">
      <c r="C3585">
        <v>844</v>
      </c>
      <c r="D3585" t="s">
        <v>3107</v>
      </c>
      <c r="E3585">
        <v>811</v>
      </c>
    </row>
    <row r="3586" spans="3:5" ht="14.1" customHeight="1">
      <c r="C3586">
        <v>3265</v>
      </c>
      <c r="D3586" t="s">
        <v>3108</v>
      </c>
      <c r="E3586">
        <v>0</v>
      </c>
    </row>
    <row r="3587" spans="3:5" ht="14.1" customHeight="1">
      <c r="C3587">
        <v>1069</v>
      </c>
      <c r="D3587" t="s">
        <v>3109</v>
      </c>
      <c r="E3587">
        <v>536</v>
      </c>
    </row>
    <row r="3588" spans="3:5" ht="14.1" customHeight="1">
      <c r="C3588">
        <v>872</v>
      </c>
      <c r="D3588" t="s">
        <v>763</v>
      </c>
      <c r="E3588">
        <v>569</v>
      </c>
    </row>
    <row r="3589" spans="3:5" ht="14.1" customHeight="1">
      <c r="C3589">
        <v>875</v>
      </c>
      <c r="D3589" t="s">
        <v>764</v>
      </c>
      <c r="E3589">
        <v>575</v>
      </c>
    </row>
    <row r="3590" spans="3:5" ht="14.1" customHeight="1">
      <c r="C3590">
        <v>447</v>
      </c>
      <c r="D3590" t="s">
        <v>281</v>
      </c>
      <c r="E3590">
        <v>578</v>
      </c>
    </row>
    <row r="3591" spans="3:5" ht="14.1" customHeight="1">
      <c r="C3591">
        <v>1844</v>
      </c>
      <c r="D3591" t="s">
        <v>3110</v>
      </c>
      <c r="E3591">
        <v>551</v>
      </c>
    </row>
    <row r="3592" spans="3:5" ht="14.1" customHeight="1">
      <c r="C3592">
        <v>4464</v>
      </c>
      <c r="D3592" t="s">
        <v>3741</v>
      </c>
      <c r="E3592">
        <v>577</v>
      </c>
    </row>
    <row r="3593" spans="3:5" ht="14.1" customHeight="1">
      <c r="C3593">
        <v>2801</v>
      </c>
      <c r="D3593" t="s">
        <v>3111</v>
      </c>
      <c r="E3593">
        <v>382</v>
      </c>
    </row>
    <row r="3594" spans="3:5" ht="14.1" customHeight="1">
      <c r="C3594">
        <v>3223</v>
      </c>
      <c r="D3594" t="s">
        <v>3112</v>
      </c>
      <c r="E3594">
        <v>0</v>
      </c>
    </row>
    <row r="3595" spans="3:5" ht="14.1" customHeight="1">
      <c r="C3595">
        <v>2464</v>
      </c>
      <c r="D3595" t="s">
        <v>3113</v>
      </c>
      <c r="E3595">
        <v>663</v>
      </c>
    </row>
    <row r="3596" spans="3:5" ht="14.1" customHeight="1">
      <c r="C3596">
        <v>1766</v>
      </c>
      <c r="D3596" t="s">
        <v>3114</v>
      </c>
      <c r="E3596">
        <v>495</v>
      </c>
    </row>
    <row r="3597" spans="3:5" ht="14.1" customHeight="1">
      <c r="C3597">
        <v>979</v>
      </c>
      <c r="D3597" t="s">
        <v>3115</v>
      </c>
      <c r="E3597">
        <v>514</v>
      </c>
    </row>
    <row r="3598" spans="3:5" ht="14.1" customHeight="1">
      <c r="C3598">
        <v>2009</v>
      </c>
      <c r="D3598" t="s">
        <v>3116</v>
      </c>
      <c r="E3598">
        <v>421</v>
      </c>
    </row>
    <row r="3599" spans="3:5" ht="14.1" customHeight="1">
      <c r="C3599">
        <v>2146</v>
      </c>
      <c r="D3599" t="s">
        <v>3117</v>
      </c>
      <c r="E3599">
        <v>366</v>
      </c>
    </row>
    <row r="3600" spans="3:5" ht="14.1" customHeight="1">
      <c r="C3600">
        <v>211</v>
      </c>
      <c r="D3600" t="s">
        <v>765</v>
      </c>
      <c r="E3600">
        <v>570</v>
      </c>
    </row>
    <row r="3601" spans="3:5" ht="14.1" customHeight="1">
      <c r="C3601">
        <v>980</v>
      </c>
      <c r="D3601" t="s">
        <v>3118</v>
      </c>
      <c r="E3601">
        <v>454</v>
      </c>
    </row>
    <row r="3602" spans="3:5" ht="14.1" customHeight="1">
      <c r="C3602">
        <v>2878</v>
      </c>
      <c r="D3602" t="s">
        <v>3119</v>
      </c>
      <c r="E3602">
        <v>478</v>
      </c>
    </row>
    <row r="3603" spans="3:5" ht="14.1" customHeight="1">
      <c r="C3603">
        <v>20</v>
      </c>
      <c r="D3603" t="s">
        <v>3120</v>
      </c>
      <c r="E3603">
        <v>716</v>
      </c>
    </row>
    <row r="3604" spans="3:5" ht="14.1" customHeight="1">
      <c r="C3604">
        <v>4567</v>
      </c>
      <c r="D3604" t="s">
        <v>3742</v>
      </c>
      <c r="E3604">
        <v>425</v>
      </c>
    </row>
    <row r="3605" spans="3:5" ht="14.1" customHeight="1">
      <c r="C3605">
        <v>314</v>
      </c>
      <c r="D3605" t="s">
        <v>766</v>
      </c>
      <c r="E3605">
        <v>636</v>
      </c>
    </row>
    <row r="3606" spans="3:5" ht="14.1" customHeight="1">
      <c r="C3606">
        <v>5088</v>
      </c>
      <c r="D3606" t="s">
        <v>4345</v>
      </c>
      <c r="E3606">
        <v>403</v>
      </c>
    </row>
    <row r="3607" spans="3:5" ht="14.1" customHeight="1">
      <c r="C3607">
        <v>2563</v>
      </c>
      <c r="D3607" t="s">
        <v>3121</v>
      </c>
      <c r="E3607">
        <v>697</v>
      </c>
    </row>
    <row r="3608" spans="3:5" ht="14.1" customHeight="1">
      <c r="C3608">
        <v>2415</v>
      </c>
      <c r="D3608" t="s">
        <v>3122</v>
      </c>
      <c r="E3608">
        <v>722</v>
      </c>
    </row>
    <row r="3609" spans="3:5" ht="14.1" customHeight="1">
      <c r="C3609">
        <v>1627</v>
      </c>
      <c r="D3609" t="s">
        <v>3123</v>
      </c>
      <c r="E3609">
        <v>578</v>
      </c>
    </row>
    <row r="3610" spans="3:5" ht="14.1" customHeight="1">
      <c r="C3610">
        <v>428</v>
      </c>
      <c r="D3610" t="s">
        <v>767</v>
      </c>
      <c r="E3610">
        <v>662</v>
      </c>
    </row>
    <row r="3611" spans="3:5" ht="14.1" customHeight="1">
      <c r="C3611">
        <v>886</v>
      </c>
      <c r="D3611" t="s">
        <v>768</v>
      </c>
      <c r="E3611">
        <v>859</v>
      </c>
    </row>
    <row r="3612" spans="3:5" ht="14.1" customHeight="1">
      <c r="C3612">
        <v>2507</v>
      </c>
      <c r="D3612" t="s">
        <v>3124</v>
      </c>
      <c r="E3612">
        <v>372</v>
      </c>
    </row>
    <row r="3613" spans="3:5" ht="14.1" customHeight="1">
      <c r="C3613">
        <v>966</v>
      </c>
      <c r="D3613" t="s">
        <v>3125</v>
      </c>
      <c r="E3613">
        <v>522</v>
      </c>
    </row>
    <row r="3614" spans="3:5" ht="14.1" customHeight="1">
      <c r="C3614">
        <v>4616</v>
      </c>
      <c r="D3614" t="s">
        <v>4128</v>
      </c>
      <c r="E3614">
        <v>818</v>
      </c>
    </row>
    <row r="3615" spans="3:5" ht="14.1" customHeight="1">
      <c r="C3615">
        <v>2883</v>
      </c>
      <c r="D3615" t="s">
        <v>3126</v>
      </c>
      <c r="E3615">
        <v>429</v>
      </c>
    </row>
    <row r="3616" spans="3:5" ht="14.1" customHeight="1">
      <c r="C3616">
        <v>2217</v>
      </c>
      <c r="D3616" t="s">
        <v>3127</v>
      </c>
      <c r="E3616">
        <v>466</v>
      </c>
    </row>
    <row r="3617" spans="3:5" ht="14.1" customHeight="1">
      <c r="C3617">
        <v>2472</v>
      </c>
      <c r="D3617" t="s">
        <v>3128</v>
      </c>
      <c r="E3617">
        <v>648</v>
      </c>
    </row>
    <row r="3618" spans="3:5" ht="14.1" customHeight="1">
      <c r="C3618">
        <v>2531</v>
      </c>
      <c r="D3618" t="s">
        <v>3129</v>
      </c>
      <c r="E3618">
        <v>509</v>
      </c>
    </row>
    <row r="3619" spans="3:5" ht="14.1" customHeight="1">
      <c r="C3619">
        <v>2519</v>
      </c>
      <c r="D3619" t="s">
        <v>3130</v>
      </c>
      <c r="E3619">
        <v>377</v>
      </c>
    </row>
    <row r="3620" spans="3:5" ht="14.1" customHeight="1">
      <c r="C3620">
        <v>4946</v>
      </c>
      <c r="D3620" t="s">
        <v>4129</v>
      </c>
      <c r="E3620">
        <v>371</v>
      </c>
    </row>
    <row r="3621" spans="3:5" ht="14.1" customHeight="1">
      <c r="C3621">
        <v>1238</v>
      </c>
      <c r="D3621" t="s">
        <v>3131</v>
      </c>
      <c r="E3621">
        <v>485</v>
      </c>
    </row>
    <row r="3622" spans="3:5" ht="14.1" customHeight="1">
      <c r="C3622">
        <v>2909</v>
      </c>
      <c r="D3622" t="s">
        <v>3132</v>
      </c>
      <c r="E3622">
        <v>559</v>
      </c>
    </row>
    <row r="3623" spans="3:5" ht="14.1" customHeight="1">
      <c r="C3623">
        <v>320</v>
      </c>
      <c r="D3623" t="s">
        <v>236</v>
      </c>
      <c r="E3623">
        <v>438</v>
      </c>
    </row>
    <row r="3624" spans="3:5" ht="14.1" customHeight="1">
      <c r="C3624">
        <v>4323</v>
      </c>
      <c r="D3624" t="s">
        <v>3133</v>
      </c>
      <c r="E3624">
        <v>462</v>
      </c>
    </row>
    <row r="3625" spans="3:5" ht="14.1" customHeight="1">
      <c r="C3625">
        <v>4213</v>
      </c>
      <c r="D3625" t="s">
        <v>3134</v>
      </c>
      <c r="E3625">
        <v>584</v>
      </c>
    </row>
    <row r="3626" spans="3:5" ht="14.1" customHeight="1">
      <c r="C3626">
        <v>2645</v>
      </c>
      <c r="D3626" t="s">
        <v>3135</v>
      </c>
      <c r="E3626">
        <v>707</v>
      </c>
    </row>
    <row r="3627" spans="3:5" ht="14.1" customHeight="1">
      <c r="C3627">
        <v>2708</v>
      </c>
      <c r="D3627" t="s">
        <v>3136</v>
      </c>
      <c r="E3627">
        <v>400</v>
      </c>
    </row>
    <row r="3628" spans="3:5" ht="14.1" customHeight="1">
      <c r="C3628">
        <v>3163</v>
      </c>
      <c r="D3628" t="s">
        <v>3137</v>
      </c>
      <c r="E3628">
        <v>0</v>
      </c>
    </row>
    <row r="3629" spans="3:5" ht="14.1" customHeight="1">
      <c r="C3629">
        <v>2276</v>
      </c>
      <c r="D3629" t="s">
        <v>3138</v>
      </c>
      <c r="E3629">
        <v>439</v>
      </c>
    </row>
    <row r="3630" spans="3:5" ht="14.1" customHeight="1">
      <c r="C3630">
        <v>2127</v>
      </c>
      <c r="D3630" t="s">
        <v>3139</v>
      </c>
      <c r="E3630">
        <v>521</v>
      </c>
    </row>
    <row r="3631" spans="3:5" ht="14.1" customHeight="1">
      <c r="C3631">
        <v>2915</v>
      </c>
      <c r="D3631" t="s">
        <v>3140</v>
      </c>
      <c r="E3631">
        <v>773</v>
      </c>
    </row>
    <row r="3632" spans="3:5" ht="14.1" customHeight="1">
      <c r="C3632">
        <v>4999</v>
      </c>
      <c r="D3632" t="s">
        <v>4130</v>
      </c>
      <c r="E3632">
        <v>537</v>
      </c>
    </row>
    <row r="3633" spans="3:5" ht="14.1" customHeight="1">
      <c r="C3633">
        <v>2588</v>
      </c>
      <c r="D3633" t="s">
        <v>3141</v>
      </c>
      <c r="E3633">
        <v>518</v>
      </c>
    </row>
    <row r="3634" spans="3:5" ht="14.1" customHeight="1">
      <c r="C3634">
        <v>4171</v>
      </c>
      <c r="D3634" t="s">
        <v>3142</v>
      </c>
      <c r="E3634">
        <v>521</v>
      </c>
    </row>
    <row r="3635" spans="3:5" ht="14.1" customHeight="1">
      <c r="C3635">
        <v>360</v>
      </c>
      <c r="D3635" t="s">
        <v>237</v>
      </c>
      <c r="E3635">
        <v>642</v>
      </c>
    </row>
    <row r="3636" spans="3:5" ht="14.1" customHeight="1">
      <c r="C3636">
        <v>268</v>
      </c>
      <c r="D3636" t="s">
        <v>769</v>
      </c>
      <c r="E3636">
        <v>514</v>
      </c>
    </row>
    <row r="3637" spans="3:5" ht="14.1" customHeight="1">
      <c r="C3637">
        <v>5108</v>
      </c>
      <c r="D3637" t="s">
        <v>4346</v>
      </c>
      <c r="E3637">
        <v>240</v>
      </c>
    </row>
    <row r="3638" spans="3:5" ht="14.1" customHeight="1">
      <c r="C3638">
        <v>1863</v>
      </c>
      <c r="D3638" t="s">
        <v>3143</v>
      </c>
      <c r="E3638">
        <v>499</v>
      </c>
    </row>
    <row r="3639" spans="3:5" ht="14.1" customHeight="1">
      <c r="C3639">
        <v>1433</v>
      </c>
      <c r="D3639" t="s">
        <v>3144</v>
      </c>
      <c r="E3639">
        <v>494</v>
      </c>
    </row>
    <row r="3640" spans="3:5" ht="14.1" customHeight="1">
      <c r="C3640">
        <v>1642</v>
      </c>
      <c r="D3640" t="s">
        <v>3145</v>
      </c>
      <c r="E3640">
        <v>600</v>
      </c>
    </row>
    <row r="3641" spans="3:5" ht="14.1" customHeight="1">
      <c r="C3641">
        <v>1636</v>
      </c>
      <c r="D3641" t="s">
        <v>3146</v>
      </c>
      <c r="E3641">
        <v>541</v>
      </c>
    </row>
    <row r="3642" spans="3:5" ht="14.1" customHeight="1">
      <c r="C3642">
        <v>277</v>
      </c>
      <c r="D3642" t="s">
        <v>238</v>
      </c>
      <c r="E3642">
        <v>354</v>
      </c>
    </row>
    <row r="3643" spans="3:5" ht="14.1" customHeight="1">
      <c r="C3643">
        <v>3047</v>
      </c>
      <c r="D3643" t="s">
        <v>3147</v>
      </c>
      <c r="E3643">
        <v>0</v>
      </c>
    </row>
    <row r="3644" spans="3:5" ht="14.1" customHeight="1">
      <c r="C3644">
        <v>1758</v>
      </c>
      <c r="D3644" t="s">
        <v>3148</v>
      </c>
      <c r="E3644">
        <v>918</v>
      </c>
    </row>
    <row r="3645" spans="3:5" ht="14.1" customHeight="1">
      <c r="C3645">
        <v>4</v>
      </c>
      <c r="D3645" t="s">
        <v>770</v>
      </c>
      <c r="E3645">
        <v>566</v>
      </c>
    </row>
    <row r="3646" spans="3:5" ht="14.1" customHeight="1">
      <c r="C3646">
        <v>1956</v>
      </c>
      <c r="D3646" t="s">
        <v>3149</v>
      </c>
      <c r="E3646">
        <v>574</v>
      </c>
    </row>
    <row r="3647" spans="3:5" ht="14.1" customHeight="1">
      <c r="C3647">
        <v>1957</v>
      </c>
      <c r="D3647" t="s">
        <v>3150</v>
      </c>
      <c r="E3647">
        <v>605</v>
      </c>
    </row>
    <row r="3648" spans="3:5" ht="14.1" customHeight="1">
      <c r="C3648">
        <v>4378</v>
      </c>
      <c r="D3648" t="s">
        <v>3743</v>
      </c>
      <c r="E3648">
        <v>508</v>
      </c>
    </row>
    <row r="3649" spans="3:5" ht="14.1" customHeight="1">
      <c r="C3649">
        <v>616</v>
      </c>
      <c r="D3649" t="s">
        <v>771</v>
      </c>
      <c r="E3649">
        <v>348</v>
      </c>
    </row>
    <row r="3650" spans="3:5" ht="14.1" customHeight="1">
      <c r="C3650">
        <v>1345</v>
      </c>
      <c r="D3650" t="s">
        <v>3151</v>
      </c>
      <c r="E3650">
        <v>537</v>
      </c>
    </row>
    <row r="3651" spans="3:5" ht="14.1" customHeight="1">
      <c r="C3651">
        <v>48</v>
      </c>
      <c r="D3651" t="s">
        <v>239</v>
      </c>
      <c r="E3651">
        <v>641</v>
      </c>
    </row>
    <row r="3652" spans="3:5" ht="14.1" customHeight="1">
      <c r="C3652">
        <v>1479</v>
      </c>
      <c r="D3652" t="s">
        <v>3152</v>
      </c>
      <c r="E3652">
        <v>858</v>
      </c>
    </row>
    <row r="3653" spans="3:5" ht="14.1" customHeight="1">
      <c r="C3653">
        <v>28</v>
      </c>
      <c r="D3653" t="s">
        <v>240</v>
      </c>
      <c r="E3653">
        <v>776</v>
      </c>
    </row>
    <row r="3654" spans="3:5" ht="14.1" customHeight="1">
      <c r="C3654">
        <v>1516</v>
      </c>
      <c r="D3654" t="s">
        <v>4131</v>
      </c>
      <c r="E3654">
        <v>757</v>
      </c>
    </row>
    <row r="3655" spans="3:5" ht="14.1" customHeight="1">
      <c r="C3655">
        <v>2247</v>
      </c>
      <c r="D3655" t="s">
        <v>3153</v>
      </c>
      <c r="E3655">
        <v>513</v>
      </c>
    </row>
    <row r="3656" spans="3:5" ht="14.1" customHeight="1">
      <c r="C3656">
        <v>2711</v>
      </c>
      <c r="D3656" t="s">
        <v>3154</v>
      </c>
      <c r="E3656">
        <v>364</v>
      </c>
    </row>
    <row r="3657" spans="3:5" ht="14.1" customHeight="1">
      <c r="C3657">
        <v>1974</v>
      </c>
      <c r="D3657" t="s">
        <v>3155</v>
      </c>
      <c r="E3657">
        <v>398</v>
      </c>
    </row>
    <row r="3658" spans="3:5" ht="14.1" customHeight="1">
      <c r="C3658">
        <v>223</v>
      </c>
      <c r="D3658" t="s">
        <v>241</v>
      </c>
      <c r="E3658">
        <v>569</v>
      </c>
    </row>
    <row r="3659" spans="3:5" ht="14.1" customHeight="1">
      <c r="C3659">
        <v>2617</v>
      </c>
      <c r="D3659" t="s">
        <v>3156</v>
      </c>
      <c r="E3659">
        <v>530</v>
      </c>
    </row>
    <row r="3660" spans="3:5" ht="14.1" customHeight="1">
      <c r="C3660">
        <v>2897</v>
      </c>
      <c r="D3660" t="s">
        <v>3157</v>
      </c>
      <c r="E3660">
        <v>430</v>
      </c>
    </row>
    <row r="3661" spans="3:5" ht="14.1" customHeight="1">
      <c r="C3661">
        <v>2082</v>
      </c>
      <c r="D3661" t="s">
        <v>3158</v>
      </c>
      <c r="E3661">
        <v>628</v>
      </c>
    </row>
    <row r="3662" spans="3:5" ht="14.1" customHeight="1">
      <c r="C3662">
        <v>118</v>
      </c>
      <c r="D3662" t="s">
        <v>3159</v>
      </c>
      <c r="E3662">
        <v>873</v>
      </c>
    </row>
    <row r="3663" spans="3:5" ht="14.1" customHeight="1">
      <c r="C3663">
        <v>1476</v>
      </c>
      <c r="D3663" t="s">
        <v>3160</v>
      </c>
      <c r="E3663">
        <v>472</v>
      </c>
    </row>
    <row r="3664" spans="3:5" ht="14.1" customHeight="1">
      <c r="C3664">
        <v>831</v>
      </c>
      <c r="D3664" t="s">
        <v>772</v>
      </c>
      <c r="E3664">
        <v>525</v>
      </c>
    </row>
    <row r="3665" spans="3:5" ht="14.1" customHeight="1">
      <c r="C3665">
        <v>1871</v>
      </c>
      <c r="D3665" t="s">
        <v>3161</v>
      </c>
      <c r="E3665">
        <v>501</v>
      </c>
    </row>
    <row r="3666" spans="3:5" ht="14.1" customHeight="1">
      <c r="C3666">
        <v>2646</v>
      </c>
      <c r="D3666" t="s">
        <v>3162</v>
      </c>
      <c r="E3666">
        <v>609</v>
      </c>
    </row>
    <row r="3667" spans="3:5" ht="14.1" customHeight="1">
      <c r="C3667">
        <v>4289</v>
      </c>
      <c r="D3667" t="s">
        <v>3163</v>
      </c>
      <c r="E3667">
        <v>480</v>
      </c>
    </row>
    <row r="3668" spans="3:5" ht="14.1" customHeight="1">
      <c r="C3668">
        <v>197</v>
      </c>
      <c r="D3668" t="s">
        <v>3164</v>
      </c>
      <c r="E3668">
        <v>642</v>
      </c>
    </row>
    <row r="3669" spans="3:5" ht="14.1" customHeight="1">
      <c r="C3669">
        <v>4301</v>
      </c>
      <c r="D3669" t="s">
        <v>3165</v>
      </c>
      <c r="E3669">
        <v>500</v>
      </c>
    </row>
    <row r="3670" spans="3:5" ht="14.1" customHeight="1">
      <c r="C3670">
        <v>292</v>
      </c>
      <c r="D3670" t="s">
        <v>773</v>
      </c>
      <c r="E3670">
        <v>724</v>
      </c>
    </row>
    <row r="3671" spans="3:5" ht="14.1" customHeight="1">
      <c r="C3671">
        <v>4522</v>
      </c>
      <c r="D3671" t="s">
        <v>3744</v>
      </c>
      <c r="E3671">
        <v>681</v>
      </c>
    </row>
    <row r="3672" spans="3:5" ht="14.1" customHeight="1">
      <c r="C3672">
        <v>4533</v>
      </c>
      <c r="D3672" t="s">
        <v>3745</v>
      </c>
      <c r="E3672">
        <v>585</v>
      </c>
    </row>
    <row r="3673" spans="3:5" ht="14.1" customHeight="1">
      <c r="C3673">
        <v>4165</v>
      </c>
      <c r="D3673" t="s">
        <v>3166</v>
      </c>
      <c r="E3673">
        <v>545</v>
      </c>
    </row>
    <row r="3674" spans="3:5" ht="14.1" customHeight="1">
      <c r="C3674">
        <v>2686</v>
      </c>
      <c r="D3674" t="s">
        <v>3167</v>
      </c>
      <c r="E3674">
        <v>579</v>
      </c>
    </row>
    <row r="3675" spans="3:5" ht="14.1" customHeight="1">
      <c r="C3675">
        <v>3171</v>
      </c>
      <c r="D3675" t="s">
        <v>3168</v>
      </c>
      <c r="E3675">
        <v>0</v>
      </c>
    </row>
    <row r="3676" spans="3:5" ht="14.1" customHeight="1">
      <c r="C3676">
        <v>4913</v>
      </c>
      <c r="D3676" t="s">
        <v>4132</v>
      </c>
      <c r="E3676">
        <v>638</v>
      </c>
    </row>
    <row r="3677" spans="3:5" ht="14.1" customHeight="1">
      <c r="C3677">
        <v>3074</v>
      </c>
      <c r="D3677" t="s">
        <v>3169</v>
      </c>
      <c r="E3677">
        <v>0</v>
      </c>
    </row>
    <row r="3678" spans="3:5" ht="14.1" customHeight="1">
      <c r="C3678">
        <v>354</v>
      </c>
      <c r="D3678" t="s">
        <v>242</v>
      </c>
      <c r="E3678">
        <v>528</v>
      </c>
    </row>
    <row r="3679" spans="3:5" ht="14.1" customHeight="1">
      <c r="C3679">
        <v>1660</v>
      </c>
      <c r="D3679" t="s">
        <v>3170</v>
      </c>
      <c r="E3679">
        <v>715</v>
      </c>
    </row>
    <row r="3680" spans="3:5" ht="14.1" customHeight="1">
      <c r="C3680">
        <v>231</v>
      </c>
      <c r="D3680" t="s">
        <v>3171</v>
      </c>
      <c r="E3680">
        <v>330</v>
      </c>
    </row>
    <row r="3681" spans="3:5" ht="14.1" customHeight="1">
      <c r="C3681">
        <v>478</v>
      </c>
      <c r="D3681" t="s">
        <v>3172</v>
      </c>
      <c r="E3681">
        <v>634</v>
      </c>
    </row>
    <row r="3682" spans="3:5" ht="14.1" customHeight="1">
      <c r="C3682">
        <v>3153</v>
      </c>
      <c r="D3682" t="s">
        <v>3173</v>
      </c>
      <c r="E3682">
        <v>0</v>
      </c>
    </row>
    <row r="3683" spans="3:5" ht="14.1" customHeight="1">
      <c r="C3683">
        <v>1413</v>
      </c>
      <c r="D3683" t="s">
        <v>3174</v>
      </c>
      <c r="E3683">
        <v>720</v>
      </c>
    </row>
    <row r="3684" spans="3:5" ht="14.1" customHeight="1">
      <c r="C3684">
        <v>4887</v>
      </c>
      <c r="D3684" t="s">
        <v>4133</v>
      </c>
      <c r="E3684">
        <v>551</v>
      </c>
    </row>
    <row r="3685" spans="3:5" ht="14.1" customHeight="1">
      <c r="C3685">
        <v>3339</v>
      </c>
      <c r="D3685" t="s">
        <v>3175</v>
      </c>
      <c r="E3685">
        <v>490</v>
      </c>
    </row>
    <row r="3686" spans="3:5" ht="14.1" customHeight="1">
      <c r="C3686">
        <v>1616</v>
      </c>
      <c r="D3686" t="s">
        <v>3176</v>
      </c>
      <c r="E3686">
        <v>735</v>
      </c>
    </row>
    <row r="3687" spans="3:5" ht="14.1" customHeight="1">
      <c r="C3687">
        <v>4902</v>
      </c>
      <c r="D3687" t="s">
        <v>4134</v>
      </c>
      <c r="E3687">
        <v>491</v>
      </c>
    </row>
    <row r="3688" spans="3:5" ht="14.1" customHeight="1">
      <c r="C3688">
        <v>2144</v>
      </c>
      <c r="D3688" t="s">
        <v>3177</v>
      </c>
      <c r="E3688">
        <v>505</v>
      </c>
    </row>
    <row r="3689" spans="3:5" ht="14.1" customHeight="1">
      <c r="C3689">
        <v>1097</v>
      </c>
      <c r="D3689" t="s">
        <v>3178</v>
      </c>
      <c r="E3689">
        <v>486</v>
      </c>
    </row>
    <row r="3690" spans="3:5" ht="14.1" customHeight="1">
      <c r="C3690">
        <v>405</v>
      </c>
      <c r="D3690" t="s">
        <v>243</v>
      </c>
      <c r="E3690">
        <v>500</v>
      </c>
    </row>
    <row r="3691" spans="3:5" ht="14.1" customHeight="1">
      <c r="C3691">
        <v>2662</v>
      </c>
      <c r="D3691" t="s">
        <v>3179</v>
      </c>
      <c r="E3691">
        <v>684</v>
      </c>
    </row>
    <row r="3692" spans="3:5" ht="14.1" customHeight="1">
      <c r="C3692">
        <v>545</v>
      </c>
      <c r="D3692" t="s">
        <v>3180</v>
      </c>
      <c r="E3692">
        <v>601</v>
      </c>
    </row>
    <row r="3693" spans="3:5" ht="14.1" customHeight="1">
      <c r="C3693">
        <v>1182</v>
      </c>
      <c r="D3693" t="s">
        <v>3181</v>
      </c>
      <c r="E3693">
        <v>739</v>
      </c>
    </row>
    <row r="3694" spans="3:5" ht="14.1" customHeight="1">
      <c r="C3694">
        <v>1183</v>
      </c>
      <c r="D3694" t="s">
        <v>3182</v>
      </c>
      <c r="E3694">
        <v>794</v>
      </c>
    </row>
    <row r="3695" spans="3:5" ht="14.1" customHeight="1">
      <c r="C3695">
        <v>1190</v>
      </c>
      <c r="D3695" t="s">
        <v>3183</v>
      </c>
      <c r="E3695">
        <v>671</v>
      </c>
    </row>
    <row r="3696" spans="3:5" ht="14.1" customHeight="1">
      <c r="C3696">
        <v>4872</v>
      </c>
      <c r="D3696" t="s">
        <v>4135</v>
      </c>
      <c r="E3696">
        <v>623</v>
      </c>
    </row>
    <row r="3697" spans="3:5" ht="14.1" customHeight="1">
      <c r="C3697">
        <v>658</v>
      </c>
      <c r="D3697" t="s">
        <v>3184</v>
      </c>
      <c r="E3697">
        <v>861</v>
      </c>
    </row>
    <row r="3698" spans="3:5" ht="14.1" customHeight="1">
      <c r="C3698">
        <v>2094</v>
      </c>
      <c r="D3698" t="s">
        <v>3185</v>
      </c>
      <c r="E3698">
        <v>449</v>
      </c>
    </row>
    <row r="3699" spans="3:5" ht="14.1" customHeight="1">
      <c r="C3699">
        <v>1124</v>
      </c>
      <c r="D3699" t="s">
        <v>3186</v>
      </c>
      <c r="E3699">
        <v>782</v>
      </c>
    </row>
    <row r="3700" spans="3:5" ht="14.1" customHeight="1">
      <c r="C3700">
        <v>2384</v>
      </c>
      <c r="D3700" t="s">
        <v>3187</v>
      </c>
      <c r="E3700">
        <v>334</v>
      </c>
    </row>
    <row r="3701" spans="3:5" ht="14.1" customHeight="1">
      <c r="C3701">
        <v>4342</v>
      </c>
      <c r="D3701" t="s">
        <v>3188</v>
      </c>
      <c r="E3701">
        <v>642</v>
      </c>
    </row>
    <row r="3702" spans="3:5" ht="14.1" customHeight="1">
      <c r="C3702">
        <v>2487</v>
      </c>
      <c r="D3702" t="s">
        <v>3189</v>
      </c>
      <c r="E3702">
        <v>670</v>
      </c>
    </row>
    <row r="3703" spans="3:5" ht="14.1" customHeight="1">
      <c r="C3703">
        <v>1904</v>
      </c>
      <c r="D3703" t="s">
        <v>3190</v>
      </c>
      <c r="E3703">
        <v>593</v>
      </c>
    </row>
    <row r="3704" spans="3:5" ht="14.1" customHeight="1">
      <c r="C3704">
        <v>2397</v>
      </c>
      <c r="D3704" t="s">
        <v>3191</v>
      </c>
      <c r="E3704">
        <v>343</v>
      </c>
    </row>
    <row r="3705" spans="3:5" ht="14.1" customHeight="1">
      <c r="C3705">
        <v>2113</v>
      </c>
      <c r="D3705" t="s">
        <v>3192</v>
      </c>
      <c r="E3705">
        <v>973</v>
      </c>
    </row>
    <row r="3706" spans="3:5" ht="14.1" customHeight="1">
      <c r="C3706">
        <v>2325</v>
      </c>
      <c r="D3706" t="s">
        <v>3193</v>
      </c>
      <c r="E3706">
        <v>634</v>
      </c>
    </row>
    <row r="3707" spans="3:5" ht="14.1" customHeight="1">
      <c r="C3707">
        <v>284</v>
      </c>
      <c r="D3707" t="s">
        <v>244</v>
      </c>
      <c r="E3707">
        <v>424</v>
      </c>
    </row>
    <row r="3708" spans="3:5" ht="14.1" customHeight="1">
      <c r="C3708">
        <v>2344</v>
      </c>
      <c r="D3708" t="s">
        <v>3194</v>
      </c>
      <c r="E3708">
        <v>760</v>
      </c>
    </row>
    <row r="3709" spans="3:5" ht="14.1" customHeight="1">
      <c r="C3709">
        <v>4164</v>
      </c>
      <c r="D3709" t="s">
        <v>3195</v>
      </c>
      <c r="E3709">
        <v>898</v>
      </c>
    </row>
    <row r="3710" spans="3:5" ht="14.1" customHeight="1">
      <c r="C3710">
        <v>2694</v>
      </c>
      <c r="D3710" t="s">
        <v>3196</v>
      </c>
      <c r="E3710">
        <v>562</v>
      </c>
    </row>
    <row r="3711" spans="3:5" ht="14.1" customHeight="1">
      <c r="C3711">
        <v>3230</v>
      </c>
      <c r="D3711" t="s">
        <v>3197</v>
      </c>
      <c r="E3711">
        <v>0</v>
      </c>
    </row>
    <row r="3712" spans="3:5" ht="14.1" customHeight="1">
      <c r="C3712">
        <v>1459</v>
      </c>
      <c r="D3712" t="s">
        <v>3198</v>
      </c>
      <c r="E3712">
        <v>636</v>
      </c>
    </row>
    <row r="3713" spans="3:5" ht="14.1" customHeight="1">
      <c r="C3713">
        <v>1460</v>
      </c>
      <c r="D3713" t="s">
        <v>3199</v>
      </c>
      <c r="E3713">
        <v>685</v>
      </c>
    </row>
    <row r="3714" spans="3:5" ht="14.1" customHeight="1">
      <c r="C3714">
        <v>1341</v>
      </c>
      <c r="D3714" t="s">
        <v>3200</v>
      </c>
      <c r="E3714">
        <v>489</v>
      </c>
    </row>
    <row r="3715" spans="3:5" ht="14.1" customHeight="1">
      <c r="C3715">
        <v>4615</v>
      </c>
      <c r="D3715" t="s">
        <v>4136</v>
      </c>
      <c r="E3715">
        <v>261</v>
      </c>
    </row>
    <row r="3716" spans="3:5" ht="14.1" customHeight="1">
      <c r="C3716">
        <v>4759</v>
      </c>
      <c r="D3716" t="s">
        <v>4137</v>
      </c>
      <c r="E3716">
        <v>604</v>
      </c>
    </row>
    <row r="3717" spans="3:5" ht="14.1" customHeight="1">
      <c r="C3717">
        <v>309</v>
      </c>
      <c r="D3717" t="s">
        <v>245</v>
      </c>
      <c r="E3717">
        <v>364</v>
      </c>
    </row>
    <row r="3718" spans="3:5" ht="14.1" customHeight="1">
      <c r="C3718">
        <v>5076</v>
      </c>
      <c r="D3718" t="s">
        <v>4347</v>
      </c>
      <c r="E3718">
        <v>420</v>
      </c>
    </row>
    <row r="3719" spans="3:5" ht="14.1" customHeight="1">
      <c r="C3719">
        <v>1072</v>
      </c>
      <c r="D3719" t="s">
        <v>3201</v>
      </c>
      <c r="E3719">
        <v>498</v>
      </c>
    </row>
    <row r="3720" spans="3:5" ht="14.1" customHeight="1">
      <c r="C3720">
        <v>4827</v>
      </c>
      <c r="D3720" t="s">
        <v>4138</v>
      </c>
      <c r="E3720">
        <v>646</v>
      </c>
    </row>
    <row r="3721" spans="3:5" ht="14.1" customHeight="1">
      <c r="C3721">
        <v>4129</v>
      </c>
      <c r="D3721" t="s">
        <v>3202</v>
      </c>
      <c r="E3721">
        <v>505</v>
      </c>
    </row>
    <row r="3722" spans="3:5" ht="14.1" customHeight="1">
      <c r="C3722">
        <v>891</v>
      </c>
      <c r="D3722" t="s">
        <v>774</v>
      </c>
      <c r="E3722">
        <v>556</v>
      </c>
    </row>
    <row r="3723" spans="3:5" ht="14.1" customHeight="1">
      <c r="C3723">
        <v>1826</v>
      </c>
      <c r="D3723" t="s">
        <v>3203</v>
      </c>
      <c r="E3723">
        <v>398</v>
      </c>
    </row>
    <row r="3724" spans="3:5" ht="14.1" customHeight="1">
      <c r="C3724">
        <v>2972</v>
      </c>
      <c r="D3724" t="s">
        <v>3204</v>
      </c>
      <c r="E3724">
        <v>497</v>
      </c>
    </row>
    <row r="3725" spans="3:5" ht="14.1" customHeight="1">
      <c r="C3725">
        <v>4928</v>
      </c>
      <c r="D3725" t="s">
        <v>4139</v>
      </c>
      <c r="E3725">
        <v>523</v>
      </c>
    </row>
    <row r="3726" spans="3:5" ht="14.1" customHeight="1">
      <c r="C3726">
        <v>5008</v>
      </c>
      <c r="D3726" t="s">
        <v>4140</v>
      </c>
      <c r="E3726">
        <v>465</v>
      </c>
    </row>
    <row r="3727" spans="3:5" ht="14.1" customHeight="1">
      <c r="C3727">
        <v>2709</v>
      </c>
      <c r="D3727" t="s">
        <v>3205</v>
      </c>
      <c r="E3727">
        <v>411</v>
      </c>
    </row>
    <row r="3728" spans="3:5" ht="14.1" customHeight="1">
      <c r="C3728">
        <v>3311</v>
      </c>
      <c r="D3728" t="s">
        <v>3206</v>
      </c>
      <c r="E3728">
        <v>719</v>
      </c>
    </row>
    <row r="3729" spans="3:5" ht="14.1" customHeight="1">
      <c r="C3729">
        <v>1387</v>
      </c>
      <c r="D3729" t="s">
        <v>3207</v>
      </c>
      <c r="E3729">
        <v>630</v>
      </c>
    </row>
    <row r="3730" spans="3:5" ht="14.1" customHeight="1">
      <c r="C3730">
        <v>2236</v>
      </c>
      <c r="D3730" t="s">
        <v>3208</v>
      </c>
      <c r="E3730">
        <v>771</v>
      </c>
    </row>
    <row r="3731" spans="3:5" ht="14.1" customHeight="1">
      <c r="C3731">
        <v>5064</v>
      </c>
      <c r="D3731" t="s">
        <v>4348</v>
      </c>
      <c r="E3731">
        <v>597</v>
      </c>
    </row>
    <row r="3732" spans="3:5" ht="14.1" customHeight="1">
      <c r="C3732">
        <v>5065</v>
      </c>
      <c r="D3732" t="s">
        <v>4349</v>
      </c>
      <c r="E3732">
        <v>614</v>
      </c>
    </row>
    <row r="3733" spans="3:5" ht="14.1" customHeight="1">
      <c r="C3733">
        <v>4909</v>
      </c>
      <c r="D3733" t="s">
        <v>4141</v>
      </c>
      <c r="E3733">
        <v>714</v>
      </c>
    </row>
    <row r="3734" spans="3:5" ht="14.1" customHeight="1">
      <c r="C3734">
        <v>2454</v>
      </c>
      <c r="D3734" t="s">
        <v>3209</v>
      </c>
      <c r="E3734">
        <v>694</v>
      </c>
    </row>
    <row r="3735" spans="3:5" ht="14.1" customHeight="1">
      <c r="C3735">
        <v>2679</v>
      </c>
      <c r="D3735" t="s">
        <v>3210</v>
      </c>
      <c r="E3735">
        <v>631</v>
      </c>
    </row>
    <row r="3736" spans="3:5" ht="14.1" customHeight="1">
      <c r="C3736">
        <v>2373</v>
      </c>
      <c r="D3736" t="s">
        <v>3211</v>
      </c>
      <c r="E3736">
        <v>409</v>
      </c>
    </row>
    <row r="3737" spans="3:5" ht="14.1" customHeight="1">
      <c r="C3737">
        <v>283</v>
      </c>
      <c r="D3737" t="s">
        <v>246</v>
      </c>
      <c r="E3737">
        <v>360</v>
      </c>
    </row>
    <row r="3738" spans="3:5" ht="14.1" customHeight="1">
      <c r="C3738">
        <v>2546</v>
      </c>
      <c r="D3738" t="s">
        <v>3212</v>
      </c>
      <c r="E3738">
        <v>340</v>
      </c>
    </row>
    <row r="3739" spans="3:5" ht="14.1" customHeight="1">
      <c r="C3739">
        <v>4602</v>
      </c>
      <c r="D3739" t="s">
        <v>4142</v>
      </c>
      <c r="E3739">
        <v>0</v>
      </c>
    </row>
    <row r="3740" spans="3:5" ht="14.1" customHeight="1">
      <c r="C3740">
        <v>74</v>
      </c>
      <c r="D3740" t="s">
        <v>247</v>
      </c>
      <c r="E3740">
        <v>671</v>
      </c>
    </row>
    <row r="3741" spans="3:5" ht="14.1" customHeight="1">
      <c r="C3741">
        <v>944</v>
      </c>
      <c r="D3741" t="s">
        <v>3213</v>
      </c>
      <c r="E3741">
        <v>708</v>
      </c>
    </row>
    <row r="3742" spans="3:5" ht="14.1" customHeight="1">
      <c r="C3742">
        <v>1947</v>
      </c>
      <c r="D3742" t="s">
        <v>3214</v>
      </c>
      <c r="E3742">
        <v>750</v>
      </c>
    </row>
    <row r="3743" spans="3:5" ht="14.1" customHeight="1">
      <c r="C3743">
        <v>3028</v>
      </c>
      <c r="D3743" t="s">
        <v>3215</v>
      </c>
      <c r="E3743">
        <v>0</v>
      </c>
    </row>
    <row r="3744" spans="3:5" ht="14.1" customHeight="1">
      <c r="C3744">
        <v>2962</v>
      </c>
      <c r="D3744" t="s">
        <v>3216</v>
      </c>
      <c r="E3744">
        <v>453</v>
      </c>
    </row>
    <row r="3745" spans="3:5" ht="14.1" customHeight="1">
      <c r="C3745">
        <v>68</v>
      </c>
      <c r="D3745" t="s">
        <v>775</v>
      </c>
      <c r="E3745">
        <v>875</v>
      </c>
    </row>
    <row r="3746" spans="3:5" ht="14.1" customHeight="1">
      <c r="C3746">
        <v>730</v>
      </c>
      <c r="D3746" t="s">
        <v>776</v>
      </c>
      <c r="E3746">
        <v>519</v>
      </c>
    </row>
    <row r="3747" spans="3:5" ht="14.1" customHeight="1">
      <c r="C3747">
        <v>1480</v>
      </c>
      <c r="D3747" t="s">
        <v>3217</v>
      </c>
      <c r="E3747">
        <v>594</v>
      </c>
    </row>
    <row r="3748" spans="3:5" ht="14.1" customHeight="1">
      <c r="C3748">
        <v>5083</v>
      </c>
      <c r="D3748" t="s">
        <v>4350</v>
      </c>
      <c r="E3748">
        <v>381</v>
      </c>
    </row>
    <row r="3749" spans="3:5" ht="14.1" customHeight="1">
      <c r="C3749">
        <v>2755</v>
      </c>
      <c r="D3749" t="s">
        <v>3218</v>
      </c>
      <c r="E3749">
        <v>697</v>
      </c>
    </row>
    <row r="3750" spans="3:5" ht="14.1" customHeight="1">
      <c r="C3750">
        <v>1696</v>
      </c>
      <c r="D3750" t="s">
        <v>3219</v>
      </c>
      <c r="E3750">
        <v>634</v>
      </c>
    </row>
    <row r="3751" spans="3:5" ht="14.1" customHeight="1">
      <c r="C3751">
        <v>1079</v>
      </c>
      <c r="D3751" t="s">
        <v>3220</v>
      </c>
      <c r="E3751">
        <v>627</v>
      </c>
    </row>
    <row r="3752" spans="3:5" ht="14.1" customHeight="1">
      <c r="C3752">
        <v>729</v>
      </c>
      <c r="D3752" t="s">
        <v>777</v>
      </c>
      <c r="E3752">
        <v>488</v>
      </c>
    </row>
    <row r="3753" spans="3:5" ht="14.1" customHeight="1">
      <c r="C3753">
        <v>441</v>
      </c>
      <c r="D3753" t="s">
        <v>778</v>
      </c>
      <c r="E3753">
        <v>996</v>
      </c>
    </row>
    <row r="3754" spans="3:5" ht="14.1" customHeight="1">
      <c r="C3754">
        <v>4617</v>
      </c>
      <c r="D3754" t="s">
        <v>4143</v>
      </c>
      <c r="E3754">
        <v>0</v>
      </c>
    </row>
    <row r="3755" spans="3:5" ht="14.1" customHeight="1">
      <c r="C3755">
        <v>4703</v>
      </c>
      <c r="D3755" t="s">
        <v>4144</v>
      </c>
      <c r="E3755">
        <v>0</v>
      </c>
    </row>
    <row r="3756" spans="3:5" ht="14.1" customHeight="1">
      <c r="C3756">
        <v>1715</v>
      </c>
      <c r="D3756" t="s">
        <v>3221</v>
      </c>
      <c r="E3756">
        <v>0</v>
      </c>
    </row>
    <row r="3757" spans="3:5" ht="14.1" customHeight="1">
      <c r="C3757">
        <v>5035</v>
      </c>
      <c r="D3757" t="s">
        <v>4351</v>
      </c>
      <c r="E3757">
        <v>921</v>
      </c>
    </row>
    <row r="3758" spans="3:5" ht="14.1" customHeight="1">
      <c r="C3758">
        <v>1973</v>
      </c>
      <c r="D3758" t="s">
        <v>3222</v>
      </c>
      <c r="E3758">
        <v>368</v>
      </c>
    </row>
    <row r="3759" spans="3:5" ht="14.1" customHeight="1">
      <c r="C3759">
        <v>2995</v>
      </c>
      <c r="D3759" t="s">
        <v>3223</v>
      </c>
      <c r="E3759">
        <v>0</v>
      </c>
    </row>
    <row r="3760" spans="3:5" ht="14.1" customHeight="1">
      <c r="C3760">
        <v>167</v>
      </c>
      <c r="D3760" t="s">
        <v>779</v>
      </c>
      <c r="E3760">
        <v>821</v>
      </c>
    </row>
    <row r="3761" spans="3:5" ht="14.1" customHeight="1">
      <c r="C3761">
        <v>319</v>
      </c>
      <c r="D3761" t="s">
        <v>780</v>
      </c>
      <c r="E3761">
        <v>230</v>
      </c>
    </row>
    <row r="3762" spans="3:5" ht="14.1" customHeight="1">
      <c r="C3762">
        <v>724</v>
      </c>
      <c r="D3762" t="s">
        <v>781</v>
      </c>
      <c r="E3762">
        <v>386</v>
      </c>
    </row>
    <row r="3763" spans="3:5" ht="14.1" customHeight="1">
      <c r="C3763">
        <v>943</v>
      </c>
      <c r="D3763" t="s">
        <v>3224</v>
      </c>
      <c r="E3763">
        <v>643</v>
      </c>
    </row>
    <row r="3764" spans="3:5" ht="14.1" customHeight="1">
      <c r="C3764">
        <v>830</v>
      </c>
      <c r="D3764" t="s">
        <v>782</v>
      </c>
      <c r="E3764">
        <v>456</v>
      </c>
    </row>
    <row r="3765" spans="3:5" ht="14.1" customHeight="1">
      <c r="C3765">
        <v>705</v>
      </c>
      <c r="D3765" t="s">
        <v>3225</v>
      </c>
      <c r="E3765">
        <v>579</v>
      </c>
    </row>
    <row r="3766" spans="3:5" ht="14.1" customHeight="1">
      <c r="C3766">
        <v>946</v>
      </c>
      <c r="D3766" t="s">
        <v>3226</v>
      </c>
      <c r="E3766">
        <v>591</v>
      </c>
    </row>
    <row r="3767" spans="3:5" ht="14.1" customHeight="1">
      <c r="C3767">
        <v>4257</v>
      </c>
      <c r="D3767" t="s">
        <v>3227</v>
      </c>
      <c r="E3767">
        <v>356</v>
      </c>
    </row>
    <row r="3768" spans="3:5" ht="14.1" customHeight="1">
      <c r="C3768">
        <v>2293</v>
      </c>
      <c r="D3768" t="s">
        <v>3228</v>
      </c>
      <c r="E3768">
        <v>838</v>
      </c>
    </row>
    <row r="3769" spans="3:5" ht="14.1" customHeight="1">
      <c r="C3769">
        <v>1873</v>
      </c>
      <c r="D3769" t="s">
        <v>3229</v>
      </c>
      <c r="E3769">
        <v>735</v>
      </c>
    </row>
    <row r="3770" spans="3:5" ht="14.1" customHeight="1">
      <c r="C3770">
        <v>5167</v>
      </c>
      <c r="D3770" t="s">
        <v>4352</v>
      </c>
      <c r="E3770">
        <v>737</v>
      </c>
    </row>
    <row r="3771" spans="3:5" ht="14.1" customHeight="1">
      <c r="C3771">
        <v>746</v>
      </c>
      <c r="D3771" t="s">
        <v>783</v>
      </c>
      <c r="E3771">
        <v>459</v>
      </c>
    </row>
    <row r="3772" spans="3:5" ht="14.1" customHeight="1">
      <c r="C3772">
        <v>1082</v>
      </c>
      <c r="D3772" t="s">
        <v>3230</v>
      </c>
      <c r="E3772">
        <v>534</v>
      </c>
    </row>
    <row r="3773" spans="3:5" ht="14.1" customHeight="1">
      <c r="C3773">
        <v>4296</v>
      </c>
      <c r="D3773" t="s">
        <v>3231</v>
      </c>
      <c r="E3773">
        <v>447</v>
      </c>
    </row>
    <row r="3774" spans="3:5" ht="14.1" customHeight="1">
      <c r="C3774">
        <v>1185</v>
      </c>
      <c r="D3774" t="s">
        <v>3232</v>
      </c>
      <c r="E3774">
        <v>674</v>
      </c>
    </row>
    <row r="3775" spans="3:5" ht="14.1" customHeight="1">
      <c r="C3775">
        <v>1186</v>
      </c>
      <c r="D3775" t="s">
        <v>3233</v>
      </c>
      <c r="E3775">
        <v>685</v>
      </c>
    </row>
    <row r="3776" spans="3:5" ht="14.1" customHeight="1">
      <c r="C3776">
        <v>940</v>
      </c>
      <c r="D3776" t="s">
        <v>3234</v>
      </c>
      <c r="E3776">
        <v>448</v>
      </c>
    </row>
    <row r="3777" spans="3:5" ht="14.1" customHeight="1">
      <c r="C3777">
        <v>4713</v>
      </c>
      <c r="D3777" t="s">
        <v>4145</v>
      </c>
      <c r="E3777">
        <v>416</v>
      </c>
    </row>
    <row r="3778" spans="3:5" ht="14.1" customHeight="1">
      <c r="C3778">
        <v>4712</v>
      </c>
      <c r="D3778" t="s">
        <v>4146</v>
      </c>
      <c r="E3778">
        <v>416</v>
      </c>
    </row>
    <row r="3779" spans="3:5" ht="14.1" customHeight="1">
      <c r="C3779">
        <v>4145</v>
      </c>
      <c r="D3779" t="s">
        <v>3235</v>
      </c>
      <c r="E3779">
        <v>422</v>
      </c>
    </row>
    <row r="3780" spans="3:5" ht="14.1" customHeight="1">
      <c r="C3780">
        <v>3077</v>
      </c>
      <c r="D3780" t="s">
        <v>3236</v>
      </c>
      <c r="E3780">
        <v>0</v>
      </c>
    </row>
    <row r="3781" spans="3:5" ht="14.1" customHeight="1">
      <c r="C3781">
        <v>1224</v>
      </c>
      <c r="D3781" t="s">
        <v>3237</v>
      </c>
      <c r="E3781">
        <v>657</v>
      </c>
    </row>
    <row r="3782" spans="3:5" ht="14.1" customHeight="1">
      <c r="C3782">
        <v>127</v>
      </c>
      <c r="D3782" t="s">
        <v>3238</v>
      </c>
      <c r="E3782">
        <v>776</v>
      </c>
    </row>
    <row r="3783" spans="3:5" ht="14.1" customHeight="1">
      <c r="C3783">
        <v>1918</v>
      </c>
      <c r="D3783" t="s">
        <v>3239</v>
      </c>
      <c r="E3783">
        <v>716</v>
      </c>
    </row>
    <row r="3784" spans="3:5" ht="14.1" customHeight="1">
      <c r="C3784">
        <v>3051</v>
      </c>
      <c r="D3784" t="s">
        <v>3240</v>
      </c>
      <c r="E3784">
        <v>0</v>
      </c>
    </row>
    <row r="3785" spans="3:5" ht="14.1" customHeight="1">
      <c r="C3785">
        <v>1769</v>
      </c>
      <c r="D3785" t="s">
        <v>3241</v>
      </c>
      <c r="E3785">
        <v>438</v>
      </c>
    </row>
    <row r="3786" spans="3:5" ht="14.1" customHeight="1">
      <c r="C3786">
        <v>451</v>
      </c>
      <c r="D3786" t="s">
        <v>784</v>
      </c>
      <c r="E3786">
        <v>632</v>
      </c>
    </row>
    <row r="3787" spans="3:5" ht="14.1" customHeight="1">
      <c r="C3787">
        <v>3279</v>
      </c>
      <c r="D3787" t="s">
        <v>3242</v>
      </c>
      <c r="E3787">
        <v>0</v>
      </c>
    </row>
    <row r="3788" spans="3:5" ht="14.1" customHeight="1">
      <c r="C3788">
        <v>1970</v>
      </c>
      <c r="D3788" t="s">
        <v>3243</v>
      </c>
      <c r="E3788">
        <v>937</v>
      </c>
    </row>
    <row r="3789" spans="3:5" ht="14.1" customHeight="1">
      <c r="C3789">
        <v>1909</v>
      </c>
      <c r="D3789" t="s">
        <v>3244</v>
      </c>
      <c r="E3789">
        <v>551</v>
      </c>
    </row>
    <row r="3790" spans="3:5" ht="14.1" customHeight="1">
      <c r="C3790">
        <v>3364</v>
      </c>
      <c r="D3790" t="s">
        <v>3245</v>
      </c>
      <c r="E3790">
        <v>423</v>
      </c>
    </row>
    <row r="3791" spans="3:5" ht="14.1" customHeight="1">
      <c r="C3791">
        <v>1094</v>
      </c>
      <c r="D3791" t="s">
        <v>3246</v>
      </c>
      <c r="E3791">
        <v>574</v>
      </c>
    </row>
    <row r="3792" spans="3:5" ht="14.1" customHeight="1">
      <c r="C3792">
        <v>1085</v>
      </c>
      <c r="D3792" t="s">
        <v>3247</v>
      </c>
      <c r="E3792">
        <v>633</v>
      </c>
    </row>
    <row r="3793" spans="3:5" ht="14.1" customHeight="1">
      <c r="C3793">
        <v>2316</v>
      </c>
      <c r="D3793" t="s">
        <v>3248</v>
      </c>
      <c r="E3793">
        <v>668</v>
      </c>
    </row>
    <row r="3794" spans="3:5" ht="14.1" customHeight="1">
      <c r="C3794">
        <v>3010</v>
      </c>
      <c r="D3794" t="s">
        <v>3249</v>
      </c>
      <c r="E3794">
        <v>0</v>
      </c>
    </row>
    <row r="3795" spans="3:5" ht="14.1" customHeight="1">
      <c r="C3795">
        <v>1610</v>
      </c>
      <c r="D3795" t="s">
        <v>3250</v>
      </c>
      <c r="E3795">
        <v>544</v>
      </c>
    </row>
    <row r="3796" spans="3:5" ht="14.1" customHeight="1">
      <c r="C3796">
        <v>226</v>
      </c>
      <c r="D3796" t="s">
        <v>248</v>
      </c>
      <c r="E3796">
        <v>306</v>
      </c>
    </row>
    <row r="3797" spans="3:5" ht="14.1" customHeight="1">
      <c r="C3797">
        <v>3042</v>
      </c>
      <c r="D3797" t="s">
        <v>3251</v>
      </c>
      <c r="E3797">
        <v>0</v>
      </c>
    </row>
    <row r="3798" spans="3:5" ht="14.1" customHeight="1">
      <c r="C3798">
        <v>129</v>
      </c>
      <c r="D3798" t="s">
        <v>785</v>
      </c>
      <c r="E3798">
        <v>1030</v>
      </c>
    </row>
    <row r="3799" spans="3:5" ht="14.1" customHeight="1">
      <c r="C3799">
        <v>1541</v>
      </c>
      <c r="D3799" t="s">
        <v>3252</v>
      </c>
      <c r="E3799">
        <v>933</v>
      </c>
    </row>
    <row r="3800" spans="3:5" ht="14.1" customHeight="1">
      <c r="C3800">
        <v>4250</v>
      </c>
      <c r="D3800" t="s">
        <v>3253</v>
      </c>
      <c r="E3800">
        <v>527</v>
      </c>
    </row>
    <row r="3801" spans="3:5" ht="14.1" customHeight="1">
      <c r="C3801">
        <v>4511</v>
      </c>
      <c r="D3801" t="s">
        <v>3746</v>
      </c>
      <c r="E3801">
        <v>567</v>
      </c>
    </row>
    <row r="3802" spans="3:5" ht="14.1" customHeight="1">
      <c r="C3802">
        <v>4642</v>
      </c>
      <c r="D3802" t="s">
        <v>3254</v>
      </c>
      <c r="E3802">
        <v>850</v>
      </c>
    </row>
    <row r="3803" spans="3:5" ht="14.1" customHeight="1">
      <c r="C3803">
        <v>536</v>
      </c>
      <c r="D3803" t="s">
        <v>786</v>
      </c>
      <c r="E3803">
        <v>610</v>
      </c>
    </row>
    <row r="3804" spans="3:5" ht="14.1" customHeight="1">
      <c r="C3804">
        <v>232</v>
      </c>
      <c r="D3804" t="s">
        <v>787</v>
      </c>
      <c r="E3804">
        <v>401</v>
      </c>
    </row>
    <row r="3805" spans="3:5" ht="14.1" customHeight="1">
      <c r="C3805">
        <v>1024</v>
      </c>
      <c r="D3805" t="s">
        <v>3255</v>
      </c>
      <c r="E3805">
        <v>400</v>
      </c>
    </row>
    <row r="3806" spans="3:5" ht="14.1" customHeight="1">
      <c r="C3806">
        <v>2198</v>
      </c>
      <c r="D3806" t="s">
        <v>3256</v>
      </c>
      <c r="E3806">
        <v>582</v>
      </c>
    </row>
    <row r="3807" spans="3:5" ht="14.1" customHeight="1">
      <c r="C3807">
        <v>2229</v>
      </c>
      <c r="D3807" t="s">
        <v>3257</v>
      </c>
      <c r="E3807">
        <v>428</v>
      </c>
    </row>
    <row r="3808" spans="3:5" ht="14.1" customHeight="1">
      <c r="C3808">
        <v>4314</v>
      </c>
      <c r="D3808" t="s">
        <v>3258</v>
      </c>
      <c r="E3808">
        <v>420</v>
      </c>
    </row>
    <row r="3809" spans="3:5" ht="14.1" customHeight="1">
      <c r="C3809">
        <v>4315</v>
      </c>
      <c r="D3809" t="s">
        <v>3259</v>
      </c>
      <c r="E3809">
        <v>470</v>
      </c>
    </row>
    <row r="3810" spans="3:5" ht="14.1" customHeight="1">
      <c r="C3810">
        <v>5006</v>
      </c>
      <c r="D3810" t="s">
        <v>4147</v>
      </c>
      <c r="E3810">
        <v>437</v>
      </c>
    </row>
    <row r="3811" spans="3:5" ht="14.1" customHeight="1">
      <c r="C3811">
        <v>217</v>
      </c>
      <c r="D3811" t="s">
        <v>788</v>
      </c>
      <c r="E3811">
        <v>483</v>
      </c>
    </row>
    <row r="3812" spans="3:5" ht="14.1" customHeight="1">
      <c r="C3812">
        <v>2449</v>
      </c>
      <c r="D3812" t="s">
        <v>3260</v>
      </c>
      <c r="E3812">
        <v>678</v>
      </c>
    </row>
    <row r="3813" spans="3:5" ht="14.1" customHeight="1">
      <c r="C3813">
        <v>70</v>
      </c>
      <c r="D3813" t="s">
        <v>789</v>
      </c>
      <c r="E3813">
        <v>550</v>
      </c>
    </row>
    <row r="3814" spans="3:5" ht="14.1" customHeight="1">
      <c r="C3814">
        <v>2547</v>
      </c>
      <c r="D3814" t="s">
        <v>3261</v>
      </c>
      <c r="E3814">
        <v>330</v>
      </c>
    </row>
    <row r="3815" spans="3:5" ht="14.1" customHeight="1">
      <c r="C3815">
        <v>3062</v>
      </c>
      <c r="D3815" t="s">
        <v>3262</v>
      </c>
      <c r="E3815">
        <v>0</v>
      </c>
    </row>
    <row r="3816" spans="3:5" ht="14.1" customHeight="1">
      <c r="C3816">
        <v>1484</v>
      </c>
      <c r="D3816" t="s">
        <v>3263</v>
      </c>
      <c r="E3816">
        <v>900</v>
      </c>
    </row>
    <row r="3817" spans="3:5" ht="14.1" customHeight="1">
      <c r="C3817">
        <v>1745</v>
      </c>
      <c r="D3817" t="s">
        <v>3264</v>
      </c>
      <c r="E3817">
        <v>1162</v>
      </c>
    </row>
    <row r="3818" spans="3:5" ht="14.1" customHeight="1">
      <c r="C3818">
        <v>4752</v>
      </c>
      <c r="D3818" t="s">
        <v>4148</v>
      </c>
      <c r="E3818">
        <v>613</v>
      </c>
    </row>
    <row r="3819" spans="3:5" ht="14.1" customHeight="1">
      <c r="C3819">
        <v>4776</v>
      </c>
      <c r="D3819" t="s">
        <v>4149</v>
      </c>
      <c r="E3819">
        <v>590</v>
      </c>
    </row>
    <row r="3820" spans="3:5" ht="14.1" customHeight="1">
      <c r="C3820">
        <v>3211</v>
      </c>
      <c r="D3820" t="s">
        <v>3265</v>
      </c>
      <c r="E3820">
        <v>0</v>
      </c>
    </row>
    <row r="3821" spans="3:5" ht="14.1" customHeight="1">
      <c r="C3821">
        <v>2741</v>
      </c>
      <c r="D3821" t="s">
        <v>3266</v>
      </c>
      <c r="E3821">
        <v>684</v>
      </c>
    </row>
    <row r="3822" spans="3:5" ht="14.1" customHeight="1">
      <c r="C3822">
        <v>3109</v>
      </c>
      <c r="D3822" t="s">
        <v>3267</v>
      </c>
      <c r="E3822">
        <v>0</v>
      </c>
    </row>
    <row r="3823" spans="3:5" ht="14.1" customHeight="1">
      <c r="C3823">
        <v>3307</v>
      </c>
      <c r="D3823" t="s">
        <v>3268</v>
      </c>
      <c r="E3823">
        <v>0</v>
      </c>
    </row>
    <row r="3824" spans="3:5" ht="14.1" customHeight="1">
      <c r="C3824">
        <v>1034</v>
      </c>
      <c r="D3824" t="s">
        <v>3269</v>
      </c>
      <c r="E3824">
        <v>357</v>
      </c>
    </row>
    <row r="3825" spans="3:5" ht="14.1" customHeight="1">
      <c r="C3825">
        <v>3369</v>
      </c>
      <c r="D3825" t="s">
        <v>3270</v>
      </c>
      <c r="E3825">
        <v>431</v>
      </c>
    </row>
    <row r="3826" spans="3:5" ht="14.1" customHeight="1">
      <c r="C3826">
        <v>2492</v>
      </c>
      <c r="D3826" t="s">
        <v>3271</v>
      </c>
      <c r="E3826">
        <v>635</v>
      </c>
    </row>
    <row r="3827" spans="3:5" ht="14.1" customHeight="1">
      <c r="C3827">
        <v>4786</v>
      </c>
      <c r="D3827" t="s">
        <v>4150</v>
      </c>
      <c r="E3827">
        <v>429</v>
      </c>
    </row>
    <row r="3828" spans="3:5" ht="14.1" customHeight="1">
      <c r="C3828">
        <v>4787</v>
      </c>
      <c r="D3828" t="s">
        <v>4151</v>
      </c>
      <c r="E3828">
        <v>429</v>
      </c>
    </row>
    <row r="3829" spans="3:5" ht="14.1" customHeight="1">
      <c r="C3829">
        <v>139</v>
      </c>
      <c r="D3829" t="s">
        <v>790</v>
      </c>
      <c r="E3829">
        <v>827</v>
      </c>
    </row>
    <row r="3830" spans="3:5" ht="14.1" customHeight="1">
      <c r="C3830">
        <v>2872</v>
      </c>
      <c r="D3830" t="s">
        <v>3272</v>
      </c>
      <c r="E3830">
        <v>408</v>
      </c>
    </row>
    <row r="3831" spans="3:5" ht="14.1" customHeight="1">
      <c r="C3831">
        <v>94</v>
      </c>
      <c r="D3831" t="s">
        <v>791</v>
      </c>
      <c r="E3831">
        <v>360</v>
      </c>
    </row>
    <row r="3832" spans="3:5" ht="14.1" customHeight="1">
      <c r="C3832">
        <v>4924</v>
      </c>
      <c r="D3832" t="s">
        <v>4152</v>
      </c>
      <c r="E3832">
        <v>510</v>
      </c>
    </row>
    <row r="3833" spans="3:5" ht="14.1" customHeight="1">
      <c r="C3833">
        <v>614</v>
      </c>
      <c r="D3833" t="s">
        <v>792</v>
      </c>
      <c r="E3833">
        <v>365</v>
      </c>
    </row>
    <row r="3834" spans="3:5" ht="14.1" customHeight="1">
      <c r="C3834">
        <v>3186</v>
      </c>
      <c r="D3834" t="s">
        <v>3273</v>
      </c>
      <c r="E3834">
        <v>0</v>
      </c>
    </row>
    <row r="3835" spans="3:5" ht="14.1" customHeight="1">
      <c r="C3835">
        <v>1700</v>
      </c>
      <c r="D3835" t="s">
        <v>3274</v>
      </c>
      <c r="E3835">
        <v>642</v>
      </c>
    </row>
    <row r="3836" spans="3:5" ht="14.1" customHeight="1">
      <c r="C3836">
        <v>2491</v>
      </c>
      <c r="D3836" t="s">
        <v>3275</v>
      </c>
      <c r="E3836">
        <v>635</v>
      </c>
    </row>
    <row r="3837" spans="3:5" ht="14.1" customHeight="1">
      <c r="C3837">
        <v>1602</v>
      </c>
      <c r="D3837" t="s">
        <v>3276</v>
      </c>
      <c r="E3837">
        <v>644</v>
      </c>
    </row>
    <row r="3838" spans="3:5" ht="14.1" customHeight="1">
      <c r="C3838">
        <v>934</v>
      </c>
      <c r="D3838" t="s">
        <v>3277</v>
      </c>
      <c r="E3838">
        <v>505</v>
      </c>
    </row>
    <row r="3839" spans="3:5" ht="14.1" customHeight="1">
      <c r="C3839">
        <v>5165</v>
      </c>
      <c r="D3839" t="s">
        <v>4353</v>
      </c>
      <c r="E3839">
        <v>0</v>
      </c>
    </row>
    <row r="3840" spans="3:5" ht="14.1" customHeight="1">
      <c r="C3840">
        <v>2822</v>
      </c>
      <c r="D3840" t="s">
        <v>3278</v>
      </c>
      <c r="E3840">
        <v>415</v>
      </c>
    </row>
    <row r="3841" spans="3:5" ht="14.1" customHeight="1">
      <c r="C3841">
        <v>903</v>
      </c>
      <c r="D3841" t="s">
        <v>793</v>
      </c>
      <c r="E3841">
        <v>389</v>
      </c>
    </row>
    <row r="3842" spans="3:5" ht="14.1" customHeight="1">
      <c r="C3842">
        <v>2795</v>
      </c>
      <c r="D3842" t="s">
        <v>3279</v>
      </c>
      <c r="E3842">
        <v>581</v>
      </c>
    </row>
    <row r="3843" spans="3:5" ht="14.1" customHeight="1">
      <c r="C3843">
        <v>1900</v>
      </c>
      <c r="D3843" t="s">
        <v>3280</v>
      </c>
      <c r="E3843">
        <v>634</v>
      </c>
    </row>
    <row r="3844" spans="3:5" ht="14.1" customHeight="1">
      <c r="C3844">
        <v>3207</v>
      </c>
      <c r="D3844" t="s">
        <v>3281</v>
      </c>
      <c r="E3844">
        <v>0</v>
      </c>
    </row>
    <row r="3845" spans="3:5" ht="14.1" customHeight="1">
      <c r="C3845">
        <v>2171</v>
      </c>
      <c r="D3845" t="s">
        <v>3282</v>
      </c>
      <c r="E3845">
        <v>722</v>
      </c>
    </row>
    <row r="3846" spans="3:5" ht="14.1" customHeight="1">
      <c r="C3846">
        <v>238</v>
      </c>
      <c r="D3846" t="s">
        <v>794</v>
      </c>
      <c r="E3846">
        <v>463</v>
      </c>
    </row>
    <row r="3847" spans="3:5" ht="14.1" customHeight="1">
      <c r="C3847">
        <v>1225</v>
      </c>
      <c r="D3847" t="s">
        <v>3283</v>
      </c>
      <c r="E3847">
        <v>886</v>
      </c>
    </row>
    <row r="3848" spans="3:5" ht="14.1" customHeight="1">
      <c r="C3848">
        <v>2719</v>
      </c>
      <c r="D3848" t="s">
        <v>3284</v>
      </c>
      <c r="E3848">
        <v>425</v>
      </c>
    </row>
    <row r="3849" spans="3:5" ht="14.1" customHeight="1">
      <c r="C3849">
        <v>4603</v>
      </c>
      <c r="D3849" t="s">
        <v>4153</v>
      </c>
      <c r="E3849">
        <v>433</v>
      </c>
    </row>
    <row r="3850" spans="3:5" ht="14.1" customHeight="1">
      <c r="C3850">
        <v>1588</v>
      </c>
      <c r="D3850" t="s">
        <v>3285</v>
      </c>
      <c r="E3850">
        <v>843</v>
      </c>
    </row>
    <row r="3851" spans="3:5" ht="14.1" customHeight="1">
      <c r="C3851">
        <v>1930</v>
      </c>
      <c r="D3851" t="s">
        <v>3286</v>
      </c>
      <c r="E3851">
        <v>574</v>
      </c>
    </row>
    <row r="3852" spans="3:5" ht="14.1" customHeight="1">
      <c r="C3852">
        <v>162</v>
      </c>
      <c r="D3852" t="s">
        <v>4354</v>
      </c>
      <c r="E3852">
        <v>981</v>
      </c>
    </row>
    <row r="3853" spans="3:5" ht="14.1" customHeight="1">
      <c r="C3853">
        <v>3098</v>
      </c>
      <c r="D3853" t="s">
        <v>3287</v>
      </c>
      <c r="E3853">
        <v>611</v>
      </c>
    </row>
    <row r="3854" spans="3:5" ht="14.1" customHeight="1">
      <c r="C3854">
        <v>3168</v>
      </c>
      <c r="D3854" t="s">
        <v>3288</v>
      </c>
      <c r="E3854">
        <v>0</v>
      </c>
    </row>
    <row r="3855" spans="3:5" ht="14.1" customHeight="1">
      <c r="C3855">
        <v>3229</v>
      </c>
      <c r="D3855" t="s">
        <v>3289</v>
      </c>
      <c r="E3855">
        <v>700</v>
      </c>
    </row>
    <row r="3856" spans="3:5" ht="14.1" customHeight="1">
      <c r="C3856">
        <v>4825</v>
      </c>
      <c r="D3856" t="s">
        <v>4154</v>
      </c>
      <c r="E3856">
        <v>531</v>
      </c>
    </row>
    <row r="3857" spans="3:5" ht="14.1" customHeight="1">
      <c r="C3857">
        <v>2202</v>
      </c>
      <c r="D3857" t="s">
        <v>3290</v>
      </c>
      <c r="E3857">
        <v>253</v>
      </c>
    </row>
    <row r="3858" spans="3:5" ht="14.1" customHeight="1">
      <c r="C3858">
        <v>2999</v>
      </c>
      <c r="D3858" t="s">
        <v>3291</v>
      </c>
      <c r="E3858">
        <v>0</v>
      </c>
    </row>
    <row r="3859" spans="3:5" ht="14.1" customHeight="1">
      <c r="C3859">
        <v>2683</v>
      </c>
      <c r="D3859" t="s">
        <v>3292</v>
      </c>
      <c r="E3859">
        <v>620</v>
      </c>
    </row>
    <row r="3860" spans="3:5" ht="14.1" customHeight="1">
      <c r="C3860">
        <v>2843</v>
      </c>
      <c r="D3860" t="s">
        <v>3293</v>
      </c>
      <c r="E3860">
        <v>474</v>
      </c>
    </row>
    <row r="3861" spans="3:5" ht="14.1" customHeight="1">
      <c r="C3861">
        <v>2243</v>
      </c>
      <c r="D3861" t="s">
        <v>3294</v>
      </c>
      <c r="E3861">
        <v>481</v>
      </c>
    </row>
    <row r="3862" spans="3:5" ht="14.1" customHeight="1">
      <c r="C3862">
        <v>1892</v>
      </c>
      <c r="D3862" t="s">
        <v>3295</v>
      </c>
      <c r="E3862">
        <v>402</v>
      </c>
    </row>
    <row r="3863" spans="3:5" ht="14.1" customHeight="1">
      <c r="C3863">
        <v>2636</v>
      </c>
      <c r="D3863" t="s">
        <v>3296</v>
      </c>
      <c r="E3863">
        <v>596</v>
      </c>
    </row>
    <row r="3864" spans="3:5" ht="14.1" customHeight="1">
      <c r="C3864">
        <v>4585</v>
      </c>
      <c r="D3864" t="s">
        <v>3747</v>
      </c>
      <c r="E3864">
        <v>737</v>
      </c>
    </row>
    <row r="3865" spans="3:5" ht="14.1" customHeight="1">
      <c r="C3865">
        <v>1395</v>
      </c>
      <c r="D3865" t="s">
        <v>3297</v>
      </c>
      <c r="E3865">
        <v>502</v>
      </c>
    </row>
    <row r="3866" spans="3:5" ht="14.1" customHeight="1">
      <c r="C3866">
        <v>3019</v>
      </c>
      <c r="D3866" t="s">
        <v>3298</v>
      </c>
      <c r="E3866">
        <v>0</v>
      </c>
    </row>
    <row r="3867" spans="3:5" ht="14.1" customHeight="1">
      <c r="C3867">
        <v>1406</v>
      </c>
      <c r="D3867" t="s">
        <v>3299</v>
      </c>
      <c r="E3867">
        <v>661</v>
      </c>
    </row>
    <row r="3868" spans="3:5" ht="14.1" customHeight="1">
      <c r="C3868">
        <v>2122</v>
      </c>
      <c r="D3868" t="s">
        <v>3300</v>
      </c>
      <c r="E3868">
        <v>741</v>
      </c>
    </row>
    <row r="3869" spans="3:5" ht="14.1" customHeight="1">
      <c r="C3869">
        <v>2505</v>
      </c>
      <c r="D3869" t="s">
        <v>3301</v>
      </c>
      <c r="E3869">
        <v>382</v>
      </c>
    </row>
    <row r="3870" spans="3:5" ht="14.1" customHeight="1">
      <c r="C3870">
        <v>453</v>
      </c>
      <c r="D3870" t="s">
        <v>795</v>
      </c>
      <c r="E3870">
        <v>578</v>
      </c>
    </row>
    <row r="3871" spans="3:5" ht="14.1" customHeight="1">
      <c r="C3871">
        <v>29</v>
      </c>
      <c r="D3871" t="s">
        <v>249</v>
      </c>
      <c r="E3871">
        <v>583</v>
      </c>
    </row>
    <row r="3872" spans="3:5" ht="14.1" customHeight="1">
      <c r="C3872">
        <v>911</v>
      </c>
      <c r="D3872" t="s">
        <v>796</v>
      </c>
      <c r="E3872">
        <v>851</v>
      </c>
    </row>
    <row r="3873" spans="3:5" ht="14.1" customHeight="1">
      <c r="C3873">
        <v>4558</v>
      </c>
      <c r="D3873" t="s">
        <v>3748</v>
      </c>
      <c r="E3873">
        <v>401</v>
      </c>
    </row>
    <row r="3874" spans="3:5" ht="14.1" customHeight="1">
      <c r="C3874">
        <v>4595</v>
      </c>
      <c r="D3874" t="s">
        <v>3749</v>
      </c>
      <c r="E3874">
        <v>449</v>
      </c>
    </row>
    <row r="3875" spans="3:5" ht="14.1" customHeight="1">
      <c r="C3875">
        <v>533</v>
      </c>
      <c r="D3875" t="s">
        <v>797</v>
      </c>
      <c r="E3875">
        <v>348</v>
      </c>
    </row>
    <row r="3876" spans="3:5" ht="14.1" customHeight="1">
      <c r="C3876">
        <v>3333</v>
      </c>
      <c r="D3876" t="s">
        <v>3302</v>
      </c>
      <c r="E3876">
        <v>0</v>
      </c>
    </row>
    <row r="3877" spans="3:5" ht="14.1" customHeight="1">
      <c r="C3877">
        <v>2369</v>
      </c>
      <c r="D3877" t="s">
        <v>3303</v>
      </c>
      <c r="E3877">
        <v>416</v>
      </c>
    </row>
    <row r="3878" spans="3:5" ht="14.1" customHeight="1">
      <c r="C3878">
        <v>4577</v>
      </c>
      <c r="D3878" t="s">
        <v>3750</v>
      </c>
      <c r="E3878">
        <v>397</v>
      </c>
    </row>
    <row r="3879" spans="3:5" ht="14.1" customHeight="1">
      <c r="C3879">
        <v>2109</v>
      </c>
      <c r="D3879" t="s">
        <v>3304</v>
      </c>
      <c r="E3879">
        <v>556</v>
      </c>
    </row>
    <row r="3880" spans="3:5" ht="14.1" customHeight="1">
      <c r="C3880">
        <v>2817</v>
      </c>
      <c r="D3880" t="s">
        <v>3305</v>
      </c>
      <c r="E3880">
        <v>520</v>
      </c>
    </row>
    <row r="3881" spans="3:5" ht="14.1" customHeight="1">
      <c r="C3881">
        <v>4273</v>
      </c>
      <c r="D3881" t="s">
        <v>3306</v>
      </c>
      <c r="E3881">
        <v>626</v>
      </c>
    </row>
    <row r="3882" spans="3:5" ht="14.1" customHeight="1">
      <c r="C3882">
        <v>1488</v>
      </c>
      <c r="D3882" t="s">
        <v>3307</v>
      </c>
      <c r="E3882">
        <v>801</v>
      </c>
    </row>
    <row r="3883" spans="3:5" ht="14.1" customHeight="1">
      <c r="C3883">
        <v>1546</v>
      </c>
      <c r="D3883" t="s">
        <v>3308</v>
      </c>
      <c r="E3883">
        <v>655</v>
      </c>
    </row>
    <row r="3884" spans="3:5" ht="14.1" customHeight="1">
      <c r="C3884">
        <v>2447</v>
      </c>
      <c r="D3884" t="s">
        <v>3309</v>
      </c>
      <c r="E3884">
        <v>700</v>
      </c>
    </row>
    <row r="3885" spans="3:5" ht="14.1" customHeight="1">
      <c r="C3885">
        <v>4717</v>
      </c>
      <c r="D3885" t="s">
        <v>4155</v>
      </c>
      <c r="E3885">
        <v>521</v>
      </c>
    </row>
    <row r="3886" spans="3:5" ht="14.1" customHeight="1">
      <c r="C3886">
        <v>2362</v>
      </c>
      <c r="D3886" t="s">
        <v>3310</v>
      </c>
      <c r="E3886">
        <v>328</v>
      </c>
    </row>
    <row r="3887" spans="3:5" ht="14.1" customHeight="1">
      <c r="C3887">
        <v>4181</v>
      </c>
      <c r="D3887" t="s">
        <v>3311</v>
      </c>
      <c r="E3887">
        <v>457</v>
      </c>
    </row>
    <row r="3888" spans="3:5" ht="14.1" customHeight="1">
      <c r="C3888">
        <v>3045</v>
      </c>
      <c r="D3888" t="s">
        <v>3312</v>
      </c>
      <c r="E3888">
        <v>0</v>
      </c>
    </row>
    <row r="3889" spans="3:5" ht="14.1" customHeight="1">
      <c r="C3889">
        <v>468</v>
      </c>
      <c r="D3889" t="s">
        <v>798</v>
      </c>
      <c r="E3889">
        <v>784</v>
      </c>
    </row>
    <row r="3890" spans="3:5" ht="14.1" customHeight="1">
      <c r="C3890">
        <v>1257</v>
      </c>
      <c r="D3890" t="s">
        <v>3313</v>
      </c>
      <c r="E3890">
        <v>475</v>
      </c>
    </row>
    <row r="3891" spans="3:5" ht="14.1" customHeight="1">
      <c r="C3891">
        <v>1350</v>
      </c>
      <c r="D3891" t="s">
        <v>3314</v>
      </c>
      <c r="E3891">
        <v>639</v>
      </c>
    </row>
    <row r="3892" spans="3:5" ht="14.1" customHeight="1">
      <c r="C3892">
        <v>1912</v>
      </c>
      <c r="D3892" t="s">
        <v>3315</v>
      </c>
      <c r="E3892">
        <v>711</v>
      </c>
    </row>
    <row r="3893" spans="3:5" ht="14.1" customHeight="1">
      <c r="C3893">
        <v>4220</v>
      </c>
      <c r="D3893" t="s">
        <v>3316</v>
      </c>
      <c r="E3893">
        <v>507</v>
      </c>
    </row>
    <row r="3894" spans="3:5" ht="14.1" customHeight="1">
      <c r="C3894">
        <v>2837</v>
      </c>
      <c r="D3894" t="s">
        <v>3317</v>
      </c>
      <c r="E3894">
        <v>530</v>
      </c>
    </row>
    <row r="3895" spans="3:5" ht="14.1" customHeight="1">
      <c r="C3895">
        <v>151</v>
      </c>
      <c r="D3895" t="s">
        <v>799</v>
      </c>
      <c r="E3895">
        <v>647</v>
      </c>
    </row>
    <row r="3896" spans="3:5" ht="14.1" customHeight="1">
      <c r="C3896">
        <v>2597</v>
      </c>
      <c r="D3896" t="s">
        <v>3318</v>
      </c>
      <c r="E3896">
        <v>697</v>
      </c>
    </row>
    <row r="3897" spans="3:5" ht="14.1" customHeight="1">
      <c r="C3897">
        <v>2802</v>
      </c>
      <c r="D3897" t="s">
        <v>3319</v>
      </c>
      <c r="E3897">
        <v>466</v>
      </c>
    </row>
    <row r="3898" spans="3:5" ht="14.1" customHeight="1">
      <c r="C3898">
        <v>2245</v>
      </c>
      <c r="D3898" t="s">
        <v>3320</v>
      </c>
      <c r="E3898">
        <v>361</v>
      </c>
    </row>
    <row r="3899" spans="3:5" ht="14.1" customHeight="1">
      <c r="C3899">
        <v>3280</v>
      </c>
      <c r="D3899" t="s">
        <v>3321</v>
      </c>
      <c r="E3899">
        <v>0</v>
      </c>
    </row>
    <row r="3900" spans="3:5" ht="14.1" customHeight="1">
      <c r="C3900">
        <v>3049</v>
      </c>
      <c r="D3900" t="s">
        <v>3322</v>
      </c>
      <c r="E3900">
        <v>0</v>
      </c>
    </row>
    <row r="3901" spans="3:5" ht="14.1" customHeight="1">
      <c r="C3901">
        <v>4979</v>
      </c>
      <c r="D3901" t="s">
        <v>4156</v>
      </c>
      <c r="E3901">
        <v>422</v>
      </c>
    </row>
    <row r="3902" spans="3:5" ht="14.1" customHeight="1">
      <c r="C3902">
        <v>59</v>
      </c>
      <c r="D3902" t="s">
        <v>3323</v>
      </c>
      <c r="E3902">
        <v>741</v>
      </c>
    </row>
    <row r="3903" spans="3:5" ht="14.1" customHeight="1">
      <c r="C3903">
        <v>4441</v>
      </c>
      <c r="D3903" t="s">
        <v>3751</v>
      </c>
      <c r="E3903">
        <v>401</v>
      </c>
    </row>
    <row r="3904" spans="3:5" ht="14.1" customHeight="1">
      <c r="C3904">
        <v>4447</v>
      </c>
      <c r="D3904" t="s">
        <v>3752</v>
      </c>
      <c r="E3904">
        <v>398</v>
      </c>
    </row>
    <row r="3905" spans="3:5" ht="14.1" customHeight="1">
      <c r="C3905">
        <v>417</v>
      </c>
      <c r="D3905" t="s">
        <v>250</v>
      </c>
      <c r="E3905">
        <v>497</v>
      </c>
    </row>
    <row r="3906" spans="3:5" ht="14.1" customHeight="1">
      <c r="C3906">
        <v>4873</v>
      </c>
      <c r="D3906" t="s">
        <v>4157</v>
      </c>
      <c r="E3906">
        <v>580</v>
      </c>
    </row>
    <row r="3907" spans="3:5" ht="14.1" customHeight="1">
      <c r="C3907">
        <v>4929</v>
      </c>
      <c r="D3907" t="s">
        <v>4158</v>
      </c>
      <c r="E3907">
        <v>498</v>
      </c>
    </row>
    <row r="3908" spans="3:5" ht="14.1" customHeight="1">
      <c r="C3908">
        <v>4377</v>
      </c>
      <c r="D3908" t="s">
        <v>3753</v>
      </c>
      <c r="E3908">
        <v>420</v>
      </c>
    </row>
    <row r="3909" spans="3:5" ht="14.1" customHeight="1">
      <c r="C3909">
        <v>1644</v>
      </c>
      <c r="D3909" t="s">
        <v>3324</v>
      </c>
      <c r="E3909">
        <v>510</v>
      </c>
    </row>
    <row r="3910" spans="3:5" ht="14.1" customHeight="1">
      <c r="C3910">
        <v>4304</v>
      </c>
      <c r="D3910" t="s">
        <v>3325</v>
      </c>
      <c r="E3910">
        <v>0</v>
      </c>
    </row>
    <row r="3911" spans="3:5" ht="14.1" customHeight="1">
      <c r="C3911">
        <v>1633</v>
      </c>
      <c r="D3911" t="s">
        <v>3326</v>
      </c>
      <c r="E3911">
        <v>601</v>
      </c>
    </row>
    <row r="3912" spans="3:5" ht="14.1" customHeight="1">
      <c r="C3912">
        <v>2580</v>
      </c>
      <c r="D3912" t="s">
        <v>3327</v>
      </c>
      <c r="E3912">
        <v>489</v>
      </c>
    </row>
    <row r="3913" spans="3:5" ht="14.1" customHeight="1">
      <c r="C3913">
        <v>2022</v>
      </c>
      <c r="D3913" t="s">
        <v>3328</v>
      </c>
      <c r="E3913">
        <v>601</v>
      </c>
    </row>
    <row r="3914" spans="3:5" ht="14.1" customHeight="1">
      <c r="C3914">
        <v>5144</v>
      </c>
      <c r="D3914" t="s">
        <v>4355</v>
      </c>
      <c r="E3914">
        <v>547</v>
      </c>
    </row>
    <row r="3915" spans="3:5" ht="14.1" customHeight="1">
      <c r="C3915">
        <v>1916</v>
      </c>
      <c r="D3915" t="s">
        <v>3329</v>
      </c>
      <c r="E3915">
        <v>623</v>
      </c>
    </row>
    <row r="3916" spans="3:5" ht="14.1" customHeight="1">
      <c r="C3916">
        <v>152</v>
      </c>
      <c r="D3916" t="s">
        <v>3330</v>
      </c>
      <c r="E3916">
        <v>803</v>
      </c>
    </row>
    <row r="3917" spans="3:5" ht="14.1" customHeight="1">
      <c r="C3917">
        <v>3301</v>
      </c>
      <c r="D3917" t="s">
        <v>3331</v>
      </c>
      <c r="E3917">
        <v>0</v>
      </c>
    </row>
    <row r="3918" spans="3:5" ht="14.1" customHeight="1">
      <c r="C3918">
        <v>1164</v>
      </c>
      <c r="D3918" t="s">
        <v>3332</v>
      </c>
      <c r="E3918">
        <v>687</v>
      </c>
    </row>
    <row r="3919" spans="3:5" ht="14.1" customHeight="1">
      <c r="C3919">
        <v>2845</v>
      </c>
      <c r="D3919" t="s">
        <v>3333</v>
      </c>
      <c r="E3919">
        <v>523</v>
      </c>
    </row>
    <row r="3920" spans="3:5" ht="14.1" customHeight="1">
      <c r="C3920">
        <v>1866</v>
      </c>
      <c r="D3920" t="s">
        <v>3334</v>
      </c>
      <c r="E3920">
        <v>595</v>
      </c>
    </row>
    <row r="3921" spans="3:5" ht="14.1" customHeight="1">
      <c r="C3921">
        <v>3213</v>
      </c>
      <c r="D3921" t="s">
        <v>3335</v>
      </c>
      <c r="E3921">
        <v>0</v>
      </c>
    </row>
    <row r="3922" spans="3:5" ht="14.1" customHeight="1">
      <c r="C3922">
        <v>5052</v>
      </c>
      <c r="D3922" t="s">
        <v>4356</v>
      </c>
      <c r="E3922">
        <v>538</v>
      </c>
    </row>
    <row r="3923" spans="3:5" ht="14.1" customHeight="1">
      <c r="C3923">
        <v>2826</v>
      </c>
      <c r="D3923" t="s">
        <v>3336</v>
      </c>
      <c r="E3923">
        <v>478</v>
      </c>
    </row>
    <row r="3924" spans="3:5" ht="14.1" customHeight="1">
      <c r="C3924">
        <v>2825</v>
      </c>
      <c r="D3924" t="s">
        <v>3337</v>
      </c>
      <c r="E3924">
        <v>478</v>
      </c>
    </row>
    <row r="3925" spans="3:5" ht="14.1" customHeight="1">
      <c r="C3925">
        <v>2705</v>
      </c>
      <c r="D3925" t="s">
        <v>3338</v>
      </c>
      <c r="E3925">
        <v>510</v>
      </c>
    </row>
    <row r="3926" spans="3:5" ht="14.1" customHeight="1">
      <c r="C3926">
        <v>694</v>
      </c>
      <c r="D3926" t="s">
        <v>800</v>
      </c>
      <c r="E3926">
        <v>592</v>
      </c>
    </row>
    <row r="3927" spans="3:5" ht="14.1" customHeight="1">
      <c r="C3927">
        <v>865</v>
      </c>
      <c r="D3927" t="s">
        <v>801</v>
      </c>
      <c r="E3927">
        <v>763</v>
      </c>
    </row>
    <row r="3928" spans="3:5" ht="14.1" customHeight="1">
      <c r="C3928">
        <v>2409</v>
      </c>
      <c r="D3928" t="s">
        <v>3339</v>
      </c>
      <c r="E3928">
        <v>466</v>
      </c>
    </row>
    <row r="3929" spans="3:5" ht="14.1" customHeight="1">
      <c r="C3929">
        <v>2600</v>
      </c>
      <c r="D3929" t="s">
        <v>3340</v>
      </c>
      <c r="E3929">
        <v>639</v>
      </c>
    </row>
    <row r="3930" spans="3:5" ht="14.1" customHeight="1">
      <c r="C3930">
        <v>692</v>
      </c>
      <c r="D3930" t="s">
        <v>802</v>
      </c>
      <c r="E3930">
        <v>594</v>
      </c>
    </row>
    <row r="3931" spans="3:5" ht="14.1" customHeight="1">
      <c r="C3931">
        <v>1145</v>
      </c>
      <c r="D3931" t="s">
        <v>3341</v>
      </c>
      <c r="E3931">
        <v>608</v>
      </c>
    </row>
    <row r="3932" spans="3:5" ht="14.1" customHeight="1">
      <c r="C3932">
        <v>466</v>
      </c>
      <c r="D3932" t="s">
        <v>3342</v>
      </c>
      <c r="E3932">
        <v>670</v>
      </c>
    </row>
    <row r="3933" spans="3:5" ht="14.1" customHeight="1">
      <c r="C3933">
        <v>2499</v>
      </c>
      <c r="D3933" t="s">
        <v>3343</v>
      </c>
      <c r="E3933">
        <v>615</v>
      </c>
    </row>
    <row r="3934" spans="3:5" ht="14.1" customHeight="1">
      <c r="C3934">
        <v>769</v>
      </c>
      <c r="D3934" t="s">
        <v>803</v>
      </c>
      <c r="E3934">
        <v>664</v>
      </c>
    </row>
    <row r="3935" spans="3:5" ht="14.1" customHeight="1">
      <c r="C3935">
        <v>2606</v>
      </c>
      <c r="D3935" t="s">
        <v>3344</v>
      </c>
      <c r="E3935">
        <v>582</v>
      </c>
    </row>
    <row r="3936" spans="3:5" ht="14.1" customHeight="1">
      <c r="C3936">
        <v>4991</v>
      </c>
      <c r="D3936" t="s">
        <v>4159</v>
      </c>
      <c r="E3936">
        <v>403</v>
      </c>
    </row>
    <row r="3937" spans="3:5" ht="14.1" customHeight="1">
      <c r="C3937">
        <v>2256</v>
      </c>
      <c r="D3937" t="s">
        <v>3345</v>
      </c>
      <c r="E3937">
        <v>472</v>
      </c>
    </row>
    <row r="3938" spans="3:5" ht="14.1" customHeight="1">
      <c r="C3938">
        <v>207</v>
      </c>
      <c r="D3938" t="s">
        <v>251</v>
      </c>
      <c r="E3938">
        <v>458</v>
      </c>
    </row>
    <row r="3939" spans="3:5" ht="14.1" customHeight="1">
      <c r="C3939">
        <v>271</v>
      </c>
      <c r="D3939" t="s">
        <v>252</v>
      </c>
      <c r="E3939">
        <v>360</v>
      </c>
    </row>
    <row r="3940" spans="3:5" ht="14.1" customHeight="1">
      <c r="C3940">
        <v>2416</v>
      </c>
      <c r="D3940" t="s">
        <v>3346</v>
      </c>
      <c r="E3940">
        <v>847</v>
      </c>
    </row>
    <row r="3941" spans="3:5" ht="14.1" customHeight="1">
      <c r="C3941">
        <v>1680</v>
      </c>
      <c r="D3941" t="s">
        <v>3347</v>
      </c>
      <c r="E3941">
        <v>600</v>
      </c>
    </row>
    <row r="3942" spans="3:5" ht="14.1" customHeight="1">
      <c r="C3942">
        <v>2444</v>
      </c>
      <c r="D3942" t="s">
        <v>3348</v>
      </c>
      <c r="E3942">
        <v>873</v>
      </c>
    </row>
    <row r="3943" spans="3:5" ht="14.1" customHeight="1">
      <c r="C3943">
        <v>4439</v>
      </c>
      <c r="D3943" t="s">
        <v>3754</v>
      </c>
      <c r="E3943">
        <v>424</v>
      </c>
    </row>
    <row r="3944" spans="3:5" ht="14.1" customHeight="1">
      <c r="C3944">
        <v>2089</v>
      </c>
      <c r="D3944" t="s">
        <v>3349</v>
      </c>
      <c r="E3944">
        <v>604</v>
      </c>
    </row>
    <row r="3945" spans="3:5" ht="14.1" customHeight="1">
      <c r="C3945">
        <v>5122</v>
      </c>
      <c r="D3945" t="s">
        <v>4357</v>
      </c>
      <c r="E3945">
        <v>639</v>
      </c>
    </row>
    <row r="3946" spans="3:5" ht="14.1" customHeight="1">
      <c r="C3946">
        <v>1584</v>
      </c>
      <c r="D3946" t="s">
        <v>3350</v>
      </c>
      <c r="E3946">
        <v>656</v>
      </c>
    </row>
    <row r="3947" spans="3:5" ht="14.1" customHeight="1">
      <c r="C3947">
        <v>4358</v>
      </c>
      <c r="D3947" t="s">
        <v>3351</v>
      </c>
      <c r="E3947">
        <v>594</v>
      </c>
    </row>
    <row r="3948" spans="3:5" ht="14.1" customHeight="1">
      <c r="C3948">
        <v>1342</v>
      </c>
      <c r="D3948" t="s">
        <v>3352</v>
      </c>
      <c r="E3948">
        <v>497</v>
      </c>
    </row>
    <row r="3949" spans="3:5" ht="14.1" customHeight="1">
      <c r="C3949">
        <v>1802</v>
      </c>
      <c r="D3949" t="s">
        <v>3353</v>
      </c>
      <c r="E3949">
        <v>605</v>
      </c>
    </row>
    <row r="3950" spans="3:5" ht="14.1" customHeight="1">
      <c r="C3950">
        <v>748</v>
      </c>
      <c r="D3950" t="s">
        <v>804</v>
      </c>
      <c r="E3950">
        <v>746</v>
      </c>
    </row>
    <row r="3951" spans="3:5" ht="14.1" customHeight="1">
      <c r="C3951">
        <v>2211</v>
      </c>
      <c r="D3951" t="s">
        <v>3354</v>
      </c>
      <c r="E3951">
        <v>504</v>
      </c>
    </row>
    <row r="3952" spans="3:5" ht="14.1" customHeight="1">
      <c r="C3952">
        <v>2212</v>
      </c>
      <c r="D3952" t="s">
        <v>3355</v>
      </c>
      <c r="E3952">
        <v>539</v>
      </c>
    </row>
    <row r="3953" spans="3:5" ht="14.1" customHeight="1">
      <c r="C3953">
        <v>65</v>
      </c>
      <c r="D3953" t="s">
        <v>253</v>
      </c>
      <c r="E3953">
        <v>539</v>
      </c>
    </row>
    <row r="3954" spans="3:5" ht="14.1" customHeight="1">
      <c r="C3954">
        <v>4113</v>
      </c>
      <c r="D3954" t="s">
        <v>3356</v>
      </c>
      <c r="E3954">
        <v>557</v>
      </c>
    </row>
    <row r="3955" spans="3:5" ht="14.1" customHeight="1">
      <c r="C3955">
        <v>1756</v>
      </c>
      <c r="D3955" t="s">
        <v>3357</v>
      </c>
      <c r="E3955">
        <v>1140</v>
      </c>
    </row>
    <row r="3956" spans="3:5" ht="14.1" customHeight="1">
      <c r="C3956">
        <v>1230</v>
      </c>
      <c r="D3956" t="s">
        <v>3358</v>
      </c>
      <c r="E3956">
        <v>1104</v>
      </c>
    </row>
    <row r="3957" spans="3:5" ht="14.1" customHeight="1">
      <c r="C3957">
        <v>4917</v>
      </c>
      <c r="D3957" t="s">
        <v>4160</v>
      </c>
      <c r="E3957">
        <v>345</v>
      </c>
    </row>
    <row r="3958" spans="3:5" ht="14.1" customHeight="1">
      <c r="C3958">
        <v>2322</v>
      </c>
      <c r="D3958" t="s">
        <v>3359</v>
      </c>
      <c r="E3958">
        <v>394</v>
      </c>
    </row>
    <row r="3959" spans="3:5" ht="14.1" customHeight="1">
      <c r="C3959">
        <v>2349</v>
      </c>
      <c r="D3959" t="s">
        <v>3360</v>
      </c>
      <c r="E3959">
        <v>437</v>
      </c>
    </row>
    <row r="3960" spans="3:5" ht="14.1" customHeight="1">
      <c r="C3960">
        <v>278</v>
      </c>
      <c r="D3960" t="s">
        <v>254</v>
      </c>
      <c r="E3960">
        <v>360</v>
      </c>
    </row>
    <row r="3961" spans="3:5" ht="14.1" customHeight="1">
      <c r="C3961">
        <v>1042</v>
      </c>
      <c r="D3961" t="s">
        <v>3361</v>
      </c>
      <c r="E3961">
        <v>810</v>
      </c>
    </row>
    <row r="3962" spans="3:5" ht="14.1" customHeight="1">
      <c r="C3962">
        <v>4653</v>
      </c>
      <c r="D3962" t="s">
        <v>4161</v>
      </c>
      <c r="E3962">
        <v>470</v>
      </c>
    </row>
    <row r="3963" spans="3:5" ht="14.1" customHeight="1">
      <c r="C3963">
        <v>4654</v>
      </c>
      <c r="D3963" t="s">
        <v>4162</v>
      </c>
      <c r="E3963">
        <v>470</v>
      </c>
    </row>
    <row r="3964" spans="3:5" ht="14.1" customHeight="1">
      <c r="C3964">
        <v>1366</v>
      </c>
      <c r="D3964" t="s">
        <v>3362</v>
      </c>
      <c r="E3964">
        <v>704</v>
      </c>
    </row>
    <row r="3965" spans="3:5" ht="14.1" customHeight="1">
      <c r="C3965">
        <v>2365</v>
      </c>
      <c r="D3965" t="s">
        <v>3363</v>
      </c>
      <c r="E3965">
        <v>411</v>
      </c>
    </row>
    <row r="3966" spans="3:5" ht="14.1" customHeight="1">
      <c r="C3966">
        <v>4555</v>
      </c>
      <c r="D3966" t="s">
        <v>3364</v>
      </c>
      <c r="E3966">
        <v>426</v>
      </c>
    </row>
    <row r="3967" spans="3:5" ht="14.1" customHeight="1">
      <c r="C3967">
        <v>1813</v>
      </c>
      <c r="D3967" t="s">
        <v>3365</v>
      </c>
      <c r="E3967">
        <v>349</v>
      </c>
    </row>
    <row r="3968" spans="3:5" ht="14.1" customHeight="1">
      <c r="C3968">
        <v>4459</v>
      </c>
      <c r="D3968" t="s">
        <v>3755</v>
      </c>
      <c r="E3968">
        <v>561</v>
      </c>
    </row>
    <row r="3969" spans="3:5" ht="14.1" customHeight="1">
      <c r="C3969">
        <v>1567</v>
      </c>
      <c r="D3969" t="s">
        <v>3366</v>
      </c>
      <c r="E3969">
        <v>442</v>
      </c>
    </row>
    <row r="3970" spans="3:5" ht="14.1" customHeight="1">
      <c r="C3970">
        <v>3247</v>
      </c>
      <c r="D3970" t="s">
        <v>3367</v>
      </c>
      <c r="E3970">
        <v>0</v>
      </c>
    </row>
    <row r="3971" spans="3:5" ht="14.1" customHeight="1">
      <c r="C3971">
        <v>1831</v>
      </c>
      <c r="D3971" t="s">
        <v>3368</v>
      </c>
      <c r="E3971">
        <v>383</v>
      </c>
    </row>
    <row r="3972" spans="3:5" ht="14.1" customHeight="1">
      <c r="C3972">
        <v>1759</v>
      </c>
      <c r="D3972" t="s">
        <v>3369</v>
      </c>
      <c r="E3972">
        <v>1084</v>
      </c>
    </row>
    <row r="3973" spans="3:5" ht="14.1" customHeight="1">
      <c r="C3973">
        <v>4262</v>
      </c>
      <c r="D3973" t="s">
        <v>3370</v>
      </c>
      <c r="E3973">
        <v>558</v>
      </c>
    </row>
    <row r="3974" spans="3:5" ht="14.1" customHeight="1">
      <c r="C3974">
        <v>4600</v>
      </c>
      <c r="D3974" t="s">
        <v>3371</v>
      </c>
      <c r="E3974">
        <v>658</v>
      </c>
    </row>
    <row r="3975" spans="3:5" ht="14.1" customHeight="1">
      <c r="C3975">
        <v>4258</v>
      </c>
      <c r="D3975" t="s">
        <v>3372</v>
      </c>
      <c r="E3975">
        <v>420</v>
      </c>
    </row>
    <row r="3976" spans="3:5" ht="14.1" customHeight="1">
      <c r="C3976">
        <v>4195</v>
      </c>
      <c r="D3976" t="s">
        <v>3373</v>
      </c>
      <c r="E3976">
        <v>459</v>
      </c>
    </row>
    <row r="3977" spans="3:5" ht="14.1" customHeight="1">
      <c r="C3977">
        <v>1425</v>
      </c>
      <c r="D3977" t="s">
        <v>3374</v>
      </c>
      <c r="E3977">
        <v>598</v>
      </c>
    </row>
    <row r="3978" spans="3:5" ht="14.1" customHeight="1">
      <c r="C3978">
        <v>1447</v>
      </c>
      <c r="D3978" t="s">
        <v>3375</v>
      </c>
      <c r="E3978">
        <v>473</v>
      </c>
    </row>
    <row r="3979" spans="3:5" ht="14.1" customHeight="1">
      <c r="C3979">
        <v>2024</v>
      </c>
      <c r="D3979" t="s">
        <v>3376</v>
      </c>
      <c r="E3979">
        <v>532</v>
      </c>
    </row>
    <row r="3980" spans="3:5" ht="14.1" customHeight="1">
      <c r="C3980">
        <v>34</v>
      </c>
      <c r="D3980" t="s">
        <v>805</v>
      </c>
      <c r="E3980">
        <v>661</v>
      </c>
    </row>
    <row r="3981" spans="3:5" ht="14.1" customHeight="1">
      <c r="C3981">
        <v>35</v>
      </c>
      <c r="D3981" t="s">
        <v>806</v>
      </c>
      <c r="E3981">
        <v>487</v>
      </c>
    </row>
    <row r="3982" spans="3:5" ht="14.1" customHeight="1">
      <c r="C3982">
        <v>1325</v>
      </c>
      <c r="D3982" t="s">
        <v>3377</v>
      </c>
      <c r="E3982">
        <v>855</v>
      </c>
    </row>
    <row r="3983" spans="3:5" ht="14.1" customHeight="1">
      <c r="C3983">
        <v>1939</v>
      </c>
      <c r="D3983" t="s">
        <v>3378</v>
      </c>
      <c r="E3983">
        <v>746</v>
      </c>
    </row>
    <row r="3984" spans="3:5" ht="14.1" customHeight="1">
      <c r="C3984">
        <v>171</v>
      </c>
      <c r="D3984" t="s">
        <v>807</v>
      </c>
      <c r="E3984">
        <v>670</v>
      </c>
    </row>
    <row r="3985" spans="3:5" ht="14.1" customHeight="1">
      <c r="C3985">
        <v>123</v>
      </c>
      <c r="D3985" t="s">
        <v>808</v>
      </c>
      <c r="E3985">
        <v>829</v>
      </c>
    </row>
    <row r="3986" spans="3:5" ht="14.1" customHeight="1">
      <c r="C3986">
        <v>4496</v>
      </c>
      <c r="D3986" t="s">
        <v>3756</v>
      </c>
      <c r="E3986">
        <v>841</v>
      </c>
    </row>
    <row r="3987" spans="3:5" ht="14.1" customHeight="1">
      <c r="C3987">
        <v>3277</v>
      </c>
      <c r="D3987" t="s">
        <v>3379</v>
      </c>
      <c r="E3987">
        <v>0</v>
      </c>
    </row>
    <row r="3988" spans="3:5" ht="14.1" customHeight="1">
      <c r="C3988">
        <v>1572</v>
      </c>
      <c r="D3988" t="s">
        <v>3380</v>
      </c>
      <c r="E3988">
        <v>446</v>
      </c>
    </row>
    <row r="3989" spans="3:5" ht="14.1" customHeight="1">
      <c r="C3989">
        <v>3273</v>
      </c>
      <c r="D3989" t="s">
        <v>3381</v>
      </c>
      <c r="E3989">
        <v>0</v>
      </c>
    </row>
    <row r="3990" spans="3:5" ht="14.1" customHeight="1">
      <c r="C3990">
        <v>4605</v>
      </c>
      <c r="D3990" t="s">
        <v>4163</v>
      </c>
      <c r="E3990">
        <v>436</v>
      </c>
    </row>
    <row r="3991" spans="3:5" ht="14.1" customHeight="1">
      <c r="C3991">
        <v>4430</v>
      </c>
      <c r="D3991" t="s">
        <v>3757</v>
      </c>
      <c r="E3991">
        <v>601</v>
      </c>
    </row>
    <row r="3992" spans="3:5" ht="14.1" customHeight="1">
      <c r="C3992">
        <v>3091</v>
      </c>
      <c r="D3992" t="s">
        <v>3382</v>
      </c>
      <c r="E3992">
        <v>0</v>
      </c>
    </row>
    <row r="3993" spans="3:5" ht="14.1" customHeight="1">
      <c r="C3993">
        <v>201</v>
      </c>
      <c r="D3993" t="s">
        <v>255</v>
      </c>
      <c r="E3993">
        <v>567</v>
      </c>
    </row>
    <row r="3994" spans="3:5" ht="14.1" customHeight="1">
      <c r="C3994">
        <v>1318</v>
      </c>
      <c r="D3994" t="s">
        <v>3383</v>
      </c>
      <c r="E3994">
        <v>581</v>
      </c>
    </row>
    <row r="3995" spans="3:5" ht="14.1" customHeight="1">
      <c r="C3995">
        <v>2984</v>
      </c>
      <c r="D3995" t="s">
        <v>3384</v>
      </c>
      <c r="E3995">
        <v>628</v>
      </c>
    </row>
    <row r="3996" spans="3:5" ht="14.1" customHeight="1">
      <c r="C3996">
        <v>2926</v>
      </c>
      <c r="D3996" t="s">
        <v>3385</v>
      </c>
      <c r="E3996">
        <v>599</v>
      </c>
    </row>
    <row r="3997" spans="3:5" ht="14.1" customHeight="1">
      <c r="C3997">
        <v>3084</v>
      </c>
      <c r="D3997" t="s">
        <v>3386</v>
      </c>
      <c r="E3997">
        <v>0</v>
      </c>
    </row>
    <row r="3998" spans="3:5" ht="14.1" customHeight="1">
      <c r="C3998">
        <v>816</v>
      </c>
      <c r="D3998" t="s">
        <v>809</v>
      </c>
      <c r="E3998">
        <v>434</v>
      </c>
    </row>
    <row r="3999" spans="3:5" ht="14.1" customHeight="1">
      <c r="C3999">
        <v>4590</v>
      </c>
      <c r="D3999" t="s">
        <v>3758</v>
      </c>
      <c r="E3999">
        <v>441</v>
      </c>
    </row>
    <row r="4000" spans="3:5" ht="14.1" customHeight="1">
      <c r="C4000">
        <v>4855</v>
      </c>
      <c r="D4000" t="s">
        <v>4164</v>
      </c>
      <c r="E4000">
        <v>483</v>
      </c>
    </row>
    <row r="4001" spans="3:5" ht="14.1" customHeight="1">
      <c r="C4001">
        <v>2684</v>
      </c>
      <c r="D4001" t="s">
        <v>3387</v>
      </c>
      <c r="E4001">
        <v>615</v>
      </c>
    </row>
    <row r="4002" spans="3:5" ht="14.1" customHeight="1">
      <c r="C4002">
        <v>4844</v>
      </c>
      <c r="D4002" t="s">
        <v>4165</v>
      </c>
      <c r="E4002">
        <v>530</v>
      </c>
    </row>
    <row r="4003" spans="3:5" ht="14.1" customHeight="1">
      <c r="C4003">
        <v>257</v>
      </c>
      <c r="D4003" t="s">
        <v>3388</v>
      </c>
      <c r="E4003">
        <v>386</v>
      </c>
    </row>
    <row r="4004" spans="3:5" ht="14.1" customHeight="1">
      <c r="C4004">
        <v>4711</v>
      </c>
      <c r="D4004" t="s">
        <v>4166</v>
      </c>
      <c r="E4004">
        <v>513</v>
      </c>
    </row>
    <row r="4005" spans="3:5" ht="14.1" customHeight="1">
      <c r="C4005">
        <v>3209</v>
      </c>
      <c r="D4005" t="s">
        <v>3389</v>
      </c>
      <c r="E4005">
        <v>0</v>
      </c>
    </row>
    <row r="4006" spans="3:5" ht="14.1" customHeight="1">
      <c r="C4006">
        <v>877</v>
      </c>
      <c r="D4006" t="s">
        <v>810</v>
      </c>
      <c r="E4006">
        <v>512</v>
      </c>
    </row>
    <row r="4007" spans="3:5" ht="14.1" customHeight="1">
      <c r="C4007">
        <v>2773</v>
      </c>
      <c r="D4007" t="s">
        <v>3390</v>
      </c>
      <c r="E4007">
        <v>464</v>
      </c>
    </row>
    <row r="4008" spans="3:5" ht="14.1" customHeight="1">
      <c r="C4008">
        <v>2699</v>
      </c>
      <c r="D4008" t="s">
        <v>3391</v>
      </c>
      <c r="E4008">
        <v>653</v>
      </c>
    </row>
    <row r="4009" spans="3:5" ht="14.1" customHeight="1">
      <c r="C4009">
        <v>1823</v>
      </c>
      <c r="D4009" t="s">
        <v>3392</v>
      </c>
      <c r="E4009">
        <v>514</v>
      </c>
    </row>
    <row r="4010" spans="3:5" ht="14.1" customHeight="1">
      <c r="C4010">
        <v>1816</v>
      </c>
      <c r="D4010" t="s">
        <v>3393</v>
      </c>
      <c r="E4010">
        <v>471</v>
      </c>
    </row>
    <row r="4011" spans="3:5" ht="14.1" customHeight="1">
      <c r="C4011">
        <v>1222</v>
      </c>
      <c r="D4011" t="s">
        <v>3394</v>
      </c>
      <c r="E4011">
        <v>716</v>
      </c>
    </row>
    <row r="4012" spans="3:5" ht="14.1" customHeight="1">
      <c r="C4012">
        <v>1699</v>
      </c>
      <c r="D4012" t="s">
        <v>3395</v>
      </c>
      <c r="E4012">
        <v>694</v>
      </c>
    </row>
    <row r="4013" spans="3:5" ht="14.1" customHeight="1">
      <c r="C4013">
        <v>664</v>
      </c>
      <c r="D4013" t="s">
        <v>811</v>
      </c>
      <c r="E4013">
        <v>550</v>
      </c>
    </row>
    <row r="4014" spans="3:5" ht="14.1" customHeight="1">
      <c r="C4014">
        <v>1242</v>
      </c>
      <c r="D4014" t="s">
        <v>3396</v>
      </c>
      <c r="E4014">
        <v>471</v>
      </c>
    </row>
    <row r="4015" spans="3:5" ht="14.1" customHeight="1">
      <c r="C4015">
        <v>390</v>
      </c>
      <c r="D4015" t="s">
        <v>256</v>
      </c>
      <c r="E4015">
        <v>497</v>
      </c>
    </row>
    <row r="4016" spans="3:5" ht="14.1" customHeight="1">
      <c r="C4016">
        <v>4807</v>
      </c>
      <c r="D4016" t="s">
        <v>4167</v>
      </c>
      <c r="E4016">
        <v>321</v>
      </c>
    </row>
    <row r="4017" spans="3:5" ht="14.1" customHeight="1">
      <c r="C4017">
        <v>212</v>
      </c>
      <c r="D4017" t="s">
        <v>812</v>
      </c>
      <c r="E4017">
        <v>777</v>
      </c>
    </row>
    <row r="4018" spans="3:5" ht="14.1" customHeight="1">
      <c r="C4018">
        <v>4512</v>
      </c>
      <c r="D4018" t="s">
        <v>3759</v>
      </c>
      <c r="E4018">
        <v>671</v>
      </c>
    </row>
    <row r="4019" spans="3:5" ht="14.1" customHeight="1">
      <c r="C4019">
        <v>5089</v>
      </c>
      <c r="D4019" t="s">
        <v>4358</v>
      </c>
      <c r="E4019">
        <v>467</v>
      </c>
    </row>
    <row r="4020" spans="3:5" ht="14.1" customHeight="1">
      <c r="C4020">
        <v>772</v>
      </c>
      <c r="D4020" t="s">
        <v>813</v>
      </c>
      <c r="E4020">
        <v>654</v>
      </c>
    </row>
    <row r="4021" spans="3:5" ht="14.1" customHeight="1">
      <c r="C4021">
        <v>773</v>
      </c>
      <c r="D4021" t="s">
        <v>814</v>
      </c>
      <c r="E4021">
        <v>642</v>
      </c>
    </row>
    <row r="4022" spans="3:5" ht="14.1" customHeight="1">
      <c r="C4022">
        <v>548</v>
      </c>
      <c r="D4022" t="s">
        <v>815</v>
      </c>
      <c r="E4022">
        <v>834</v>
      </c>
    </row>
    <row r="4023" spans="3:5" ht="14.1" customHeight="1">
      <c r="C4023">
        <v>4765</v>
      </c>
      <c r="D4023" t="s">
        <v>4168</v>
      </c>
      <c r="E4023">
        <v>569</v>
      </c>
    </row>
    <row r="4024" spans="3:5" ht="14.1" customHeight="1">
      <c r="C4024">
        <v>2063</v>
      </c>
      <c r="D4024" t="s">
        <v>3397</v>
      </c>
      <c r="E4024">
        <v>1157</v>
      </c>
    </row>
    <row r="4025" spans="3:5" ht="14.1" customHeight="1">
      <c r="C4025">
        <v>5134</v>
      </c>
      <c r="D4025" t="s">
        <v>4359</v>
      </c>
      <c r="E4025">
        <v>880</v>
      </c>
    </row>
    <row r="4026" spans="3:5" ht="14.1" customHeight="1">
      <c r="C4026">
        <v>1160</v>
      </c>
      <c r="D4026" t="s">
        <v>3398</v>
      </c>
      <c r="E4026">
        <v>600</v>
      </c>
    </row>
    <row r="4027" spans="3:5" ht="14.1" customHeight="1">
      <c r="C4027">
        <v>1161</v>
      </c>
      <c r="D4027" t="s">
        <v>3399</v>
      </c>
      <c r="E4027">
        <v>600</v>
      </c>
    </row>
    <row r="4028" spans="3:5" ht="14.1" customHeight="1">
      <c r="C4028">
        <v>1976</v>
      </c>
      <c r="D4028" t="s">
        <v>3400</v>
      </c>
      <c r="E4028">
        <v>695</v>
      </c>
    </row>
    <row r="4029" spans="3:5" ht="14.1" customHeight="1">
      <c r="C4029">
        <v>798</v>
      </c>
      <c r="D4029" t="s">
        <v>3401</v>
      </c>
      <c r="E4029">
        <v>477</v>
      </c>
    </row>
    <row r="4030" spans="3:5" ht="14.1" customHeight="1">
      <c r="C4030">
        <v>1455</v>
      </c>
      <c r="D4030" t="s">
        <v>3402</v>
      </c>
      <c r="E4030">
        <v>484</v>
      </c>
    </row>
    <row r="4031" spans="3:5" ht="14.1" customHeight="1">
      <c r="C4031">
        <v>4619</v>
      </c>
      <c r="D4031" t="s">
        <v>4169</v>
      </c>
      <c r="E4031">
        <v>0</v>
      </c>
    </row>
    <row r="4032" spans="3:5" ht="14.1" customHeight="1">
      <c r="C4032">
        <v>41</v>
      </c>
      <c r="D4032" t="s">
        <v>816</v>
      </c>
      <c r="E4032">
        <v>468</v>
      </c>
    </row>
    <row r="4033" spans="3:5" ht="14.1" customHeight="1">
      <c r="C4033">
        <v>1438</v>
      </c>
      <c r="D4033" t="s">
        <v>3403</v>
      </c>
      <c r="E4033">
        <v>499</v>
      </c>
    </row>
    <row r="4034" spans="3:5" ht="14.1" customHeight="1">
      <c r="C4034">
        <v>5005</v>
      </c>
      <c r="D4034" t="s">
        <v>4170</v>
      </c>
      <c r="E4034">
        <v>437</v>
      </c>
    </row>
    <row r="4035" spans="3:5" ht="14.1" customHeight="1">
      <c r="C4035">
        <v>4151</v>
      </c>
      <c r="D4035" t="s">
        <v>3404</v>
      </c>
      <c r="E4035">
        <v>588</v>
      </c>
    </row>
    <row r="4036" spans="3:5" ht="14.1" customHeight="1">
      <c r="C4036">
        <v>1842</v>
      </c>
      <c r="D4036" t="s">
        <v>3405</v>
      </c>
      <c r="E4036">
        <v>561</v>
      </c>
    </row>
    <row r="4037" spans="3:5" ht="14.1" customHeight="1">
      <c r="C4037">
        <v>2451</v>
      </c>
      <c r="D4037" t="s">
        <v>3406</v>
      </c>
      <c r="E4037">
        <v>685</v>
      </c>
    </row>
    <row r="4038" spans="3:5" ht="14.1" customHeight="1">
      <c r="C4038">
        <v>4675</v>
      </c>
      <c r="D4038" t="s">
        <v>4171</v>
      </c>
      <c r="E4038">
        <v>580</v>
      </c>
    </row>
    <row r="4039" spans="3:5" ht="14.1" customHeight="1">
      <c r="C4039">
        <v>1975</v>
      </c>
      <c r="D4039" t="s">
        <v>3407</v>
      </c>
      <c r="E4039">
        <v>673</v>
      </c>
    </row>
    <row r="4040" spans="3:5" ht="14.1" customHeight="1">
      <c r="C4040">
        <v>1234</v>
      </c>
      <c r="D4040" t="s">
        <v>3408</v>
      </c>
      <c r="E4040">
        <v>511</v>
      </c>
    </row>
    <row r="4041" spans="3:5" ht="14.1" customHeight="1">
      <c r="C4041">
        <v>433</v>
      </c>
      <c r="D4041" t="s">
        <v>257</v>
      </c>
      <c r="E4041">
        <v>583</v>
      </c>
    </row>
    <row r="4042" spans="3:5" ht="14.1" customHeight="1">
      <c r="C4042">
        <v>2536</v>
      </c>
      <c r="D4042" t="s">
        <v>3409</v>
      </c>
      <c r="E4042">
        <v>517</v>
      </c>
    </row>
    <row r="4043" spans="3:5" ht="14.1" customHeight="1">
      <c r="C4043">
        <v>1056</v>
      </c>
      <c r="D4043" t="s">
        <v>3410</v>
      </c>
      <c r="E4043">
        <v>779</v>
      </c>
    </row>
    <row r="4044" spans="3:5" ht="14.1" customHeight="1">
      <c r="C4044">
        <v>567</v>
      </c>
      <c r="D4044" t="s">
        <v>3411</v>
      </c>
      <c r="E4044">
        <v>614</v>
      </c>
    </row>
    <row r="4045" spans="3:5" ht="14.1" customHeight="1">
      <c r="C4045">
        <v>1646</v>
      </c>
      <c r="D4045" t="s">
        <v>3412</v>
      </c>
      <c r="E4045">
        <v>490</v>
      </c>
    </row>
    <row r="4046" spans="3:5" ht="14.1" customHeight="1">
      <c r="C4046">
        <v>3127</v>
      </c>
      <c r="D4046" t="s">
        <v>3413</v>
      </c>
      <c r="E4046">
        <v>0</v>
      </c>
    </row>
    <row r="4047" spans="3:5" ht="14.1" customHeight="1">
      <c r="C4047">
        <v>4146</v>
      </c>
      <c r="D4047" t="s">
        <v>3414</v>
      </c>
      <c r="E4047">
        <v>422</v>
      </c>
    </row>
    <row r="4048" spans="3:5" ht="14.1" customHeight="1">
      <c r="C4048">
        <v>334</v>
      </c>
      <c r="D4048" t="s">
        <v>258</v>
      </c>
      <c r="E4048">
        <v>570</v>
      </c>
    </row>
    <row r="4049" spans="3:5" ht="14.1" customHeight="1">
      <c r="C4049">
        <v>917</v>
      </c>
      <c r="D4049" t="s">
        <v>817</v>
      </c>
      <c r="E4049">
        <v>664</v>
      </c>
    </row>
    <row r="4050" spans="3:5" ht="14.1" customHeight="1">
      <c r="C4050">
        <v>568</v>
      </c>
      <c r="D4050" t="s">
        <v>818</v>
      </c>
      <c r="E4050">
        <v>579</v>
      </c>
    </row>
    <row r="4051" spans="3:5" ht="14.1" customHeight="1">
      <c r="C4051">
        <v>1806</v>
      </c>
      <c r="D4051" t="s">
        <v>3415</v>
      </c>
      <c r="E4051">
        <v>390</v>
      </c>
    </row>
    <row r="4052" spans="3:5" ht="14.1" customHeight="1">
      <c r="C4052">
        <v>2165</v>
      </c>
      <c r="D4052" t="s">
        <v>3416</v>
      </c>
      <c r="E4052">
        <v>554</v>
      </c>
    </row>
    <row r="4053" spans="3:5" ht="14.1" customHeight="1">
      <c r="C4053">
        <v>4552</v>
      </c>
      <c r="D4053" t="s">
        <v>3760</v>
      </c>
      <c r="E4053">
        <v>543</v>
      </c>
    </row>
    <row r="4054" spans="3:5" ht="14.1" customHeight="1">
      <c r="C4054">
        <v>3338</v>
      </c>
      <c r="D4054" t="s">
        <v>3417</v>
      </c>
      <c r="E4054">
        <v>675</v>
      </c>
    </row>
    <row r="4055" spans="3:5" ht="14.1" customHeight="1">
      <c r="C4055">
        <v>4651</v>
      </c>
      <c r="D4055" t="s">
        <v>4172</v>
      </c>
      <c r="E4055">
        <v>478</v>
      </c>
    </row>
    <row r="4056" spans="3:5" ht="14.1" customHeight="1">
      <c r="C4056">
        <v>1175</v>
      </c>
      <c r="D4056" t="s">
        <v>3418</v>
      </c>
      <c r="E4056">
        <v>766</v>
      </c>
    </row>
    <row r="4057" spans="3:5" ht="14.1" customHeight="1">
      <c r="C4057">
        <v>4757</v>
      </c>
      <c r="D4057" t="s">
        <v>4173</v>
      </c>
      <c r="E4057">
        <v>593</v>
      </c>
    </row>
    <row r="4058" spans="3:5" ht="14.1" customHeight="1">
      <c r="C4058">
        <v>4582</v>
      </c>
      <c r="D4058" t="s">
        <v>3761</v>
      </c>
      <c r="E4058">
        <v>0</v>
      </c>
    </row>
    <row r="4059" spans="3:5" ht="14.1" customHeight="1">
      <c r="C4059">
        <v>4426</v>
      </c>
      <c r="D4059" t="s">
        <v>3762</v>
      </c>
      <c r="E4059">
        <v>0</v>
      </c>
    </row>
    <row r="4060" spans="3:5" ht="14.1" customHeight="1">
      <c r="C4060">
        <v>747</v>
      </c>
      <c r="D4060" t="s">
        <v>819</v>
      </c>
      <c r="E4060">
        <v>666</v>
      </c>
    </row>
    <row r="4061" spans="3:5" ht="14.1" customHeight="1">
      <c r="C4061">
        <v>1999</v>
      </c>
      <c r="D4061" t="s">
        <v>3419</v>
      </c>
      <c r="E4061">
        <v>429</v>
      </c>
    </row>
    <row r="4062" spans="3:5" ht="14.1" customHeight="1">
      <c r="C4062">
        <v>387</v>
      </c>
      <c r="D4062" t="s">
        <v>259</v>
      </c>
      <c r="E4062">
        <v>480</v>
      </c>
    </row>
    <row r="4063" spans="3:5" ht="14.1" customHeight="1">
      <c r="C4063">
        <v>1044</v>
      </c>
      <c r="D4063" t="s">
        <v>3420</v>
      </c>
      <c r="E4063">
        <v>600</v>
      </c>
    </row>
    <row r="4064" spans="3:5" ht="14.1" customHeight="1">
      <c r="C4064">
        <v>1361</v>
      </c>
      <c r="D4064" t="s">
        <v>3421</v>
      </c>
      <c r="E4064">
        <v>669</v>
      </c>
    </row>
    <row r="4065" spans="3:5" ht="14.1" customHeight="1">
      <c r="C4065">
        <v>242</v>
      </c>
      <c r="D4065" t="s">
        <v>260</v>
      </c>
      <c r="E4065">
        <v>389</v>
      </c>
    </row>
    <row r="4066" spans="3:5" ht="14.1" customHeight="1">
      <c r="C4066">
        <v>2870</v>
      </c>
      <c r="D4066" t="s">
        <v>3422</v>
      </c>
      <c r="E4066">
        <v>476</v>
      </c>
    </row>
    <row r="4067" spans="3:5" ht="14.1" customHeight="1">
      <c r="C4067">
        <v>5001</v>
      </c>
      <c r="D4067" t="s">
        <v>4174</v>
      </c>
      <c r="E4067">
        <v>543</v>
      </c>
    </row>
    <row r="4068" spans="3:5" ht="14.1" customHeight="1">
      <c r="C4068">
        <v>554</v>
      </c>
      <c r="D4068" t="s">
        <v>820</v>
      </c>
      <c r="E4068">
        <v>767</v>
      </c>
    </row>
    <row r="4069" spans="3:5" ht="14.1" customHeight="1">
      <c r="C4069">
        <v>1526</v>
      </c>
      <c r="D4069" t="s">
        <v>3423</v>
      </c>
      <c r="E4069">
        <v>743</v>
      </c>
    </row>
    <row r="4070" spans="3:5" ht="14.1" customHeight="1">
      <c r="C4070">
        <v>1795</v>
      </c>
      <c r="D4070" t="s">
        <v>3424</v>
      </c>
      <c r="E4070">
        <v>444</v>
      </c>
    </row>
    <row r="4071" spans="3:5" ht="14.1" customHeight="1">
      <c r="C4071">
        <v>2244</v>
      </c>
      <c r="D4071" t="s">
        <v>3425</v>
      </c>
      <c r="E4071">
        <v>469</v>
      </c>
    </row>
    <row r="4072" spans="3:5" ht="14.1" customHeight="1">
      <c r="C4072">
        <v>2283</v>
      </c>
      <c r="D4072" t="s">
        <v>3426</v>
      </c>
      <c r="E4072">
        <v>503</v>
      </c>
    </row>
    <row r="4073" spans="3:5" ht="14.1" customHeight="1">
      <c r="C4073">
        <v>190</v>
      </c>
      <c r="D4073" t="s">
        <v>261</v>
      </c>
      <c r="E4073">
        <v>480</v>
      </c>
    </row>
    <row r="4074" spans="3:5" ht="14.1" customHeight="1">
      <c r="C4074">
        <v>1581</v>
      </c>
      <c r="D4074" t="s">
        <v>3427</v>
      </c>
      <c r="E4074">
        <v>520</v>
      </c>
    </row>
    <row r="4075" spans="3:5" ht="14.1" customHeight="1">
      <c r="C4075">
        <v>2778</v>
      </c>
      <c r="D4075" t="s">
        <v>3428</v>
      </c>
      <c r="E4075">
        <v>484</v>
      </c>
    </row>
    <row r="4076" spans="3:5" ht="14.1" customHeight="1">
      <c r="C4076">
        <v>2634</v>
      </c>
      <c r="D4076" t="s">
        <v>3429</v>
      </c>
      <c r="E4076">
        <v>394</v>
      </c>
    </row>
    <row r="4077" spans="3:5" ht="14.1" customHeight="1">
      <c r="C4077">
        <v>1092</v>
      </c>
      <c r="D4077" t="s">
        <v>3430</v>
      </c>
      <c r="E4077">
        <v>578</v>
      </c>
    </row>
    <row r="4078" spans="3:5" ht="14.1" customHeight="1">
      <c r="C4078">
        <v>4287</v>
      </c>
      <c r="D4078" t="s">
        <v>3431</v>
      </c>
      <c r="E4078">
        <v>418</v>
      </c>
    </row>
    <row r="4079" spans="3:5" ht="14.1" customHeight="1">
      <c r="C4079">
        <v>2549</v>
      </c>
      <c r="D4079" t="s">
        <v>3432</v>
      </c>
      <c r="E4079">
        <v>398</v>
      </c>
    </row>
    <row r="4080" spans="3:5" ht="14.1" customHeight="1">
      <c r="C4080">
        <v>1275</v>
      </c>
      <c r="D4080" t="s">
        <v>3433</v>
      </c>
      <c r="E4080">
        <v>504</v>
      </c>
    </row>
    <row r="4081" spans="3:5" ht="14.1" customHeight="1">
      <c r="C4081">
        <v>686</v>
      </c>
      <c r="D4081" t="s">
        <v>3434</v>
      </c>
      <c r="E4081">
        <v>812</v>
      </c>
    </row>
    <row r="4082" spans="3:5" ht="14.1" customHeight="1">
      <c r="C4082">
        <v>5070</v>
      </c>
      <c r="D4082" t="s">
        <v>4360</v>
      </c>
      <c r="E4082">
        <v>474</v>
      </c>
    </row>
    <row r="4083" spans="3:5" ht="14.1" customHeight="1">
      <c r="C4083">
        <v>2914</v>
      </c>
      <c r="D4083" t="s">
        <v>3435</v>
      </c>
      <c r="E4083">
        <v>809</v>
      </c>
    </row>
    <row r="4084" spans="3:5" ht="14.1" customHeight="1">
      <c r="C4084">
        <v>1021</v>
      </c>
      <c r="D4084" t="s">
        <v>3436</v>
      </c>
      <c r="E4084">
        <v>824</v>
      </c>
    </row>
    <row r="4085" spans="3:5" ht="14.1" customHeight="1">
      <c r="C4085">
        <v>245</v>
      </c>
      <c r="D4085" t="s">
        <v>3437</v>
      </c>
      <c r="E4085">
        <v>522</v>
      </c>
    </row>
    <row r="4086" spans="3:5" ht="14.1" customHeight="1">
      <c r="C4086">
        <v>1840</v>
      </c>
      <c r="D4086" t="s">
        <v>3438</v>
      </c>
      <c r="E4086">
        <v>668</v>
      </c>
    </row>
    <row r="4087" spans="3:5" ht="14.1" customHeight="1">
      <c r="C4087">
        <v>4215</v>
      </c>
      <c r="D4087" t="s">
        <v>3439</v>
      </c>
      <c r="E4087">
        <v>489</v>
      </c>
    </row>
    <row r="4088" spans="3:5" ht="14.1" customHeight="1">
      <c r="C4088">
        <v>4992</v>
      </c>
      <c r="D4088" t="s">
        <v>4175</v>
      </c>
      <c r="E4088">
        <v>511</v>
      </c>
    </row>
    <row r="4089" spans="3:5" ht="14.1" customHeight="1">
      <c r="C4089">
        <v>83</v>
      </c>
      <c r="D4089" t="s">
        <v>821</v>
      </c>
      <c r="E4089">
        <v>823</v>
      </c>
    </row>
    <row r="4090" spans="3:5" ht="14.1" customHeight="1">
      <c r="C4090">
        <v>1964</v>
      </c>
      <c r="D4090" t="s">
        <v>3440</v>
      </c>
      <c r="E4090">
        <v>565</v>
      </c>
    </row>
    <row r="4091" spans="3:5" ht="14.1" customHeight="1">
      <c r="C4091">
        <v>2213</v>
      </c>
      <c r="D4091" t="s">
        <v>3441</v>
      </c>
      <c r="E4091">
        <v>437</v>
      </c>
    </row>
    <row r="4092" spans="3:5" ht="14.1" customHeight="1">
      <c r="C4092">
        <v>2214</v>
      </c>
      <c r="D4092" t="s">
        <v>3442</v>
      </c>
      <c r="E4092">
        <v>437</v>
      </c>
    </row>
    <row r="4093" spans="3:5" ht="14.1" customHeight="1">
      <c r="C4093">
        <v>2766</v>
      </c>
      <c r="D4093" t="s">
        <v>3443</v>
      </c>
      <c r="E4093">
        <v>654</v>
      </c>
    </row>
    <row r="4094" spans="3:5" ht="14.1" customHeight="1">
      <c r="C4094">
        <v>2765</v>
      </c>
      <c r="D4094" t="s">
        <v>3444</v>
      </c>
      <c r="E4094">
        <v>589</v>
      </c>
    </row>
    <row r="4095" spans="3:5" ht="14.1" customHeight="1">
      <c r="C4095">
        <v>1951</v>
      </c>
      <c r="D4095" t="s">
        <v>3445</v>
      </c>
      <c r="E4095">
        <v>665</v>
      </c>
    </row>
    <row r="4096" spans="3:5" ht="14.1" customHeight="1">
      <c r="C4096">
        <v>369</v>
      </c>
      <c r="D4096" t="s">
        <v>262</v>
      </c>
      <c r="E4096">
        <v>433</v>
      </c>
    </row>
    <row r="4097" spans="3:5" ht="14.1" customHeight="1">
      <c r="C4097">
        <v>2254</v>
      </c>
      <c r="D4097" t="s">
        <v>3446</v>
      </c>
      <c r="E4097">
        <v>400</v>
      </c>
    </row>
    <row r="4098" spans="3:5" ht="14.1" customHeight="1">
      <c r="C4098">
        <v>2148</v>
      </c>
      <c r="D4098" t="s">
        <v>3447</v>
      </c>
      <c r="E4098">
        <v>493</v>
      </c>
    </row>
    <row r="4099" spans="3:5" ht="14.1" customHeight="1">
      <c r="C4099">
        <v>1335</v>
      </c>
      <c r="D4099" t="s">
        <v>3448</v>
      </c>
      <c r="E4099">
        <v>566</v>
      </c>
    </row>
    <row r="4100" spans="3:5" ht="14.1" customHeight="1">
      <c r="C4100">
        <v>4949</v>
      </c>
      <c r="D4100" t="s">
        <v>4176</v>
      </c>
      <c r="E4100">
        <v>384</v>
      </c>
    </row>
    <row r="4101" spans="3:5" ht="14.1" customHeight="1">
      <c r="C4101">
        <v>1294</v>
      </c>
      <c r="D4101" t="s">
        <v>3449</v>
      </c>
      <c r="E4101">
        <v>497</v>
      </c>
    </row>
    <row r="4102" spans="3:5" ht="14.1" customHeight="1">
      <c r="C4102">
        <v>2323</v>
      </c>
      <c r="D4102" t="s">
        <v>3450</v>
      </c>
      <c r="E4102">
        <v>598</v>
      </c>
    </row>
    <row r="4103" spans="3:5" ht="14.1" customHeight="1">
      <c r="C4103">
        <v>3270</v>
      </c>
      <c r="D4103" t="s">
        <v>3451</v>
      </c>
      <c r="E4103">
        <v>0</v>
      </c>
    </row>
    <row r="4104" spans="3:5" ht="14.1" customHeight="1">
      <c r="C4104">
        <v>4539</v>
      </c>
      <c r="D4104" t="s">
        <v>3763</v>
      </c>
      <c r="E4104">
        <v>587</v>
      </c>
    </row>
    <row r="4105" spans="3:5" ht="14.1" customHeight="1">
      <c r="C4105">
        <v>1494</v>
      </c>
      <c r="D4105" t="s">
        <v>3452</v>
      </c>
      <c r="E4105">
        <v>766</v>
      </c>
    </row>
    <row r="4106" spans="3:5" ht="14.1" customHeight="1">
      <c r="C4106">
        <v>4423</v>
      </c>
      <c r="D4106" t="s">
        <v>3764</v>
      </c>
      <c r="E4106">
        <v>415</v>
      </c>
    </row>
    <row r="4107" spans="3:5" ht="14.1" customHeight="1">
      <c r="C4107">
        <v>2203</v>
      </c>
      <c r="D4107" t="s">
        <v>3453</v>
      </c>
      <c r="E4107">
        <v>956</v>
      </c>
    </row>
    <row r="4108" spans="3:5" ht="14.1" customHeight="1">
      <c r="C4108">
        <v>4428</v>
      </c>
      <c r="D4108" t="s">
        <v>3765</v>
      </c>
      <c r="E4108">
        <v>0</v>
      </c>
    </row>
    <row r="4109" spans="3:5" ht="14.1" customHeight="1">
      <c r="C4109">
        <v>437</v>
      </c>
      <c r="D4109" t="s">
        <v>263</v>
      </c>
      <c r="E4109">
        <v>579</v>
      </c>
    </row>
    <row r="4110" spans="3:5" ht="14.1" customHeight="1">
      <c r="C4110">
        <v>2733</v>
      </c>
      <c r="D4110" t="s">
        <v>3454</v>
      </c>
      <c r="E4110">
        <v>611</v>
      </c>
    </row>
    <row r="4111" spans="3:5" ht="14.1" customHeight="1">
      <c r="C4111">
        <v>549</v>
      </c>
      <c r="D4111" t="s">
        <v>822</v>
      </c>
      <c r="E4111">
        <v>744</v>
      </c>
    </row>
    <row r="4112" spans="3:5" ht="14.1" customHeight="1">
      <c r="C4112">
        <v>5033</v>
      </c>
      <c r="D4112" t="s">
        <v>4361</v>
      </c>
      <c r="E4112">
        <v>848</v>
      </c>
    </row>
    <row r="4113" spans="3:5" ht="14.1" customHeight="1">
      <c r="C4113">
        <v>2780</v>
      </c>
      <c r="D4113" t="s">
        <v>3455</v>
      </c>
      <c r="E4113">
        <v>734</v>
      </c>
    </row>
    <row r="4114" spans="3:5" ht="14.1" customHeight="1">
      <c r="C4114">
        <v>2574</v>
      </c>
      <c r="D4114" t="s">
        <v>3456</v>
      </c>
      <c r="E4114">
        <v>493</v>
      </c>
    </row>
    <row r="4115" spans="3:5" ht="14.1" customHeight="1">
      <c r="C4115">
        <v>322</v>
      </c>
      <c r="D4115" t="s">
        <v>823</v>
      </c>
      <c r="E4115">
        <v>630</v>
      </c>
    </row>
    <row r="4116" spans="3:5" ht="14.1" customHeight="1">
      <c r="C4116">
        <v>260</v>
      </c>
      <c r="D4116" t="s">
        <v>824</v>
      </c>
      <c r="E4116">
        <v>610</v>
      </c>
    </row>
    <row r="4117" spans="3:5" ht="14.1" customHeight="1">
      <c r="C4117">
        <v>4170</v>
      </c>
      <c r="D4117" t="s">
        <v>3457</v>
      </c>
      <c r="E4117">
        <v>475</v>
      </c>
    </row>
    <row r="4118" spans="3:5" ht="14.1" customHeight="1">
      <c r="C4118">
        <v>1928</v>
      </c>
      <c r="D4118" t="s">
        <v>3458</v>
      </c>
      <c r="E4118">
        <v>429</v>
      </c>
    </row>
    <row r="4119" spans="3:5" ht="14.1" customHeight="1">
      <c r="C4119">
        <v>4633</v>
      </c>
      <c r="D4119" t="s">
        <v>4177</v>
      </c>
      <c r="E4119">
        <v>581</v>
      </c>
    </row>
    <row r="4120" spans="3:5" ht="14.1" customHeight="1">
      <c r="C4120">
        <v>938</v>
      </c>
      <c r="D4120" t="s">
        <v>3459</v>
      </c>
      <c r="E4120">
        <v>625</v>
      </c>
    </row>
    <row r="4121" spans="3:5" ht="14.1" customHeight="1">
      <c r="C4121">
        <v>926</v>
      </c>
      <c r="D4121" t="s">
        <v>3460</v>
      </c>
      <c r="E4121">
        <v>646</v>
      </c>
    </row>
    <row r="4122" spans="3:5" ht="14.1" customHeight="1">
      <c r="C4122">
        <v>2134</v>
      </c>
      <c r="D4122" t="s">
        <v>3461</v>
      </c>
      <c r="E4122">
        <v>364</v>
      </c>
    </row>
    <row r="4123" spans="3:5" ht="14.1" customHeight="1">
      <c r="C4123">
        <v>4256</v>
      </c>
      <c r="D4123" t="s">
        <v>3462</v>
      </c>
      <c r="E4123">
        <v>431</v>
      </c>
    </row>
    <row r="4124" spans="3:5" ht="14.1" customHeight="1">
      <c r="C4124">
        <v>2194</v>
      </c>
      <c r="D4124" t="s">
        <v>3463</v>
      </c>
      <c r="E4124">
        <v>442</v>
      </c>
    </row>
    <row r="4125" spans="3:5" ht="14.1" customHeight="1">
      <c r="C4125">
        <v>1493</v>
      </c>
      <c r="D4125" t="s">
        <v>3464</v>
      </c>
      <c r="E4125">
        <v>752</v>
      </c>
    </row>
    <row r="4126" spans="3:5" ht="14.1" customHeight="1">
      <c r="C4126">
        <v>2743</v>
      </c>
      <c r="D4126" t="s">
        <v>3465</v>
      </c>
      <c r="E4126">
        <v>776</v>
      </c>
    </row>
    <row r="4127" spans="3:5" ht="14.1" customHeight="1">
      <c r="C4127">
        <v>2671</v>
      </c>
      <c r="D4127" t="s">
        <v>3466</v>
      </c>
      <c r="E4127">
        <v>660</v>
      </c>
    </row>
    <row r="4128" spans="3:5" ht="14.1" customHeight="1">
      <c r="C4128">
        <v>912</v>
      </c>
      <c r="D4128" t="s">
        <v>825</v>
      </c>
      <c r="E4128">
        <v>799</v>
      </c>
    </row>
    <row r="4129" spans="3:5" ht="14.1" customHeight="1">
      <c r="C4129">
        <v>3081</v>
      </c>
      <c r="D4129" t="s">
        <v>826</v>
      </c>
      <c r="E4129">
        <v>0</v>
      </c>
    </row>
    <row r="4130" spans="3:5" ht="14.1" customHeight="1">
      <c r="C4130">
        <v>1853</v>
      </c>
      <c r="D4130" t="s">
        <v>3467</v>
      </c>
      <c r="E4130">
        <v>671</v>
      </c>
    </row>
    <row r="4131" spans="3:5" ht="14.1" customHeight="1">
      <c r="C4131">
        <v>1570</v>
      </c>
      <c r="D4131" t="s">
        <v>3468</v>
      </c>
      <c r="E4131">
        <v>458</v>
      </c>
    </row>
    <row r="4132" spans="3:5" ht="14.1" customHeight="1">
      <c r="C4132">
        <v>1158</v>
      </c>
      <c r="D4132" t="s">
        <v>3469</v>
      </c>
      <c r="E4132">
        <v>705</v>
      </c>
    </row>
    <row r="4133" spans="3:5" ht="14.1" customHeight="1">
      <c r="C4133">
        <v>4812</v>
      </c>
      <c r="D4133" t="s">
        <v>4178</v>
      </c>
      <c r="E4133">
        <v>332</v>
      </c>
    </row>
    <row r="4134" spans="3:5" ht="14.1" customHeight="1">
      <c r="C4134">
        <v>3227</v>
      </c>
      <c r="D4134" t="s">
        <v>3470</v>
      </c>
      <c r="E4134">
        <v>0</v>
      </c>
    </row>
    <row r="4135" spans="3:5" ht="14.1" customHeight="1">
      <c r="C4135">
        <v>337</v>
      </c>
      <c r="D4135" t="s">
        <v>4362</v>
      </c>
      <c r="E4135">
        <v>415</v>
      </c>
    </row>
    <row r="4136" spans="3:5" ht="14.1" customHeight="1">
      <c r="C4136">
        <v>1399</v>
      </c>
      <c r="D4136" t="s">
        <v>3471</v>
      </c>
      <c r="E4136">
        <v>514</v>
      </c>
    </row>
    <row r="4137" spans="3:5" ht="14.1" customHeight="1">
      <c r="C4137">
        <v>1348</v>
      </c>
      <c r="D4137" t="s">
        <v>3472</v>
      </c>
      <c r="E4137">
        <v>685</v>
      </c>
    </row>
    <row r="4138" spans="3:5" ht="14.1" customHeight="1">
      <c r="C4138">
        <v>1675</v>
      </c>
      <c r="D4138" t="s">
        <v>3473</v>
      </c>
      <c r="E4138">
        <v>726</v>
      </c>
    </row>
    <row r="4139" spans="3:5" ht="14.1" customHeight="1">
      <c r="C4139">
        <v>2073</v>
      </c>
      <c r="D4139" t="s">
        <v>3474</v>
      </c>
      <c r="E4139">
        <v>767</v>
      </c>
    </row>
    <row r="4140" spans="3:5" ht="14.1" customHeight="1">
      <c r="C4140">
        <v>4650</v>
      </c>
      <c r="D4140" t="s">
        <v>4179</v>
      </c>
      <c r="E4140">
        <v>478</v>
      </c>
    </row>
    <row r="4141" spans="3:5" ht="14.1" customHeight="1">
      <c r="C4141">
        <v>1321</v>
      </c>
      <c r="D4141" t="s">
        <v>3475</v>
      </c>
      <c r="E4141">
        <v>741</v>
      </c>
    </row>
    <row r="4142" spans="3:5" ht="14.1" customHeight="1">
      <c r="C4142">
        <v>1694</v>
      </c>
      <c r="D4142" t="s">
        <v>3476</v>
      </c>
      <c r="E4142">
        <v>591</v>
      </c>
    </row>
    <row r="4143" spans="3:5" ht="14.1" customHeight="1">
      <c r="C4143">
        <v>2155</v>
      </c>
      <c r="D4143" t="s">
        <v>3477</v>
      </c>
      <c r="E4143">
        <v>596</v>
      </c>
    </row>
    <row r="4144" spans="3:5" ht="14.1" customHeight="1">
      <c r="C4144">
        <v>1917</v>
      </c>
      <c r="D4144" t="s">
        <v>3478</v>
      </c>
      <c r="E4144">
        <v>745</v>
      </c>
    </row>
    <row r="4145" spans="3:5" ht="14.1" customHeight="1">
      <c r="C4145">
        <v>3225</v>
      </c>
      <c r="D4145" t="s">
        <v>3479</v>
      </c>
      <c r="E4145">
        <v>0</v>
      </c>
    </row>
    <row r="4146" spans="3:5" ht="14.1" customHeight="1">
      <c r="C4146">
        <v>543</v>
      </c>
      <c r="D4146" t="s">
        <v>827</v>
      </c>
      <c r="E4146">
        <v>293</v>
      </c>
    </row>
    <row r="4147" spans="3:5" ht="14.1" customHeight="1">
      <c r="C4147">
        <v>3253</v>
      </c>
      <c r="D4147" t="s">
        <v>3480</v>
      </c>
      <c r="E4147">
        <v>0</v>
      </c>
    </row>
    <row r="4148" spans="3:5" ht="14.1" customHeight="1">
      <c r="C4148">
        <v>481</v>
      </c>
      <c r="D4148" t="s">
        <v>828</v>
      </c>
      <c r="E4148">
        <v>756</v>
      </c>
    </row>
    <row r="4149" spans="3:5" ht="14.1" customHeight="1">
      <c r="C4149">
        <v>1846</v>
      </c>
      <c r="D4149" t="s">
        <v>3481</v>
      </c>
      <c r="E4149">
        <v>597</v>
      </c>
    </row>
    <row r="4150" spans="3:5" ht="14.1" customHeight="1">
      <c r="C4150">
        <v>1235</v>
      </c>
      <c r="D4150" t="s">
        <v>3482</v>
      </c>
      <c r="E4150">
        <v>538</v>
      </c>
    </row>
    <row r="4151" spans="3:5" ht="14.1" customHeight="1">
      <c r="C4151">
        <v>4322</v>
      </c>
      <c r="D4151" t="s">
        <v>3483</v>
      </c>
      <c r="E4151">
        <v>705</v>
      </c>
    </row>
    <row r="4152" spans="3:5" ht="14.1" customHeight="1">
      <c r="C4152">
        <v>1004</v>
      </c>
      <c r="D4152" t="s">
        <v>3484</v>
      </c>
      <c r="E4152">
        <v>471</v>
      </c>
    </row>
    <row r="4153" spans="3:5" ht="14.1" customHeight="1">
      <c r="C4153">
        <v>1005</v>
      </c>
      <c r="D4153" t="s">
        <v>3485</v>
      </c>
      <c r="E4153">
        <v>365</v>
      </c>
    </row>
    <row r="4154" spans="3:5" ht="14.1" customHeight="1">
      <c r="C4154">
        <v>2514</v>
      </c>
      <c r="D4154" t="s">
        <v>3486</v>
      </c>
      <c r="E4154">
        <v>387</v>
      </c>
    </row>
    <row r="4155" spans="3:5" ht="14.1" customHeight="1">
      <c r="C4155">
        <v>2638</v>
      </c>
      <c r="D4155" t="s">
        <v>3487</v>
      </c>
      <c r="E4155">
        <v>540</v>
      </c>
    </row>
    <row r="4156" spans="3:5" ht="14.1" customHeight="1">
      <c r="C4156">
        <v>2332</v>
      </c>
      <c r="D4156" t="s">
        <v>3488</v>
      </c>
      <c r="E4156">
        <v>497</v>
      </c>
    </row>
    <row r="4157" spans="3:5" ht="14.1" customHeight="1">
      <c r="C4157">
        <v>88</v>
      </c>
      <c r="D4157" t="s">
        <v>264</v>
      </c>
      <c r="E4157">
        <v>407</v>
      </c>
    </row>
    <row r="4158" spans="3:5" ht="14.1" customHeight="1">
      <c r="C4158">
        <v>2309</v>
      </c>
      <c r="D4158" t="s">
        <v>3489</v>
      </c>
      <c r="E4158">
        <v>963</v>
      </c>
    </row>
    <row r="4159" spans="3:5" ht="14.1" customHeight="1">
      <c r="C4159">
        <v>4398</v>
      </c>
      <c r="D4159" t="s">
        <v>3766</v>
      </c>
      <c r="E4159">
        <v>484</v>
      </c>
    </row>
    <row r="4160" spans="3:5" ht="14.1" customHeight="1">
      <c r="C4160">
        <v>4981</v>
      </c>
      <c r="D4160" t="s">
        <v>4180</v>
      </c>
      <c r="E4160">
        <v>390</v>
      </c>
    </row>
    <row r="4161" spans="3:5" ht="14.1" customHeight="1">
      <c r="C4161">
        <v>1285</v>
      </c>
      <c r="D4161" t="s">
        <v>3490</v>
      </c>
      <c r="E4161">
        <v>562</v>
      </c>
    </row>
    <row r="4162" spans="3:5" ht="14.1" customHeight="1">
      <c r="C4162">
        <v>4338</v>
      </c>
      <c r="D4162" t="s">
        <v>3491</v>
      </c>
      <c r="E4162">
        <v>667</v>
      </c>
    </row>
    <row r="4163" spans="3:5" ht="14.1" customHeight="1">
      <c r="C4163">
        <v>1954</v>
      </c>
      <c r="D4163" t="s">
        <v>3492</v>
      </c>
      <c r="E4163">
        <v>391</v>
      </c>
    </row>
    <row r="4164" spans="3:5" ht="14.1" customHeight="1">
      <c r="C4164">
        <v>707</v>
      </c>
      <c r="D4164" t="s">
        <v>3493</v>
      </c>
      <c r="E4164">
        <v>420</v>
      </c>
    </row>
    <row r="4165" spans="3:5" ht="14.1" customHeight="1">
      <c r="C4165">
        <v>2726</v>
      </c>
      <c r="D4165" t="s">
        <v>3494</v>
      </c>
      <c r="E4165">
        <v>679</v>
      </c>
    </row>
    <row r="4166" spans="3:5" ht="14.1" customHeight="1">
      <c r="C4166">
        <v>629</v>
      </c>
      <c r="D4166" t="s">
        <v>829</v>
      </c>
      <c r="E4166">
        <v>813</v>
      </c>
    </row>
    <row r="4167" spans="3:5" ht="14.1" customHeight="1">
      <c r="C4167">
        <v>2302</v>
      </c>
      <c r="D4167" t="s">
        <v>3495</v>
      </c>
      <c r="E4167">
        <v>739</v>
      </c>
    </row>
    <row r="4168" spans="3:5" ht="14.1" customHeight="1">
      <c r="C4168">
        <v>2260</v>
      </c>
      <c r="D4168" t="s">
        <v>3496</v>
      </c>
      <c r="E4168">
        <v>1126</v>
      </c>
    </row>
    <row r="4169" spans="3:5" ht="14.1" customHeight="1">
      <c r="C4169">
        <v>906</v>
      </c>
      <c r="D4169" t="s">
        <v>830</v>
      </c>
      <c r="E4169">
        <v>471</v>
      </c>
    </row>
    <row r="4170" spans="3:5" ht="14.1" customHeight="1">
      <c r="C4170">
        <v>982</v>
      </c>
      <c r="D4170" t="s">
        <v>3497</v>
      </c>
      <c r="E4170">
        <v>442</v>
      </c>
    </row>
    <row r="4171" spans="3:5" ht="14.1" customHeight="1">
      <c r="C4171">
        <v>1076</v>
      </c>
      <c r="D4171" t="s">
        <v>3498</v>
      </c>
      <c r="E4171">
        <v>479</v>
      </c>
    </row>
    <row r="4172" spans="3:5" ht="14.1" customHeight="1">
      <c r="C4172">
        <v>2553</v>
      </c>
      <c r="D4172" t="s">
        <v>3499</v>
      </c>
      <c r="E4172">
        <v>340</v>
      </c>
    </row>
    <row r="4173" spans="3:5" ht="14.1" customHeight="1">
      <c r="C4173">
        <v>3368</v>
      </c>
      <c r="D4173" t="s">
        <v>3500</v>
      </c>
      <c r="E4173">
        <v>455</v>
      </c>
    </row>
    <row r="4174" spans="3:5" ht="14.1" customHeight="1">
      <c r="C4174">
        <v>1726</v>
      </c>
      <c r="D4174" t="s">
        <v>3501</v>
      </c>
      <c r="E4174">
        <v>848</v>
      </c>
    </row>
    <row r="4175" spans="3:5" ht="14.1" customHeight="1">
      <c r="C4175">
        <v>4901</v>
      </c>
      <c r="D4175" t="s">
        <v>4181</v>
      </c>
      <c r="E4175">
        <v>586</v>
      </c>
    </row>
    <row r="4176" spans="3:5" ht="14.1" customHeight="1">
      <c r="C4176">
        <v>2629</v>
      </c>
      <c r="D4176" t="s">
        <v>3502</v>
      </c>
      <c r="E4176">
        <v>420</v>
      </c>
    </row>
    <row r="4177" spans="3:5" ht="14.1" customHeight="1">
      <c r="C4177">
        <v>963</v>
      </c>
      <c r="D4177" t="s">
        <v>3503</v>
      </c>
      <c r="E4177">
        <v>763</v>
      </c>
    </row>
    <row r="4178" spans="3:5" ht="14.1" customHeight="1">
      <c r="C4178">
        <v>280</v>
      </c>
      <c r="D4178" t="s">
        <v>265</v>
      </c>
      <c r="E4178">
        <v>414</v>
      </c>
    </row>
    <row r="4179" spans="3:5" ht="14.1" customHeight="1">
      <c r="C4179">
        <v>4889</v>
      </c>
      <c r="D4179" t="s">
        <v>4182</v>
      </c>
      <c r="E4179">
        <v>485</v>
      </c>
    </row>
    <row r="4180" spans="3:5" ht="14.1" customHeight="1">
      <c r="C4180">
        <v>3284</v>
      </c>
      <c r="D4180" t="s">
        <v>3504</v>
      </c>
      <c r="E4180">
        <v>0</v>
      </c>
    </row>
    <row r="4181" spans="3:5" ht="14.1" customHeight="1">
      <c r="C4181">
        <v>663</v>
      </c>
      <c r="D4181" t="s">
        <v>831</v>
      </c>
      <c r="E4181">
        <v>568</v>
      </c>
    </row>
    <row r="4182" spans="3:5" ht="14.1" customHeight="1">
      <c r="C4182">
        <v>3060</v>
      </c>
      <c r="D4182" t="s">
        <v>3505</v>
      </c>
      <c r="E4182">
        <v>0</v>
      </c>
    </row>
    <row r="4183" spans="3:5" ht="14.1" customHeight="1">
      <c r="C4183">
        <v>2218</v>
      </c>
      <c r="D4183" t="s">
        <v>3506</v>
      </c>
      <c r="E4183">
        <v>443</v>
      </c>
    </row>
    <row r="4184" spans="3:5" ht="14.1" customHeight="1">
      <c r="C4184">
        <v>1089</v>
      </c>
      <c r="D4184" t="s">
        <v>3507</v>
      </c>
      <c r="E4184">
        <v>468</v>
      </c>
    </row>
    <row r="4185" spans="3:5" ht="14.1" customHeight="1">
      <c r="C4185">
        <v>4300</v>
      </c>
      <c r="D4185" t="s">
        <v>3508</v>
      </c>
      <c r="E4185">
        <v>550</v>
      </c>
    </row>
    <row r="4186" spans="3:5" ht="14.1" customHeight="1">
      <c r="C4186">
        <v>4528</v>
      </c>
      <c r="D4186" t="s">
        <v>3767</v>
      </c>
      <c r="E4186">
        <v>646</v>
      </c>
    </row>
    <row r="4187" spans="3:5" ht="14.1" customHeight="1">
      <c r="C4187">
        <v>4695</v>
      </c>
      <c r="D4187" t="s">
        <v>4183</v>
      </c>
      <c r="E4187">
        <v>0</v>
      </c>
    </row>
    <row r="4188" spans="3:5" ht="14.1" customHeight="1">
      <c r="C4188">
        <v>4694</v>
      </c>
      <c r="D4188" t="s">
        <v>4183</v>
      </c>
      <c r="E4188">
        <v>0</v>
      </c>
    </row>
    <row r="4189" spans="3:5" ht="14.1" customHeight="1">
      <c r="C4189">
        <v>463</v>
      </c>
      <c r="D4189" t="s">
        <v>832</v>
      </c>
      <c r="E4189">
        <v>712</v>
      </c>
    </row>
    <row r="4190" spans="3:5" ht="14.1" customHeight="1">
      <c r="C4190">
        <v>1440</v>
      </c>
      <c r="D4190" t="s">
        <v>3509</v>
      </c>
      <c r="E4190">
        <v>559</v>
      </c>
    </row>
    <row r="4191" spans="3:5" ht="14.1" customHeight="1">
      <c r="C4191">
        <v>2807</v>
      </c>
      <c r="D4191" t="s">
        <v>3510</v>
      </c>
      <c r="E4191">
        <v>487</v>
      </c>
    </row>
    <row r="4192" spans="3:5" ht="14.1" customHeight="1">
      <c r="C4192">
        <v>4813</v>
      </c>
      <c r="D4192" t="s">
        <v>4184</v>
      </c>
      <c r="E4192">
        <v>332</v>
      </c>
    </row>
    <row r="4193" spans="3:5" ht="14.1" customHeight="1">
      <c r="C4193">
        <v>285</v>
      </c>
      <c r="D4193" t="s">
        <v>833</v>
      </c>
      <c r="E4193">
        <v>767</v>
      </c>
    </row>
    <row r="4194" spans="3:5" ht="14.1" customHeight="1">
      <c r="C4194">
        <v>575</v>
      </c>
      <c r="D4194" t="s">
        <v>834</v>
      </c>
      <c r="E4194">
        <v>588</v>
      </c>
    </row>
    <row r="4195" spans="3:5" ht="14.1" customHeight="1">
      <c r="C4195">
        <v>5082</v>
      </c>
      <c r="D4195" t="s">
        <v>4363</v>
      </c>
      <c r="E4195">
        <v>487</v>
      </c>
    </row>
    <row r="4196" spans="3:5" ht="14.1" customHeight="1">
      <c r="C4196">
        <v>4660</v>
      </c>
      <c r="D4196" t="s">
        <v>4364</v>
      </c>
      <c r="E4196">
        <v>971</v>
      </c>
    </row>
    <row r="4197" spans="3:5" ht="14.1" customHeight="1">
      <c r="C4197">
        <v>1993</v>
      </c>
      <c r="D4197" t="s">
        <v>3511</v>
      </c>
      <c r="E4197">
        <v>384</v>
      </c>
    </row>
    <row r="4198" spans="3:5" ht="14.1" customHeight="1">
      <c r="C4198">
        <v>2277</v>
      </c>
      <c r="D4198" t="s">
        <v>3512</v>
      </c>
      <c r="E4198">
        <v>491</v>
      </c>
    </row>
    <row r="4199" spans="3:5" ht="14.1" customHeight="1">
      <c r="C4199">
        <v>4892</v>
      </c>
      <c r="D4199" t="s">
        <v>4185</v>
      </c>
      <c r="E4199">
        <v>466</v>
      </c>
    </row>
    <row r="4200" spans="3:5" ht="14.1" customHeight="1">
      <c r="C4200">
        <v>2438</v>
      </c>
      <c r="D4200" t="s">
        <v>3513</v>
      </c>
      <c r="E4200">
        <v>841</v>
      </c>
    </row>
    <row r="4201" spans="3:5" ht="14.1" customHeight="1">
      <c r="C4201">
        <v>1940</v>
      </c>
      <c r="D4201" t="s">
        <v>3514</v>
      </c>
      <c r="E4201">
        <v>702</v>
      </c>
    </row>
    <row r="4202" spans="3:5" ht="14.1" customHeight="1">
      <c r="C4202">
        <v>1804</v>
      </c>
      <c r="D4202" t="s">
        <v>3515</v>
      </c>
      <c r="E4202">
        <v>467</v>
      </c>
    </row>
    <row r="4203" spans="3:5" ht="14.1" customHeight="1">
      <c r="C4203">
        <v>3128</v>
      </c>
      <c r="D4203" t="s">
        <v>3516</v>
      </c>
      <c r="E4203">
        <v>0</v>
      </c>
    </row>
    <row r="4204" spans="3:5" ht="14.1" customHeight="1">
      <c r="C4204">
        <v>1131</v>
      </c>
      <c r="D4204" t="s">
        <v>3517</v>
      </c>
      <c r="E4204">
        <v>597</v>
      </c>
    </row>
    <row r="4205" spans="3:5" ht="14.1" customHeight="1">
      <c r="C4205">
        <v>1136</v>
      </c>
      <c r="D4205" t="s">
        <v>3518</v>
      </c>
      <c r="E4205">
        <v>638</v>
      </c>
    </row>
    <row r="4206" spans="3:5" ht="14.1" customHeight="1">
      <c r="C4206">
        <v>1129</v>
      </c>
      <c r="D4206" t="s">
        <v>3519</v>
      </c>
      <c r="E4206">
        <v>747</v>
      </c>
    </row>
    <row r="4207" spans="3:5" ht="14.1" customHeight="1">
      <c r="C4207">
        <v>181</v>
      </c>
      <c r="D4207" t="s">
        <v>266</v>
      </c>
      <c r="E4207">
        <v>480</v>
      </c>
    </row>
    <row r="4208" spans="3:5" ht="14.1" customHeight="1">
      <c r="C4208">
        <v>2215</v>
      </c>
      <c r="D4208" t="s">
        <v>3520</v>
      </c>
      <c r="E4208">
        <v>528</v>
      </c>
    </row>
    <row r="4209" spans="3:5" ht="14.1" customHeight="1">
      <c r="C4209">
        <v>3082</v>
      </c>
      <c r="D4209" t="s">
        <v>3521</v>
      </c>
      <c r="E4209">
        <v>0</v>
      </c>
    </row>
    <row r="4210" spans="3:5" ht="14.1" customHeight="1">
      <c r="C4210">
        <v>4561</v>
      </c>
      <c r="D4210" t="s">
        <v>3768</v>
      </c>
      <c r="E4210">
        <v>444</v>
      </c>
    </row>
    <row r="4211" spans="3:5" ht="14.1" customHeight="1">
      <c r="C4211">
        <v>3064</v>
      </c>
      <c r="D4211" t="s">
        <v>3522</v>
      </c>
      <c r="E4211">
        <v>430</v>
      </c>
    </row>
    <row r="4212" spans="3:5" ht="14.1" customHeight="1">
      <c r="C4212">
        <v>3166</v>
      </c>
      <c r="D4212" t="s">
        <v>3523</v>
      </c>
      <c r="E4212">
        <v>0</v>
      </c>
    </row>
    <row r="4213" spans="3:5" ht="14.1" customHeight="1">
      <c r="C4213">
        <v>365</v>
      </c>
      <c r="D4213" t="s">
        <v>835</v>
      </c>
      <c r="E4213">
        <v>674</v>
      </c>
    </row>
    <row r="4214" spans="3:5" ht="14.1" customHeight="1">
      <c r="C4214">
        <v>4758</v>
      </c>
      <c r="D4214" t="s">
        <v>4186</v>
      </c>
      <c r="E4214">
        <v>623</v>
      </c>
    </row>
    <row r="4215" spans="3:5" ht="14.1" customHeight="1">
      <c r="C4215">
        <v>1278</v>
      </c>
      <c r="D4215" t="s">
        <v>3524</v>
      </c>
      <c r="E4215">
        <v>427</v>
      </c>
    </row>
    <row r="4216" spans="3:5" ht="14.1" customHeight="1">
      <c r="C4216">
        <v>1721</v>
      </c>
      <c r="D4216" t="s">
        <v>3525</v>
      </c>
      <c r="E4216">
        <v>0</v>
      </c>
    </row>
    <row r="4217" spans="3:5" ht="14.1" customHeight="1">
      <c r="C4217">
        <v>1383</v>
      </c>
      <c r="D4217" t="s">
        <v>3526</v>
      </c>
      <c r="E4217">
        <v>567</v>
      </c>
    </row>
    <row r="4218" spans="3:5" ht="14.1" customHeight="1">
      <c r="C4218">
        <v>2458</v>
      </c>
      <c r="D4218" t="s">
        <v>3527</v>
      </c>
      <c r="E4218">
        <v>643</v>
      </c>
    </row>
    <row r="4219" spans="3:5" ht="14.1" customHeight="1">
      <c r="C4219">
        <v>160</v>
      </c>
      <c r="D4219" t="s">
        <v>836</v>
      </c>
      <c r="E4219">
        <v>692</v>
      </c>
    </row>
    <row r="4220" spans="3:5" ht="14.1" customHeight="1">
      <c r="C4220">
        <v>4327</v>
      </c>
      <c r="D4220" t="s">
        <v>3528</v>
      </c>
      <c r="E4220">
        <v>700</v>
      </c>
    </row>
    <row r="4221" spans="3:5" ht="14.1" customHeight="1">
      <c r="C4221">
        <v>2770</v>
      </c>
      <c r="D4221" t="s">
        <v>3529</v>
      </c>
      <c r="E4221">
        <v>605</v>
      </c>
    </row>
    <row r="4222" spans="3:5" ht="14.1" customHeight="1">
      <c r="C4222">
        <v>2771</v>
      </c>
      <c r="D4222" t="s">
        <v>3530</v>
      </c>
      <c r="E4222">
        <v>607</v>
      </c>
    </row>
    <row r="4223" spans="3:5" ht="14.1" customHeight="1">
      <c r="C4223">
        <v>2756</v>
      </c>
      <c r="D4223" t="s">
        <v>3531</v>
      </c>
      <c r="E4223">
        <v>800</v>
      </c>
    </row>
    <row r="4224" spans="3:5" ht="14.1" customHeight="1">
      <c r="C4224">
        <v>4355</v>
      </c>
      <c r="D4224" t="s">
        <v>3769</v>
      </c>
      <c r="E4224">
        <v>500</v>
      </c>
    </row>
    <row r="4225" spans="3:5" ht="14.1" customHeight="1">
      <c r="C4225">
        <v>2757</v>
      </c>
      <c r="D4225" t="s">
        <v>3532</v>
      </c>
      <c r="E4225">
        <v>716</v>
      </c>
    </row>
    <row r="4226" spans="3:5" ht="14.1" customHeight="1">
      <c r="C4226">
        <v>618</v>
      </c>
      <c r="D4226" t="s">
        <v>837</v>
      </c>
      <c r="E4226">
        <v>692</v>
      </c>
    </row>
    <row r="4227" spans="3:5" ht="14.1" customHeight="1">
      <c r="C4227">
        <v>2046</v>
      </c>
      <c r="D4227" t="s">
        <v>3533</v>
      </c>
      <c r="E4227">
        <v>573</v>
      </c>
    </row>
    <row r="4228" spans="3:5" ht="14.1" customHeight="1">
      <c r="C4228">
        <v>2386</v>
      </c>
      <c r="D4228" t="s">
        <v>3534</v>
      </c>
      <c r="E4228">
        <v>362</v>
      </c>
    </row>
    <row r="4229" spans="3:5" ht="14.1" customHeight="1">
      <c r="C4229">
        <v>2571</v>
      </c>
      <c r="D4229" t="s">
        <v>3535</v>
      </c>
      <c r="E4229">
        <v>500</v>
      </c>
    </row>
    <row r="4230" spans="3:5" ht="14.1" customHeight="1">
      <c r="C4230">
        <v>2981</v>
      </c>
      <c r="D4230" t="s">
        <v>3536</v>
      </c>
      <c r="E4230">
        <v>490</v>
      </c>
    </row>
    <row r="4231" spans="3:5" ht="14.1" customHeight="1">
      <c r="C4231">
        <v>1025</v>
      </c>
      <c r="D4231" t="s">
        <v>3537</v>
      </c>
      <c r="E4231">
        <v>400</v>
      </c>
    </row>
    <row r="4232" spans="3:5" ht="14.1" customHeight="1">
      <c r="C4232">
        <v>262</v>
      </c>
      <c r="D4232" t="s">
        <v>267</v>
      </c>
      <c r="E4232">
        <v>348</v>
      </c>
    </row>
    <row r="4233" spans="3:5" ht="14.1" customHeight="1">
      <c r="C4233">
        <v>1353</v>
      </c>
      <c r="D4233" t="s">
        <v>3538</v>
      </c>
      <c r="E4233">
        <v>774</v>
      </c>
    </row>
    <row r="4234" spans="3:5" ht="14.1" customHeight="1">
      <c r="C4234">
        <v>1266</v>
      </c>
      <c r="D4234" t="s">
        <v>3539</v>
      </c>
      <c r="E4234">
        <v>447</v>
      </c>
    </row>
    <row r="4235" spans="3:5" ht="14.1" customHeight="1">
      <c r="C4235">
        <v>4959</v>
      </c>
      <c r="D4235" t="s">
        <v>4187</v>
      </c>
      <c r="E4235">
        <v>390</v>
      </c>
    </row>
    <row r="4236" spans="3:5" ht="14.1" customHeight="1">
      <c r="C4236">
        <v>2538</v>
      </c>
      <c r="D4236" t="s">
        <v>3540</v>
      </c>
      <c r="E4236">
        <v>485</v>
      </c>
    </row>
    <row r="4237" spans="3:5" ht="14.1" customHeight="1">
      <c r="C4237">
        <v>4359</v>
      </c>
      <c r="D4237" t="s">
        <v>3770</v>
      </c>
      <c r="E4237">
        <v>474</v>
      </c>
    </row>
    <row r="4238" spans="3:5" ht="14.1" customHeight="1">
      <c r="C4238">
        <v>985</v>
      </c>
      <c r="D4238" t="s">
        <v>3541</v>
      </c>
      <c r="E4238">
        <v>656</v>
      </c>
    </row>
    <row r="4239" spans="3:5" ht="14.1" customHeight="1">
      <c r="C4239">
        <v>1396</v>
      </c>
      <c r="D4239" t="s">
        <v>3542</v>
      </c>
      <c r="E4239">
        <v>1006</v>
      </c>
    </row>
    <row r="4240" spans="3:5" ht="14.1" customHeight="1">
      <c r="C4240">
        <v>986</v>
      </c>
      <c r="D4240" t="s">
        <v>3543</v>
      </c>
      <c r="E4240">
        <v>541</v>
      </c>
    </row>
    <row r="4241" spans="3:5" ht="14.1" customHeight="1">
      <c r="C4241">
        <v>4523</v>
      </c>
      <c r="D4241" t="s">
        <v>3771</v>
      </c>
      <c r="E4241">
        <v>754</v>
      </c>
    </row>
    <row r="4242" spans="3:5" ht="14.1" customHeight="1">
      <c r="C4242">
        <v>2555</v>
      </c>
      <c r="D4242" t="s">
        <v>3544</v>
      </c>
      <c r="E4242">
        <v>558</v>
      </c>
    </row>
    <row r="4243" spans="3:5" ht="14.1" customHeight="1">
      <c r="C4243">
        <v>4525</v>
      </c>
      <c r="D4243" t="s">
        <v>3772</v>
      </c>
      <c r="E4243">
        <v>657</v>
      </c>
    </row>
    <row r="4244" spans="3:5" ht="14.1" customHeight="1">
      <c r="C4244">
        <v>308</v>
      </c>
      <c r="D4244" t="s">
        <v>838</v>
      </c>
      <c r="E4244">
        <v>200</v>
      </c>
    </row>
    <row r="4245" spans="3:5" ht="14.1" customHeight="1">
      <c r="C4245">
        <v>295</v>
      </c>
      <c r="D4245" t="s">
        <v>268</v>
      </c>
      <c r="E4245">
        <v>529</v>
      </c>
    </row>
    <row r="4246" spans="3:5" ht="14.1" customHeight="1">
      <c r="C4246">
        <v>4331</v>
      </c>
      <c r="D4246" t="s">
        <v>3545</v>
      </c>
      <c r="E4246">
        <v>721</v>
      </c>
    </row>
    <row r="4247" spans="3:5" ht="14.1" customHeight="1">
      <c r="C4247">
        <v>1139</v>
      </c>
      <c r="D4247" t="s">
        <v>3546</v>
      </c>
      <c r="E4247">
        <v>456</v>
      </c>
    </row>
    <row r="4248" spans="3:5" ht="14.1" customHeight="1">
      <c r="C4248">
        <v>2649</v>
      </c>
      <c r="D4248" t="s">
        <v>3547</v>
      </c>
      <c r="E4248">
        <v>635</v>
      </c>
    </row>
    <row r="4249" spans="3:5" ht="14.1" customHeight="1">
      <c r="C4249">
        <v>2677</v>
      </c>
      <c r="D4249" t="s">
        <v>3548</v>
      </c>
      <c r="E4249">
        <v>565</v>
      </c>
    </row>
    <row r="4250" spans="3:5" ht="14.1" customHeight="1">
      <c r="C4250">
        <v>2676</v>
      </c>
      <c r="D4250" t="s">
        <v>3549</v>
      </c>
      <c r="E4250">
        <v>565</v>
      </c>
    </row>
    <row r="4251" spans="3:5" ht="14.1" customHeight="1">
      <c r="C4251">
        <v>4563</v>
      </c>
      <c r="D4251" t="s">
        <v>3773</v>
      </c>
      <c r="E4251">
        <v>780</v>
      </c>
    </row>
    <row r="4252" spans="3:5" ht="14.1" customHeight="1">
      <c r="C4252">
        <v>507</v>
      </c>
      <c r="D4252" t="s">
        <v>839</v>
      </c>
      <c r="E4252">
        <v>834</v>
      </c>
    </row>
    <row r="4253" spans="3:5" ht="14.1" customHeight="1">
      <c r="C4253">
        <v>3024</v>
      </c>
      <c r="D4253" t="s">
        <v>3550</v>
      </c>
      <c r="E4253">
        <v>0</v>
      </c>
    </row>
    <row r="4254" spans="3:5" ht="14.1" customHeight="1">
      <c r="C4254">
        <v>2702</v>
      </c>
      <c r="D4254" t="s">
        <v>3551</v>
      </c>
      <c r="E4254">
        <v>678</v>
      </c>
    </row>
    <row r="4255" spans="3:5" ht="14.1" customHeight="1">
      <c r="C4255">
        <v>1874</v>
      </c>
      <c r="D4255" t="s">
        <v>3552</v>
      </c>
      <c r="E4255">
        <v>645</v>
      </c>
    </row>
    <row r="4256" spans="3:5" ht="14.1" customHeight="1">
      <c r="C4256">
        <v>687</v>
      </c>
      <c r="D4256" t="s">
        <v>3553</v>
      </c>
      <c r="E4256">
        <v>908</v>
      </c>
    </row>
    <row r="4257" spans="3:5" ht="14.1" customHeight="1">
      <c r="C4257">
        <v>4989</v>
      </c>
      <c r="D4257" t="s">
        <v>4188</v>
      </c>
      <c r="E4257">
        <v>0</v>
      </c>
    </row>
    <row r="4258" spans="3:5" ht="14.1" customHeight="1">
      <c r="C4258">
        <v>1664</v>
      </c>
      <c r="D4258" t="s">
        <v>3554</v>
      </c>
      <c r="E4258">
        <v>717</v>
      </c>
    </row>
    <row r="4259" spans="3:5" ht="14.1" customHeight="1">
      <c r="C4259">
        <v>4848</v>
      </c>
      <c r="D4259" t="s">
        <v>4189</v>
      </c>
      <c r="E4259">
        <v>0</v>
      </c>
    </row>
    <row r="4260" spans="3:5" ht="14.1" customHeight="1">
      <c r="C4260">
        <v>1141</v>
      </c>
      <c r="D4260" t="s">
        <v>3555</v>
      </c>
      <c r="E4260">
        <v>749</v>
      </c>
    </row>
    <row r="4261" spans="3:5" ht="14.1" customHeight="1">
      <c r="C4261">
        <v>2488</v>
      </c>
      <c r="D4261" t="s">
        <v>3556</v>
      </c>
      <c r="E4261">
        <v>670</v>
      </c>
    </row>
    <row r="4262" spans="3:5" ht="14.1" customHeight="1">
      <c r="C4262">
        <v>341</v>
      </c>
      <c r="D4262" t="s">
        <v>840</v>
      </c>
      <c r="E4262">
        <v>719</v>
      </c>
    </row>
    <row r="4263" spans="3:5" ht="14.1" customHeight="1">
      <c r="C4263">
        <v>610</v>
      </c>
      <c r="D4263" t="s">
        <v>841</v>
      </c>
      <c r="E4263">
        <v>425</v>
      </c>
    </row>
    <row r="4264" spans="3:5" ht="14.1" customHeight="1">
      <c r="C4264">
        <v>2746</v>
      </c>
      <c r="D4264" t="s">
        <v>3557</v>
      </c>
      <c r="E4264">
        <v>784</v>
      </c>
    </row>
    <row r="4265" spans="3:5" ht="14.1" customHeight="1">
      <c r="C4265">
        <v>2695</v>
      </c>
      <c r="D4265" t="s">
        <v>3558</v>
      </c>
      <c r="E4265">
        <v>526</v>
      </c>
    </row>
    <row r="4266" spans="3:5" ht="14.1" customHeight="1">
      <c r="C4266">
        <v>849</v>
      </c>
      <c r="D4266" t="s">
        <v>842</v>
      </c>
      <c r="E4266">
        <v>707</v>
      </c>
    </row>
    <row r="4267" spans="3:5" ht="14.1" customHeight="1">
      <c r="C4267">
        <v>1753</v>
      </c>
      <c r="D4267" t="s">
        <v>3559</v>
      </c>
      <c r="E4267">
        <v>1135</v>
      </c>
    </row>
    <row r="4268" spans="3:5" ht="14.1" customHeight="1">
      <c r="C4268">
        <v>1825</v>
      </c>
      <c r="D4268" t="s">
        <v>3560</v>
      </c>
      <c r="E4268">
        <v>433</v>
      </c>
    </row>
    <row r="4269" spans="3:5" ht="14.1" customHeight="1">
      <c r="C4269">
        <v>2445</v>
      </c>
      <c r="D4269" t="s">
        <v>3561</v>
      </c>
      <c r="E4269">
        <v>873</v>
      </c>
    </row>
    <row r="4270" spans="3:5" ht="14.1" customHeight="1">
      <c r="C4270">
        <v>822</v>
      </c>
      <c r="D4270" t="s">
        <v>843</v>
      </c>
      <c r="E4270">
        <v>554</v>
      </c>
    </row>
    <row r="4271" spans="3:5" ht="14.1" customHeight="1">
      <c r="C4271">
        <v>592</v>
      </c>
      <c r="D4271" t="s">
        <v>3562</v>
      </c>
      <c r="E4271">
        <v>464</v>
      </c>
    </row>
    <row r="4272" spans="3:5" ht="14.1" customHeight="1">
      <c r="C4272">
        <v>4217</v>
      </c>
      <c r="D4272" t="s">
        <v>3563</v>
      </c>
      <c r="E4272">
        <v>514</v>
      </c>
    </row>
    <row r="4273" spans="3:5" ht="14.1" customHeight="1">
      <c r="C4273">
        <v>4916</v>
      </c>
      <c r="D4273" t="s">
        <v>4190</v>
      </c>
      <c r="E4273">
        <v>345</v>
      </c>
    </row>
  </sheetData>
  <phoneticPr fontId="25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&amp;C&amp;"DejaVu Serif,Book"&amp;12&amp;A</oddHeader>
    <oddFooter>&amp;C&amp;"DejaVu Serif,Book"&amp;12Page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9"/>
  </sheetPr>
  <dimension ref="A1:AH175"/>
  <sheetViews>
    <sheetView tabSelected="1" zoomScale="82" zoomScaleNormal="82" workbookViewId="0">
      <pane ySplit="3" topLeftCell="A4" activePane="bottomLeft" state="frozen"/>
      <selection pane="bottomLeft" activeCell="C4" sqref="C4"/>
    </sheetView>
  </sheetViews>
  <sheetFormatPr defaultColWidth="8" defaultRowHeight="12.75" outlineLevelRow="1" outlineLevelCol="1"/>
  <cols>
    <col min="1" max="2" width="5.5" style="7" customWidth="1"/>
    <col min="3" max="3" width="36.625" style="19" customWidth="1"/>
    <col min="4" max="4" width="8.625" style="18" customWidth="1"/>
    <col min="5" max="5" width="5.75" style="18" customWidth="1"/>
    <col min="6" max="6" width="8.625" style="19" customWidth="1"/>
    <col min="7" max="7" width="8.875" style="19" customWidth="1"/>
    <col min="8" max="8" width="9" style="7" hidden="1" customWidth="1" outlineLevel="1"/>
    <col min="9" max="9" width="3.875" style="7" customWidth="1" collapsed="1"/>
    <col min="10" max="10" width="24.875" style="7" bestFit="1" customWidth="1"/>
    <col min="11" max="11" width="8.5" style="179" customWidth="1"/>
    <col min="12" max="12" width="9" style="179" customWidth="1"/>
    <col min="13" max="13" width="8" style="7"/>
    <col min="14" max="14" width="24.5" style="7" bestFit="1" customWidth="1"/>
    <col min="15" max="16" width="8.375" style="7" bestFit="1" customWidth="1"/>
    <col min="17" max="17" width="8.375" style="7" customWidth="1"/>
    <col min="18" max="18" width="3.625" style="7" customWidth="1"/>
    <col min="19" max="19" width="25" style="7" bestFit="1" customWidth="1"/>
    <col min="20" max="20" width="22.25" style="7" bestFit="1" customWidth="1"/>
    <col min="21" max="24" width="23.125" style="7" bestFit="1" customWidth="1"/>
    <col min="25" max="25" width="22.25" style="7" bestFit="1" customWidth="1"/>
    <col min="26" max="26" width="23.75" style="7" bestFit="1" customWidth="1"/>
    <col min="27" max="34" width="18.625" style="7" customWidth="1"/>
    <col min="35" max="256" width="8" style="7"/>
    <col min="257" max="257" width="8" style="7" customWidth="1"/>
    <col min="258" max="16384" width="8" style="7"/>
  </cols>
  <sheetData>
    <row r="1" spans="1:34">
      <c r="A1" s="6" t="s">
        <v>14</v>
      </c>
      <c r="B1" s="6"/>
      <c r="C1" s="6"/>
      <c r="D1" s="6"/>
      <c r="E1" s="6"/>
      <c r="F1" s="6">
        <f>COUNTA(C4:C67)</f>
        <v>0</v>
      </c>
      <c r="G1" s="6"/>
      <c r="J1" s="188" t="s">
        <v>288</v>
      </c>
      <c r="K1" s="186">
        <v>2</v>
      </c>
      <c r="M1" s="189">
        <v>3</v>
      </c>
      <c r="N1" s="189" t="s">
        <v>24</v>
      </c>
      <c r="S1" s="6" t="s">
        <v>39</v>
      </c>
      <c r="T1" s="6" t="s">
        <v>40</v>
      </c>
    </row>
    <row r="2" spans="1:34">
      <c r="A2" s="6" t="s">
        <v>15</v>
      </c>
      <c r="B2" s="6"/>
      <c r="C2" s="8"/>
      <c r="D2" s="9">
        <v>600</v>
      </c>
      <c r="E2" s="9"/>
      <c r="F2" s="9" t="s">
        <v>16</v>
      </c>
      <c r="G2" s="9">
        <f>SUM(F4:F103)</f>
        <v>0</v>
      </c>
      <c r="H2" s="7" t="s">
        <v>17</v>
      </c>
      <c r="J2" s="188" t="s">
        <v>289</v>
      </c>
      <c r="K2" s="186">
        <v>3</v>
      </c>
      <c r="M2" s="189">
        <v>2</v>
      </c>
      <c r="N2" s="189" t="s">
        <v>287</v>
      </c>
      <c r="S2" s="25">
        <v>1</v>
      </c>
      <c r="T2" s="25">
        <v>2</v>
      </c>
      <c r="U2" s="25">
        <v>3</v>
      </c>
      <c r="V2" s="25">
        <v>4</v>
      </c>
      <c r="W2" s="25">
        <v>5</v>
      </c>
      <c r="X2" s="25">
        <v>6</v>
      </c>
      <c r="Y2" s="25">
        <v>7</v>
      </c>
      <c r="Z2" s="25">
        <v>8</v>
      </c>
      <c r="AA2" s="25">
        <v>9</v>
      </c>
      <c r="AB2" s="25">
        <v>10</v>
      </c>
      <c r="AC2" s="25">
        <v>11</v>
      </c>
      <c r="AD2" s="25">
        <v>12</v>
      </c>
      <c r="AE2" s="25">
        <v>13</v>
      </c>
      <c r="AF2" s="25">
        <v>14</v>
      </c>
      <c r="AG2" s="25">
        <v>15</v>
      </c>
      <c r="AH2" s="25">
        <v>16</v>
      </c>
    </row>
    <row r="3" spans="1:34" s="12" customFormat="1" ht="12.95" customHeight="1">
      <c r="A3" s="10" t="s">
        <v>18</v>
      </c>
      <c r="B3" s="10"/>
      <c r="C3" s="11" t="s">
        <v>12</v>
      </c>
      <c r="D3" s="10" t="s">
        <v>19</v>
      </c>
      <c r="E3" s="10" t="s">
        <v>20</v>
      </c>
      <c r="F3" s="11" t="s">
        <v>21</v>
      </c>
      <c r="G3" s="11" t="s">
        <v>22</v>
      </c>
      <c r="H3" s="12" t="s">
        <v>23</v>
      </c>
      <c r="J3" s="187" t="s">
        <v>12</v>
      </c>
      <c r="K3" s="185" t="s">
        <v>19</v>
      </c>
      <c r="L3" s="10" t="s">
        <v>20</v>
      </c>
      <c r="M3" s="185" t="s">
        <v>18</v>
      </c>
      <c r="N3" s="187" t="s">
        <v>12</v>
      </c>
      <c r="O3" s="11" t="s">
        <v>26</v>
      </c>
      <c r="P3" s="21" t="s">
        <v>25</v>
      </c>
      <c r="Q3" s="21" t="s">
        <v>37</v>
      </c>
      <c r="R3" s="6"/>
      <c r="S3" s="22" t="s">
        <v>27</v>
      </c>
      <c r="T3" s="22" t="s">
        <v>28</v>
      </c>
      <c r="U3" s="22" t="s">
        <v>29</v>
      </c>
      <c r="V3" s="22" t="s">
        <v>30</v>
      </c>
      <c r="W3" s="22" t="s">
        <v>31</v>
      </c>
      <c r="X3" s="22" t="s">
        <v>32</v>
      </c>
      <c r="Y3" s="22" t="s">
        <v>33</v>
      </c>
      <c r="Z3" s="22" t="s">
        <v>34</v>
      </c>
      <c r="AA3" s="22" t="s">
        <v>35</v>
      </c>
      <c r="AB3" s="22" t="s">
        <v>36</v>
      </c>
      <c r="AC3" s="22" t="s">
        <v>48</v>
      </c>
      <c r="AD3" s="22" t="s">
        <v>49</v>
      </c>
      <c r="AE3" s="22" t="s">
        <v>50</v>
      </c>
      <c r="AF3" s="22" t="s">
        <v>51</v>
      </c>
      <c r="AG3" s="22" t="s">
        <v>52</v>
      </c>
      <c r="AH3" s="22" t="s">
        <v>53</v>
      </c>
    </row>
    <row r="4" spans="1:34" s="16" customFormat="1" ht="12.95" customHeight="1">
      <c r="A4" s="13">
        <v>1</v>
      </c>
      <c r="B4" s="13">
        <f ca="1">B5+0.001</f>
        <v>2.5000000000000001E-3</v>
      </c>
      <c r="C4"/>
      <c r="D4" s="29">
        <f ca="1">IF(ISBLANK(C4),0+A4/1000,OFFSET(Rating!$E$1,MATCH(C4,NameListBMZ,0),0)+A4/1000)</f>
        <v>1E-3</v>
      </c>
      <c r="E4" s="14">
        <f ca="1">RANK(B4,$B$4:$B$103,0)</f>
        <v>63</v>
      </c>
      <c r="F4" s="15">
        <f t="shared" ref="F4:F21" si="0">IF(G4="сдал",D$2,0)</f>
        <v>0</v>
      </c>
      <c r="G4" s="13" t="s">
        <v>23</v>
      </c>
      <c r="I4" s="16">
        <f>A4</f>
        <v>1</v>
      </c>
      <c r="J4" s="16" t="str">
        <f>IF(C4=0,"",CONCATENATE(C4," ; ",C5))</f>
        <v/>
      </c>
      <c r="K4" s="180">
        <f ca="1">IF(ISBLANK(J4),0+I4/1000,B5)</f>
        <v>1.5E-3</v>
      </c>
      <c r="L4" s="14">
        <f ca="1">RANK(K4,$K$4:$K$103,0)</f>
        <v>32</v>
      </c>
      <c r="M4" s="181">
        <v>1</v>
      </c>
      <c r="N4" s="20" t="str">
        <f ca="1">OFFSET($J$3,MATCH(M4,$L$4:$L$35,0),0)</f>
        <v/>
      </c>
      <c r="O4" s="16">
        <f t="shared" ref="O4:O35" ca="1" si="1">IF(N4=0,0,(N_groups+1)-(1+2*ABS((MOD(M4-1,2*N_groups)+1)-(2*N_groups+1)/2))/2)</f>
        <v>1</v>
      </c>
      <c r="P4" s="16">
        <f ca="1">IF(O4=0,0,COUNTIF(O$4:O4,O4))</f>
        <v>1</v>
      </c>
      <c r="Q4" s="24" t="str">
        <f ca="1">CONCATENATE(O4,"&amp;",P4)</f>
        <v>1&amp;1</v>
      </c>
      <c r="R4" s="23">
        <v>1</v>
      </c>
      <c r="S4" s="26" t="str">
        <f t="shared" ref="S4:AH13" ca="1" si="2">IF(ISNA(OFFSET($N$3,MATCH(CONCATENATE(S$2,"&amp;",$R4),$Q$4:$Q$103,0),0)),"",OFFSET($N$3,MATCH(CONCATENATE(S$2,"&amp;",$R4),$Q$4:$Q$103,0),0))</f>
        <v/>
      </c>
      <c r="T4" s="26" t="str">
        <f t="shared" ca="1" si="2"/>
        <v/>
      </c>
      <c r="U4" s="26" t="str">
        <f t="shared" ca="1" si="2"/>
        <v/>
      </c>
      <c r="V4" s="26" t="str">
        <f t="shared" ca="1" si="2"/>
        <v/>
      </c>
      <c r="W4" s="26" t="str">
        <f t="shared" ca="1" si="2"/>
        <v/>
      </c>
      <c r="X4" s="26" t="str">
        <f t="shared" ca="1" si="2"/>
        <v/>
      </c>
      <c r="Y4" s="26" t="str">
        <f t="shared" ca="1" si="2"/>
        <v/>
      </c>
      <c r="Z4" s="26" t="str">
        <f t="shared" ca="1" si="2"/>
        <v/>
      </c>
      <c r="AA4" s="26" t="str">
        <f t="shared" ca="1" si="2"/>
        <v/>
      </c>
      <c r="AB4" s="26" t="str">
        <f t="shared" ca="1" si="2"/>
        <v/>
      </c>
      <c r="AC4" s="26" t="str">
        <f t="shared" ca="1" si="2"/>
        <v/>
      </c>
      <c r="AD4" s="26" t="str">
        <f t="shared" ca="1" si="2"/>
        <v/>
      </c>
      <c r="AE4" s="26" t="str">
        <f t="shared" ca="1" si="2"/>
        <v/>
      </c>
      <c r="AF4" s="26" t="str">
        <f t="shared" ca="1" si="2"/>
        <v/>
      </c>
      <c r="AG4" s="26" t="str">
        <f t="shared" ca="1" si="2"/>
        <v/>
      </c>
      <c r="AH4" s="26" t="str">
        <f t="shared" ca="1" si="2"/>
        <v/>
      </c>
    </row>
    <row r="5" spans="1:34" s="16" customFormat="1" ht="12.95" customHeight="1">
      <c r="A5" s="13">
        <f t="shared" ref="A5:A36" si="3">A4+1</f>
        <v>2</v>
      </c>
      <c r="B5" s="13">
        <f ca="1">(D4+D5)/2</f>
        <v>1.5E-3</v>
      </c>
      <c r="C5"/>
      <c r="D5" s="29">
        <f ca="1">IF(ISBLANK(C5),0+A5/1000,OFFSET(Rating!$E$1,MATCH(C5,NameListBMZ,0),0)+A5/1000)</f>
        <v>2E-3</v>
      </c>
      <c r="E5" s="14">
        <f t="shared" ref="E5:E11" ca="1" si="4">RANK(B5,$B$4:$B$103,0)</f>
        <v>64</v>
      </c>
      <c r="F5" s="15">
        <f t="shared" si="0"/>
        <v>0</v>
      </c>
      <c r="G5" s="13" t="s">
        <v>23</v>
      </c>
      <c r="I5" s="16">
        <f t="shared" ref="I5:I35" si="5">A5</f>
        <v>2</v>
      </c>
      <c r="J5" s="16" t="str">
        <f>IF(C6=0,"",CONCATENATE(C6," ; ",C7))</f>
        <v/>
      </c>
      <c r="K5" s="180">
        <f ca="1">IF(ISBLANK(J5),0+I5/1000,B7)</f>
        <v>3.5000000000000001E-3</v>
      </c>
      <c r="L5" s="14">
        <f t="shared" ref="L5:L35" ca="1" si="6">RANK(K5,$K$4:$K$103,0)</f>
        <v>31</v>
      </c>
      <c r="M5" s="181">
        <f>M4+1</f>
        <v>2</v>
      </c>
      <c r="N5" s="20" t="str">
        <f t="shared" ref="N5:N35" ca="1" si="7">OFFSET($J$3,MATCH(M5,$L$4:$L$35,0),0)</f>
        <v/>
      </c>
      <c r="O5" s="16">
        <f t="shared" ca="1" si="1"/>
        <v>2</v>
      </c>
      <c r="P5" s="16">
        <f ca="1">IF(O5=0,0,COUNTIF(O$4:O5,O5))</f>
        <v>1</v>
      </c>
      <c r="Q5" s="24" t="str">
        <f t="shared" ref="Q5:Q35" ca="1" si="8">CONCATENATE(O5,"&amp;",P5)</f>
        <v>2&amp;1</v>
      </c>
      <c r="R5" s="23">
        <v>2</v>
      </c>
      <c r="S5" s="26" t="str">
        <f t="shared" ca="1" si="2"/>
        <v/>
      </c>
      <c r="T5" s="26" t="str">
        <f t="shared" ca="1" si="2"/>
        <v/>
      </c>
      <c r="U5" s="26" t="str">
        <f t="shared" ca="1" si="2"/>
        <v/>
      </c>
      <c r="V5" s="26" t="str">
        <f t="shared" ca="1" si="2"/>
        <v/>
      </c>
      <c r="W5" s="26" t="str">
        <f t="shared" ca="1" si="2"/>
        <v/>
      </c>
      <c r="X5" s="26" t="str">
        <f t="shared" ca="1" si="2"/>
        <v/>
      </c>
      <c r="Y5" s="26" t="str">
        <f t="shared" ca="1" si="2"/>
        <v/>
      </c>
      <c r="Z5" s="26" t="str">
        <f t="shared" ca="1" si="2"/>
        <v/>
      </c>
      <c r="AA5" s="26" t="str">
        <f t="shared" ca="1" si="2"/>
        <v/>
      </c>
      <c r="AB5" s="26" t="str">
        <f t="shared" ca="1" si="2"/>
        <v/>
      </c>
      <c r="AC5" s="26" t="str">
        <f t="shared" ca="1" si="2"/>
        <v/>
      </c>
      <c r="AD5" s="26" t="str">
        <f t="shared" ca="1" si="2"/>
        <v/>
      </c>
      <c r="AE5" s="26" t="str">
        <f t="shared" ca="1" si="2"/>
        <v/>
      </c>
      <c r="AF5" s="26" t="str">
        <f t="shared" ca="1" si="2"/>
        <v/>
      </c>
      <c r="AG5" s="26" t="str">
        <f t="shared" ca="1" si="2"/>
        <v/>
      </c>
      <c r="AH5" s="26" t="str">
        <f t="shared" ca="1" si="2"/>
        <v/>
      </c>
    </row>
    <row r="6" spans="1:34" s="16" customFormat="1" ht="12.95" customHeight="1">
      <c r="A6" s="13">
        <f t="shared" si="3"/>
        <v>3</v>
      </c>
      <c r="B6" s="13">
        <f ca="1">B7+0.001</f>
        <v>4.5000000000000005E-3</v>
      </c>
      <c r="C6"/>
      <c r="D6" s="29">
        <f ca="1">IF(ISBLANK(C6),0+A6/1000,OFFSET(Rating!$E$1,MATCH(C6,NameListBMZ,0),0)+A6/1000)</f>
        <v>3.0000000000000001E-3</v>
      </c>
      <c r="E6" s="14">
        <f t="shared" ca="1" si="4"/>
        <v>61</v>
      </c>
      <c r="F6" s="15">
        <f t="shared" si="0"/>
        <v>0</v>
      </c>
      <c r="G6" s="13" t="s">
        <v>23</v>
      </c>
      <c r="I6" s="16">
        <f t="shared" si="5"/>
        <v>3</v>
      </c>
      <c r="J6" s="16" t="str">
        <f>IF(C8=0,"",CONCATENATE(C8," ; ",C9))</f>
        <v/>
      </c>
      <c r="K6" s="180">
        <f ca="1">IF(ISBLANK(J6),0+I6/1000,B9)</f>
        <v>5.4999999999999997E-3</v>
      </c>
      <c r="L6" s="14">
        <f t="shared" ca="1" si="6"/>
        <v>30</v>
      </c>
      <c r="M6" s="181">
        <f t="shared" ref="M6:M35" si="9">M5+1</f>
        <v>3</v>
      </c>
      <c r="N6" s="20" t="str">
        <f t="shared" ca="1" si="7"/>
        <v/>
      </c>
      <c r="O6" s="16">
        <f t="shared" ca="1" si="1"/>
        <v>3</v>
      </c>
      <c r="P6" s="16">
        <f ca="1">IF(O6=0,0,COUNTIF(O$4:O6,O6))</f>
        <v>1</v>
      </c>
      <c r="Q6" s="24" t="str">
        <f t="shared" ca="1" si="8"/>
        <v>3&amp;1</v>
      </c>
      <c r="R6" s="23">
        <v>3</v>
      </c>
      <c r="S6" s="26" t="str">
        <f t="shared" ca="1" si="2"/>
        <v/>
      </c>
      <c r="T6" s="26" t="str">
        <f t="shared" ca="1" si="2"/>
        <v/>
      </c>
      <c r="U6" s="26" t="str">
        <f t="shared" ca="1" si="2"/>
        <v/>
      </c>
      <c r="V6" s="26" t="str">
        <f t="shared" ca="1" si="2"/>
        <v/>
      </c>
      <c r="W6" s="26" t="str">
        <f t="shared" ca="1" si="2"/>
        <v/>
      </c>
      <c r="X6" s="26" t="str">
        <f t="shared" ca="1" si="2"/>
        <v/>
      </c>
      <c r="Y6" s="26" t="str">
        <f t="shared" ca="1" si="2"/>
        <v/>
      </c>
      <c r="Z6" s="26" t="str">
        <f t="shared" ca="1" si="2"/>
        <v/>
      </c>
      <c r="AA6" s="26" t="str">
        <f t="shared" ca="1" si="2"/>
        <v/>
      </c>
      <c r="AB6" s="26" t="str">
        <f t="shared" ca="1" si="2"/>
        <v/>
      </c>
      <c r="AC6" s="26" t="str">
        <f t="shared" ca="1" si="2"/>
        <v/>
      </c>
      <c r="AD6" s="26" t="str">
        <f t="shared" ca="1" si="2"/>
        <v/>
      </c>
      <c r="AE6" s="26" t="str">
        <f t="shared" ca="1" si="2"/>
        <v/>
      </c>
      <c r="AF6" s="26" t="str">
        <f t="shared" ca="1" si="2"/>
        <v/>
      </c>
      <c r="AG6" s="26" t="str">
        <f t="shared" ca="1" si="2"/>
        <v/>
      </c>
      <c r="AH6" s="26" t="str">
        <f t="shared" ca="1" si="2"/>
        <v/>
      </c>
    </row>
    <row r="7" spans="1:34" s="16" customFormat="1" ht="12.95" customHeight="1">
      <c r="A7" s="13">
        <f t="shared" si="3"/>
        <v>4</v>
      </c>
      <c r="B7" s="13">
        <f ca="1">(D6+D7)/2</f>
        <v>3.5000000000000001E-3</v>
      </c>
      <c r="C7"/>
      <c r="D7" s="29">
        <f ca="1">IF(ISBLANK(C7),0+A7/1000,OFFSET(Rating!$E$1,MATCH(C7,NameListBMZ,0),0)+A7/1000)</f>
        <v>4.0000000000000001E-3</v>
      </c>
      <c r="E7" s="14">
        <f t="shared" ca="1" si="4"/>
        <v>62</v>
      </c>
      <c r="F7" s="15">
        <f t="shared" si="0"/>
        <v>0</v>
      </c>
      <c r="G7" s="13" t="s">
        <v>23</v>
      </c>
      <c r="I7" s="16">
        <f t="shared" si="5"/>
        <v>4</v>
      </c>
      <c r="J7" s="16" t="str">
        <f>IF(C10=0,"",CONCATENATE(C10," ; ",C11))</f>
        <v/>
      </c>
      <c r="K7" s="180">
        <f ca="1">IF(ISBLANK(J7),0+I7/1000,B11)</f>
        <v>7.4999999999999997E-3</v>
      </c>
      <c r="L7" s="14">
        <f t="shared" ca="1" si="6"/>
        <v>29</v>
      </c>
      <c r="M7" s="181">
        <f t="shared" si="9"/>
        <v>4</v>
      </c>
      <c r="N7" s="20" t="str">
        <f t="shared" ca="1" si="7"/>
        <v/>
      </c>
      <c r="O7" s="16">
        <f t="shared" ca="1" si="1"/>
        <v>3</v>
      </c>
      <c r="P7" s="16">
        <f ca="1">IF(O7=0,0,COUNTIF(O$4:O7,O7))</f>
        <v>2</v>
      </c>
      <c r="Q7" s="24" t="str">
        <f t="shared" ca="1" si="8"/>
        <v>3&amp;2</v>
      </c>
      <c r="R7" s="23">
        <v>4</v>
      </c>
      <c r="S7" s="26" t="str">
        <f t="shared" ca="1" si="2"/>
        <v/>
      </c>
      <c r="T7" s="26" t="str">
        <f t="shared" ca="1" si="2"/>
        <v/>
      </c>
      <c r="U7" s="26" t="str">
        <f t="shared" ca="1" si="2"/>
        <v/>
      </c>
      <c r="V7" s="26" t="str">
        <f t="shared" ca="1" si="2"/>
        <v/>
      </c>
      <c r="W7" s="26" t="str">
        <f t="shared" ca="1" si="2"/>
        <v/>
      </c>
      <c r="X7" s="26" t="str">
        <f t="shared" ca="1" si="2"/>
        <v/>
      </c>
      <c r="Y7" s="26" t="str">
        <f t="shared" ca="1" si="2"/>
        <v/>
      </c>
      <c r="Z7" s="26" t="str">
        <f t="shared" ca="1" si="2"/>
        <v/>
      </c>
      <c r="AA7" s="26" t="str">
        <f t="shared" ca="1" si="2"/>
        <v/>
      </c>
      <c r="AB7" s="26" t="str">
        <f t="shared" ca="1" si="2"/>
        <v/>
      </c>
      <c r="AC7" s="26" t="str">
        <f t="shared" ca="1" si="2"/>
        <v/>
      </c>
      <c r="AD7" s="26" t="str">
        <f t="shared" ca="1" si="2"/>
        <v/>
      </c>
      <c r="AE7" s="26" t="str">
        <f t="shared" ca="1" si="2"/>
        <v/>
      </c>
      <c r="AF7" s="26" t="str">
        <f t="shared" ca="1" si="2"/>
        <v/>
      </c>
      <c r="AG7" s="26" t="str">
        <f t="shared" ca="1" si="2"/>
        <v/>
      </c>
      <c r="AH7" s="26" t="str">
        <f t="shared" ca="1" si="2"/>
        <v/>
      </c>
    </row>
    <row r="8" spans="1:34" s="16" customFormat="1" ht="12.95" customHeight="1">
      <c r="A8" s="13">
        <f t="shared" si="3"/>
        <v>5</v>
      </c>
      <c r="B8" s="13">
        <f ca="1">B9+0.0011</f>
        <v>6.6E-3</v>
      </c>
      <c r="C8"/>
      <c r="D8" s="29">
        <f ca="1">IF(ISBLANK(C8),0+A8/1000,OFFSET(Rating!$E$1,MATCH(C8,NameListBMZ,0),0)+A8/1000)</f>
        <v>5.0000000000000001E-3</v>
      </c>
      <c r="E8" s="14">
        <f t="shared" ca="1" si="4"/>
        <v>59</v>
      </c>
      <c r="F8" s="15">
        <f t="shared" si="0"/>
        <v>0</v>
      </c>
      <c r="G8" s="13" t="s">
        <v>23</v>
      </c>
      <c r="I8" s="16">
        <f t="shared" si="5"/>
        <v>5</v>
      </c>
      <c r="J8" s="16" t="str">
        <f>IF(C12=0,"",CONCATENATE(C12," ; ",C13))</f>
        <v/>
      </c>
      <c r="K8" s="180">
        <f ca="1">IF(ISBLANK(J8),0+I8/1000,B13)</f>
        <v>9.4999999999999998E-3</v>
      </c>
      <c r="L8" s="14">
        <f t="shared" ca="1" si="6"/>
        <v>28</v>
      </c>
      <c r="M8" s="181">
        <f t="shared" si="9"/>
        <v>5</v>
      </c>
      <c r="N8" s="20" t="str">
        <f t="shared" ca="1" si="7"/>
        <v/>
      </c>
      <c r="O8" s="16">
        <f t="shared" ca="1" si="1"/>
        <v>2</v>
      </c>
      <c r="P8" s="16">
        <f ca="1">IF(O8=0,0,COUNTIF(O$4:O8,O8))</f>
        <v>2</v>
      </c>
      <c r="Q8" s="24" t="str">
        <f t="shared" ca="1" si="8"/>
        <v>2&amp;2</v>
      </c>
      <c r="R8" s="23">
        <v>5</v>
      </c>
      <c r="S8" s="26" t="str">
        <f t="shared" ca="1" si="2"/>
        <v/>
      </c>
      <c r="T8" s="26" t="str">
        <f t="shared" ca="1" si="2"/>
        <v/>
      </c>
      <c r="U8" s="26" t="str">
        <f t="shared" ca="1" si="2"/>
        <v/>
      </c>
      <c r="V8" s="26" t="str">
        <f t="shared" ca="1" si="2"/>
        <v/>
      </c>
      <c r="W8" s="26" t="str">
        <f t="shared" ca="1" si="2"/>
        <v/>
      </c>
      <c r="X8" s="26" t="str">
        <f t="shared" ca="1" si="2"/>
        <v/>
      </c>
      <c r="Y8" s="26" t="str">
        <f t="shared" ca="1" si="2"/>
        <v/>
      </c>
      <c r="Z8" s="26" t="str">
        <f t="shared" ca="1" si="2"/>
        <v/>
      </c>
      <c r="AA8" s="26" t="str">
        <f t="shared" ca="1" si="2"/>
        <v/>
      </c>
      <c r="AB8" s="26" t="str">
        <f t="shared" ca="1" si="2"/>
        <v/>
      </c>
      <c r="AC8" s="26" t="str">
        <f t="shared" ca="1" si="2"/>
        <v/>
      </c>
      <c r="AD8" s="26" t="str">
        <f t="shared" ca="1" si="2"/>
        <v/>
      </c>
      <c r="AE8" s="26" t="str">
        <f t="shared" ca="1" si="2"/>
        <v/>
      </c>
      <c r="AF8" s="26" t="str">
        <f t="shared" ca="1" si="2"/>
        <v/>
      </c>
      <c r="AG8" s="26" t="str">
        <f t="shared" ca="1" si="2"/>
        <v/>
      </c>
      <c r="AH8" s="26" t="str">
        <f t="shared" ca="1" si="2"/>
        <v/>
      </c>
    </row>
    <row r="9" spans="1:34" s="16" customFormat="1" ht="12.95" customHeight="1">
      <c r="A9" s="13">
        <f t="shared" si="3"/>
        <v>6</v>
      </c>
      <c r="B9" s="13">
        <f ca="1">(D8+D9)/2</f>
        <v>5.4999999999999997E-3</v>
      </c>
      <c r="C9"/>
      <c r="D9" s="29">
        <f ca="1">IF(ISBLANK(C9),0+A9/1000,OFFSET(Rating!$E$1,MATCH(C9,NameListBMZ,0),0)+A9/1000)</f>
        <v>6.0000000000000001E-3</v>
      </c>
      <c r="E9" s="14">
        <f t="shared" ca="1" si="4"/>
        <v>60</v>
      </c>
      <c r="F9" s="15">
        <f t="shared" si="0"/>
        <v>0</v>
      </c>
      <c r="G9" s="13" t="s">
        <v>23</v>
      </c>
      <c r="I9" s="16">
        <f t="shared" si="5"/>
        <v>6</v>
      </c>
      <c r="J9" s="16" t="str">
        <f>IF(C14=0,"",CONCATENATE(C14," ; ",C15))</f>
        <v/>
      </c>
      <c r="K9" s="180">
        <f ca="1">IF(ISBLANK(J9),0+I9/1000,B15)</f>
        <v>1.15E-2</v>
      </c>
      <c r="L9" s="14">
        <f t="shared" ca="1" si="6"/>
        <v>27</v>
      </c>
      <c r="M9" s="181">
        <f t="shared" si="9"/>
        <v>6</v>
      </c>
      <c r="N9" s="20" t="str">
        <f t="shared" ca="1" si="7"/>
        <v/>
      </c>
      <c r="O9" s="16">
        <f t="shared" ca="1" si="1"/>
        <v>1</v>
      </c>
      <c r="P9" s="16">
        <f ca="1">IF(O9=0,0,COUNTIF(O$4:O9,O9))</f>
        <v>2</v>
      </c>
      <c r="Q9" s="24" t="str">
        <f t="shared" ca="1" si="8"/>
        <v>1&amp;2</v>
      </c>
      <c r="R9" s="23">
        <v>6</v>
      </c>
      <c r="S9" s="26" t="str">
        <f t="shared" ca="1" si="2"/>
        <v/>
      </c>
      <c r="T9" s="26" t="str">
        <f t="shared" ca="1" si="2"/>
        <v/>
      </c>
      <c r="U9" s="26" t="str">
        <f t="shared" ca="1" si="2"/>
        <v/>
      </c>
      <c r="V9" s="26" t="str">
        <f t="shared" ca="1" si="2"/>
        <v/>
      </c>
      <c r="W9" s="26" t="str">
        <f t="shared" ca="1" si="2"/>
        <v/>
      </c>
      <c r="X9" s="26" t="str">
        <f t="shared" ca="1" si="2"/>
        <v/>
      </c>
      <c r="Y9" s="26" t="str">
        <f t="shared" ca="1" si="2"/>
        <v/>
      </c>
      <c r="Z9" s="26" t="str">
        <f t="shared" ca="1" si="2"/>
        <v/>
      </c>
      <c r="AA9" s="26" t="str">
        <f t="shared" ca="1" si="2"/>
        <v/>
      </c>
      <c r="AB9" s="26" t="str">
        <f t="shared" ca="1" si="2"/>
        <v/>
      </c>
      <c r="AC9" s="26" t="str">
        <f t="shared" ca="1" si="2"/>
        <v/>
      </c>
      <c r="AD9" s="26" t="str">
        <f t="shared" ca="1" si="2"/>
        <v/>
      </c>
      <c r="AE9" s="26" t="str">
        <f t="shared" ca="1" si="2"/>
        <v/>
      </c>
      <c r="AF9" s="26" t="str">
        <f t="shared" ca="1" si="2"/>
        <v/>
      </c>
      <c r="AG9" s="26" t="str">
        <f t="shared" ca="1" si="2"/>
        <v/>
      </c>
      <c r="AH9" s="26" t="str">
        <f t="shared" ca="1" si="2"/>
        <v/>
      </c>
    </row>
    <row r="10" spans="1:34" s="16" customFormat="1" ht="12.95" customHeight="1">
      <c r="A10" s="13">
        <f t="shared" si="3"/>
        <v>7</v>
      </c>
      <c r="B10" s="13">
        <f ca="1">B11+0.0011</f>
        <v>8.6E-3</v>
      </c>
      <c r="C10"/>
      <c r="D10" s="29">
        <f ca="1">IF(ISBLANK(C10),0+A10/1000,OFFSET(Rating!$E$1,MATCH(C10,NameListBMZ,0),0)+A10/1000)</f>
        <v>7.0000000000000001E-3</v>
      </c>
      <c r="E10" s="14">
        <f t="shared" ca="1" si="4"/>
        <v>57</v>
      </c>
      <c r="F10" s="15">
        <f t="shared" si="0"/>
        <v>0</v>
      </c>
      <c r="G10" s="13" t="s">
        <v>23</v>
      </c>
      <c r="I10" s="16">
        <f t="shared" si="5"/>
        <v>7</v>
      </c>
      <c r="J10" s="16" t="str">
        <f>IF(C16=0,"",CONCATENATE(C16," ; ",C17))</f>
        <v/>
      </c>
      <c r="K10" s="180">
        <f ca="1">IF(ISBLANK(J10),0+I10/1000,B17)</f>
        <v>1.35E-2</v>
      </c>
      <c r="L10" s="14">
        <f t="shared" ca="1" si="6"/>
        <v>26</v>
      </c>
      <c r="M10" s="181">
        <f t="shared" si="9"/>
        <v>7</v>
      </c>
      <c r="N10" s="20" t="str">
        <f t="shared" ca="1" si="7"/>
        <v/>
      </c>
      <c r="O10" s="16">
        <f t="shared" ca="1" si="1"/>
        <v>1</v>
      </c>
      <c r="P10" s="16">
        <f ca="1">IF(O10=0,0,COUNTIF(O$4:O10,O10))</f>
        <v>3</v>
      </c>
      <c r="Q10" s="24" t="str">
        <f t="shared" ca="1" si="8"/>
        <v>1&amp;3</v>
      </c>
      <c r="R10" s="23">
        <v>7</v>
      </c>
      <c r="S10" s="26" t="str">
        <f t="shared" ca="1" si="2"/>
        <v/>
      </c>
      <c r="T10" s="26" t="str">
        <f t="shared" ca="1" si="2"/>
        <v/>
      </c>
      <c r="U10" s="26" t="str">
        <f t="shared" ca="1" si="2"/>
        <v/>
      </c>
      <c r="V10" s="26" t="str">
        <f t="shared" ca="1" si="2"/>
        <v/>
      </c>
      <c r="W10" s="26" t="str">
        <f t="shared" ca="1" si="2"/>
        <v/>
      </c>
      <c r="X10" s="26" t="str">
        <f t="shared" ca="1" si="2"/>
        <v/>
      </c>
      <c r="Y10" s="26" t="str">
        <f t="shared" ca="1" si="2"/>
        <v/>
      </c>
      <c r="Z10" s="26" t="str">
        <f t="shared" ca="1" si="2"/>
        <v/>
      </c>
      <c r="AA10" s="26" t="str">
        <f t="shared" ca="1" si="2"/>
        <v/>
      </c>
      <c r="AB10" s="26" t="str">
        <f t="shared" ca="1" si="2"/>
        <v/>
      </c>
      <c r="AC10" s="26" t="str">
        <f t="shared" ca="1" si="2"/>
        <v/>
      </c>
      <c r="AD10" s="26" t="str">
        <f t="shared" ca="1" si="2"/>
        <v/>
      </c>
      <c r="AE10" s="26" t="str">
        <f t="shared" ca="1" si="2"/>
        <v/>
      </c>
      <c r="AF10" s="26" t="str">
        <f t="shared" ca="1" si="2"/>
        <v/>
      </c>
      <c r="AG10" s="26" t="str">
        <f t="shared" ca="1" si="2"/>
        <v/>
      </c>
      <c r="AH10" s="26" t="str">
        <f t="shared" ca="1" si="2"/>
        <v/>
      </c>
    </row>
    <row r="11" spans="1:34" s="16" customFormat="1" ht="12.95" customHeight="1">
      <c r="A11" s="13">
        <f t="shared" si="3"/>
        <v>8</v>
      </c>
      <c r="B11" s="13">
        <f ca="1">(D10+D11)/2</f>
        <v>7.4999999999999997E-3</v>
      </c>
      <c r="C11"/>
      <c r="D11" s="29">
        <f ca="1">IF(ISBLANK(C11),0+A11/1000,OFFSET(Rating!$E$1,MATCH(C11,NameListBMZ,0),0)+A11/1000)</f>
        <v>8.0000000000000002E-3</v>
      </c>
      <c r="E11" s="14">
        <f t="shared" ca="1" si="4"/>
        <v>58</v>
      </c>
      <c r="F11" s="15">
        <f t="shared" si="0"/>
        <v>0</v>
      </c>
      <c r="G11" s="13" t="s">
        <v>23</v>
      </c>
      <c r="I11" s="16">
        <f t="shared" si="5"/>
        <v>8</v>
      </c>
      <c r="J11" s="16" t="str">
        <f>IF(C18=0,"",CONCATENATE(C18," ; ",C19))</f>
        <v/>
      </c>
      <c r="K11" s="180">
        <f ca="1">IF(ISBLANK(J11),0+I11/1000,B19)</f>
        <v>1.55E-2</v>
      </c>
      <c r="L11" s="14">
        <f t="shared" ca="1" si="6"/>
        <v>25</v>
      </c>
      <c r="M11" s="181">
        <f t="shared" si="9"/>
        <v>8</v>
      </c>
      <c r="N11" s="20" t="str">
        <f t="shared" ca="1" si="7"/>
        <v/>
      </c>
      <c r="O11" s="16">
        <f t="shared" ca="1" si="1"/>
        <v>2</v>
      </c>
      <c r="P11" s="16">
        <f ca="1">IF(O11=0,0,COUNTIF(O$4:O11,O11))</f>
        <v>3</v>
      </c>
      <c r="Q11" s="24" t="str">
        <f t="shared" ca="1" si="8"/>
        <v>2&amp;3</v>
      </c>
      <c r="R11" s="23">
        <v>8</v>
      </c>
      <c r="S11" s="26" t="str">
        <f t="shared" ca="1" si="2"/>
        <v/>
      </c>
      <c r="T11" s="26" t="str">
        <f t="shared" ca="1" si="2"/>
        <v/>
      </c>
      <c r="U11" s="26" t="str">
        <f t="shared" ca="1" si="2"/>
        <v/>
      </c>
      <c r="V11" s="26" t="str">
        <f t="shared" ca="1" si="2"/>
        <v/>
      </c>
      <c r="W11" s="26" t="str">
        <f t="shared" ca="1" si="2"/>
        <v/>
      </c>
      <c r="X11" s="26" t="str">
        <f t="shared" ca="1" si="2"/>
        <v/>
      </c>
      <c r="Y11" s="26" t="str">
        <f t="shared" ca="1" si="2"/>
        <v/>
      </c>
      <c r="Z11" s="26" t="str">
        <f t="shared" ca="1" si="2"/>
        <v/>
      </c>
      <c r="AA11" s="26" t="str">
        <f t="shared" ca="1" si="2"/>
        <v/>
      </c>
      <c r="AB11" s="26" t="str">
        <f t="shared" ca="1" si="2"/>
        <v/>
      </c>
      <c r="AC11" s="26" t="str">
        <f t="shared" ca="1" si="2"/>
        <v/>
      </c>
      <c r="AD11" s="26" t="str">
        <f t="shared" ca="1" si="2"/>
        <v/>
      </c>
      <c r="AE11" s="26" t="str">
        <f t="shared" ca="1" si="2"/>
        <v/>
      </c>
      <c r="AF11" s="26" t="str">
        <f t="shared" ca="1" si="2"/>
        <v/>
      </c>
      <c r="AG11" s="26" t="str">
        <f t="shared" ca="1" si="2"/>
        <v/>
      </c>
      <c r="AH11" s="26" t="str">
        <f t="shared" ca="1" si="2"/>
        <v/>
      </c>
    </row>
    <row r="12" spans="1:34" s="16" customFormat="1" ht="12.95" customHeight="1">
      <c r="A12" s="13">
        <f t="shared" si="3"/>
        <v>9</v>
      </c>
      <c r="B12" s="13">
        <f ca="1">B13+0.0011</f>
        <v>1.06E-2</v>
      </c>
      <c r="C12"/>
      <c r="D12" s="29">
        <f ca="1">IF(ISBLANK(C12),0+A12/1000,OFFSET(Rating!$E$1,MATCH(C12,NameListBMZ,0),0)+A12/1000)</f>
        <v>8.9999999999999993E-3</v>
      </c>
      <c r="E12" s="14">
        <f t="shared" ref="E12:E67" ca="1" si="10">RANK(D12,$D$4:$D$103,0)</f>
        <v>56</v>
      </c>
      <c r="F12" s="15">
        <f t="shared" si="0"/>
        <v>0</v>
      </c>
      <c r="G12" s="13" t="s">
        <v>23</v>
      </c>
      <c r="I12" s="16">
        <f t="shared" si="5"/>
        <v>9</v>
      </c>
      <c r="J12" s="16" t="str">
        <f>IF(C20=0,"",CONCATENATE(C20," ; ",C21))</f>
        <v/>
      </c>
      <c r="K12" s="180">
        <f ca="1">IF(ISBLANK(J12),0+I12/1000,B21)</f>
        <v>1.7500000000000002E-2</v>
      </c>
      <c r="L12" s="14">
        <f t="shared" ca="1" si="6"/>
        <v>24</v>
      </c>
      <c r="M12" s="181">
        <f t="shared" si="9"/>
        <v>9</v>
      </c>
      <c r="N12" s="20" t="str">
        <f t="shared" ca="1" si="7"/>
        <v/>
      </c>
      <c r="O12" s="16">
        <f t="shared" ca="1" si="1"/>
        <v>3</v>
      </c>
      <c r="P12" s="16">
        <f ca="1">IF(O12=0,0,COUNTIF(O$4:O12,O12))</f>
        <v>3</v>
      </c>
      <c r="Q12" s="24" t="str">
        <f t="shared" ca="1" si="8"/>
        <v>3&amp;3</v>
      </c>
      <c r="R12" s="23">
        <v>9</v>
      </c>
      <c r="S12" s="26" t="str">
        <f t="shared" ca="1" si="2"/>
        <v/>
      </c>
      <c r="T12" s="26" t="str">
        <f t="shared" ca="1" si="2"/>
        <v/>
      </c>
      <c r="U12" s="26" t="str">
        <f t="shared" ca="1" si="2"/>
        <v/>
      </c>
      <c r="V12" s="26" t="str">
        <f t="shared" ca="1" si="2"/>
        <v/>
      </c>
      <c r="W12" s="26" t="str">
        <f t="shared" ca="1" si="2"/>
        <v/>
      </c>
      <c r="X12" s="26" t="str">
        <f t="shared" ca="1" si="2"/>
        <v/>
      </c>
      <c r="Y12" s="26" t="str">
        <f t="shared" ca="1" si="2"/>
        <v/>
      </c>
      <c r="Z12" s="26" t="str">
        <f t="shared" ca="1" si="2"/>
        <v/>
      </c>
      <c r="AA12" s="26" t="str">
        <f t="shared" ca="1" si="2"/>
        <v/>
      </c>
      <c r="AB12" s="26" t="str">
        <f t="shared" ca="1" si="2"/>
        <v/>
      </c>
      <c r="AC12" s="26" t="str">
        <f t="shared" ca="1" si="2"/>
        <v/>
      </c>
      <c r="AD12" s="26" t="str">
        <f t="shared" ca="1" si="2"/>
        <v/>
      </c>
      <c r="AE12" s="26" t="str">
        <f t="shared" ca="1" si="2"/>
        <v/>
      </c>
      <c r="AF12" s="26" t="str">
        <f t="shared" ca="1" si="2"/>
        <v/>
      </c>
      <c r="AG12" s="26" t="str">
        <f t="shared" ca="1" si="2"/>
        <v/>
      </c>
      <c r="AH12" s="26" t="str">
        <f t="shared" ca="1" si="2"/>
        <v/>
      </c>
    </row>
    <row r="13" spans="1:34" s="16" customFormat="1" ht="12.95" customHeight="1">
      <c r="A13" s="13">
        <f t="shared" si="3"/>
        <v>10</v>
      </c>
      <c r="B13" s="13">
        <f ca="1">(D12+D13)/2</f>
        <v>9.4999999999999998E-3</v>
      </c>
      <c r="C13"/>
      <c r="D13" s="29">
        <f ca="1">IF(ISBLANK(C13),0+A13/1000,OFFSET(Rating!$E$1,MATCH(C13,NameListBMZ,0),0)+A13/1000)</f>
        <v>0.01</v>
      </c>
      <c r="E13" s="14">
        <f t="shared" ca="1" si="10"/>
        <v>55</v>
      </c>
      <c r="F13" s="15">
        <f t="shared" si="0"/>
        <v>0</v>
      </c>
      <c r="G13" s="13" t="s">
        <v>23</v>
      </c>
      <c r="I13" s="16">
        <f t="shared" si="5"/>
        <v>10</v>
      </c>
      <c r="J13" s="16" t="str">
        <f>IF(C22=0,"",CONCATENATE(C22," ; ",C23))</f>
        <v/>
      </c>
      <c r="K13" s="180">
        <f ca="1">IF(ISBLANK(J13),0+I13/1000,B23)</f>
        <v>1.95E-2</v>
      </c>
      <c r="L13" s="14">
        <f t="shared" ca="1" si="6"/>
        <v>23</v>
      </c>
      <c r="M13" s="181">
        <f t="shared" si="9"/>
        <v>10</v>
      </c>
      <c r="N13" s="20" t="str">
        <f t="shared" ca="1" si="7"/>
        <v/>
      </c>
      <c r="O13" s="16">
        <f t="shared" ca="1" si="1"/>
        <v>3</v>
      </c>
      <c r="P13" s="16">
        <f ca="1">IF(O13=0,0,COUNTIF(O$4:O13,O13))</f>
        <v>4</v>
      </c>
      <c r="Q13" s="24" t="str">
        <f t="shared" ca="1" si="8"/>
        <v>3&amp;4</v>
      </c>
      <c r="R13" s="23">
        <v>10</v>
      </c>
      <c r="S13" s="26" t="str">
        <f t="shared" ca="1" si="2"/>
        <v/>
      </c>
      <c r="T13" s="26" t="str">
        <f t="shared" ca="1" si="2"/>
        <v/>
      </c>
      <c r="U13" s="26" t="str">
        <f t="shared" ca="1" si="2"/>
        <v/>
      </c>
      <c r="V13" s="26" t="str">
        <f t="shared" ca="1" si="2"/>
        <v/>
      </c>
      <c r="W13" s="26" t="str">
        <f t="shared" ca="1" si="2"/>
        <v/>
      </c>
      <c r="X13" s="26" t="str">
        <f t="shared" ca="1" si="2"/>
        <v/>
      </c>
      <c r="Y13" s="26" t="str">
        <f t="shared" ca="1" si="2"/>
        <v/>
      </c>
      <c r="Z13" s="26" t="str">
        <f t="shared" ca="1" si="2"/>
        <v/>
      </c>
      <c r="AA13" s="26" t="str">
        <f t="shared" ca="1" si="2"/>
        <v/>
      </c>
      <c r="AB13" s="26" t="str">
        <f t="shared" ca="1" si="2"/>
        <v/>
      </c>
      <c r="AC13" s="26" t="str">
        <f t="shared" ca="1" si="2"/>
        <v/>
      </c>
      <c r="AD13" s="26" t="str">
        <f t="shared" ca="1" si="2"/>
        <v/>
      </c>
      <c r="AE13" s="26" t="str">
        <f t="shared" ca="1" si="2"/>
        <v/>
      </c>
      <c r="AF13" s="26" t="str">
        <f t="shared" ca="1" si="2"/>
        <v/>
      </c>
      <c r="AG13" s="26" t="str">
        <f t="shared" ca="1" si="2"/>
        <v/>
      </c>
      <c r="AH13" s="26" t="str">
        <f t="shared" ca="1" si="2"/>
        <v/>
      </c>
    </row>
    <row r="14" spans="1:34" s="16" customFormat="1" ht="12.95" customHeight="1">
      <c r="A14" s="13">
        <f t="shared" si="3"/>
        <v>11</v>
      </c>
      <c r="B14" s="13">
        <f ca="1">B15+0.0011</f>
        <v>1.26E-2</v>
      </c>
      <c r="C14" s="190"/>
      <c r="D14" s="29">
        <f ca="1">IF(ISBLANK(C14),0+A14/1000,OFFSET(Rating!$E$1,MATCH(C14,NameListBMZ,0),0)+A14/1000)</f>
        <v>1.0999999999999999E-2</v>
      </c>
      <c r="E14" s="14">
        <f t="shared" ca="1" si="10"/>
        <v>54</v>
      </c>
      <c r="F14" s="15">
        <f t="shared" si="0"/>
        <v>0</v>
      </c>
      <c r="G14" s="13" t="s">
        <v>23</v>
      </c>
      <c r="I14" s="16">
        <f t="shared" si="5"/>
        <v>11</v>
      </c>
      <c r="J14" s="16" t="str">
        <f>IF(C24=0,"",CONCATENATE(C24," ; ",C25))</f>
        <v/>
      </c>
      <c r="K14" s="180">
        <f ca="1">IF(ISBLANK(J14),0+I14/1000,B25)</f>
        <v>2.1499999999999998E-2</v>
      </c>
      <c r="L14" s="14">
        <f t="shared" ca="1" si="6"/>
        <v>22</v>
      </c>
      <c r="M14" s="181">
        <f t="shared" si="9"/>
        <v>11</v>
      </c>
      <c r="N14" s="20" t="str">
        <f t="shared" ca="1" si="7"/>
        <v/>
      </c>
      <c r="O14" s="16">
        <f t="shared" ca="1" si="1"/>
        <v>2</v>
      </c>
      <c r="P14" s="16">
        <f ca="1">IF(O14=0,0,COUNTIF(O$4:O14,O14))</f>
        <v>4</v>
      </c>
      <c r="Q14" s="24" t="str">
        <f t="shared" ca="1" si="8"/>
        <v>2&amp;4</v>
      </c>
    </row>
    <row r="15" spans="1:34" s="16" customFormat="1" ht="12.95" customHeight="1">
      <c r="A15" s="13">
        <f t="shared" si="3"/>
        <v>12</v>
      </c>
      <c r="B15" s="13">
        <f ca="1">(D14+D15)/2</f>
        <v>1.15E-2</v>
      </c>
      <c r="C15"/>
      <c r="D15" s="29">
        <f ca="1">IF(ISBLANK(C15),0+A15/1000,OFFSET(Rating!$E$1,MATCH(C15,NameListBMZ,0),0)+A15/1000)</f>
        <v>1.2E-2</v>
      </c>
      <c r="E15" s="14">
        <f t="shared" ca="1" si="10"/>
        <v>53</v>
      </c>
      <c r="F15" s="15">
        <f t="shared" si="0"/>
        <v>0</v>
      </c>
      <c r="G15" s="13" t="s">
        <v>23</v>
      </c>
      <c r="I15" s="16">
        <f t="shared" si="5"/>
        <v>12</v>
      </c>
      <c r="J15" s="16" t="str">
        <f>IF(C26=0,"",CONCATENATE(C26," ; ",C27))</f>
        <v/>
      </c>
      <c r="K15" s="180">
        <f ca="1">IF(ISBLANK(J15),0+I15/1000,B27)</f>
        <v>2.35E-2</v>
      </c>
      <c r="L15" s="14">
        <f t="shared" ca="1" si="6"/>
        <v>21</v>
      </c>
      <c r="M15" s="181">
        <f t="shared" si="9"/>
        <v>12</v>
      </c>
      <c r="N15" s="20" t="str">
        <f t="shared" ca="1" si="7"/>
        <v/>
      </c>
      <c r="O15" s="16">
        <f t="shared" ca="1" si="1"/>
        <v>1</v>
      </c>
      <c r="P15" s="16">
        <f ca="1">IF(O15=0,0,COUNTIF(O$4:O15,O15))</f>
        <v>4</v>
      </c>
      <c r="Q15" s="24" t="str">
        <f t="shared" ca="1" si="8"/>
        <v>1&amp;4</v>
      </c>
      <c r="S15" s="6" t="s">
        <v>39</v>
      </c>
      <c r="T15" s="6" t="s">
        <v>41</v>
      </c>
    </row>
    <row r="16" spans="1:34" s="16" customFormat="1" ht="12.95" customHeight="1">
      <c r="A16" s="13">
        <f t="shared" si="3"/>
        <v>13</v>
      </c>
      <c r="B16" s="13">
        <f ca="1">B17+0.0011</f>
        <v>1.46E-2</v>
      </c>
      <c r="C16"/>
      <c r="D16" s="29">
        <f ca="1">IF(ISBLANK(C16),0+A16/1000,OFFSET(Rating!$E$1,MATCH(C16,NameListBMZ,0),0)+A16/1000)</f>
        <v>1.2999999999999999E-2</v>
      </c>
      <c r="E16" s="14">
        <f t="shared" ca="1" si="10"/>
        <v>52</v>
      </c>
      <c r="F16" s="15">
        <f t="shared" si="0"/>
        <v>0</v>
      </c>
      <c r="G16" s="13" t="s">
        <v>23</v>
      </c>
      <c r="I16" s="16">
        <f t="shared" si="5"/>
        <v>13</v>
      </c>
      <c r="J16" s="16" t="str">
        <f>IF(C4=0,"",CONCATENATE(C28," ; ",C29))</f>
        <v/>
      </c>
      <c r="K16" s="180">
        <f ca="1">IF(ISBLANK(J16),0+I16/1000,B29)</f>
        <v>2.5500000000000002E-2</v>
      </c>
      <c r="L16" s="14">
        <f t="shared" ca="1" si="6"/>
        <v>20</v>
      </c>
      <c r="M16" s="181">
        <f t="shared" si="9"/>
        <v>13</v>
      </c>
      <c r="N16" s="20" t="str">
        <f t="shared" ca="1" si="7"/>
        <v/>
      </c>
      <c r="O16" s="16">
        <f t="shared" ca="1" si="1"/>
        <v>1</v>
      </c>
      <c r="P16" s="16">
        <f ca="1">IF(O16=0,0,COUNTIF(O$4:O16,O16))</f>
        <v>5</v>
      </c>
      <c r="Q16" s="24" t="str">
        <f t="shared" ca="1" si="8"/>
        <v>1&amp;5</v>
      </c>
      <c r="R16" s="7"/>
      <c r="S16" s="25">
        <v>1</v>
      </c>
      <c r="T16" s="25">
        <v>2</v>
      </c>
      <c r="U16" s="25">
        <v>3</v>
      </c>
      <c r="V16" s="25">
        <v>4</v>
      </c>
      <c r="W16" s="25">
        <v>5</v>
      </c>
      <c r="X16" s="25">
        <v>6</v>
      </c>
      <c r="Y16" s="25">
        <v>7</v>
      </c>
      <c r="Z16" s="25">
        <v>8</v>
      </c>
      <c r="AA16" s="25">
        <v>9</v>
      </c>
      <c r="AB16" s="25">
        <v>10</v>
      </c>
      <c r="AC16" s="25">
        <v>11</v>
      </c>
      <c r="AD16" s="25">
        <v>12</v>
      </c>
      <c r="AE16" s="25">
        <v>13</v>
      </c>
      <c r="AF16" s="25">
        <v>14</v>
      </c>
      <c r="AG16" s="25">
        <v>15</v>
      </c>
      <c r="AH16" s="25">
        <v>16</v>
      </c>
    </row>
    <row r="17" spans="1:34" s="16" customFormat="1" ht="12.95" customHeight="1">
      <c r="A17" s="13">
        <f t="shared" si="3"/>
        <v>14</v>
      </c>
      <c r="B17" s="13">
        <f ca="1">(D16+D17)/2</f>
        <v>1.35E-2</v>
      </c>
      <c r="C17"/>
      <c r="D17" s="29">
        <f ca="1">IF(ISBLANK(C17),0+A17/1000,OFFSET(Rating!$E$1,MATCH(C17,NameListBMZ,0),0)+A17/1000)</f>
        <v>1.4E-2</v>
      </c>
      <c r="E17" s="14">
        <f t="shared" ca="1" si="10"/>
        <v>51</v>
      </c>
      <c r="F17" s="15">
        <f t="shared" si="0"/>
        <v>0</v>
      </c>
      <c r="G17" s="13" t="s">
        <v>23</v>
      </c>
      <c r="I17" s="16">
        <f t="shared" si="5"/>
        <v>14</v>
      </c>
      <c r="J17" s="16" t="str">
        <f>IF(C30=0,"",CONCATENATE(C30," ; ",C31))</f>
        <v/>
      </c>
      <c r="K17" s="180">
        <f ca="1">IF(ISBLANK(J17),0+I17/1000,B31)</f>
        <v>2.75E-2</v>
      </c>
      <c r="L17" s="14">
        <f t="shared" ca="1" si="6"/>
        <v>19</v>
      </c>
      <c r="M17" s="181">
        <f t="shared" si="9"/>
        <v>14</v>
      </c>
      <c r="N17" s="20" t="str">
        <f t="shared" ca="1" si="7"/>
        <v/>
      </c>
      <c r="O17" s="16">
        <f t="shared" ca="1" si="1"/>
        <v>2</v>
      </c>
      <c r="P17" s="16">
        <f ca="1">IF(O17=0,0,COUNTIF(O$4:O17,O17))</f>
        <v>5</v>
      </c>
      <c r="Q17" s="24" t="str">
        <f t="shared" ca="1" si="8"/>
        <v>2&amp;5</v>
      </c>
      <c r="R17" s="6"/>
      <c r="S17" s="22" t="s">
        <v>27</v>
      </c>
      <c r="T17" s="22" t="s">
        <v>28</v>
      </c>
      <c r="U17" s="22" t="s">
        <v>29</v>
      </c>
      <c r="V17" s="22" t="s">
        <v>30</v>
      </c>
      <c r="W17" s="22" t="s">
        <v>31</v>
      </c>
      <c r="X17" s="22" t="s">
        <v>32</v>
      </c>
      <c r="Y17" s="22" t="s">
        <v>33</v>
      </c>
      <c r="Z17" s="22" t="s">
        <v>34</v>
      </c>
      <c r="AA17" s="22" t="s">
        <v>35</v>
      </c>
      <c r="AB17" s="22" t="s">
        <v>36</v>
      </c>
      <c r="AC17" s="22" t="s">
        <v>48</v>
      </c>
      <c r="AD17" s="22" t="s">
        <v>49</v>
      </c>
      <c r="AE17" s="22" t="s">
        <v>50</v>
      </c>
      <c r="AF17" s="22" t="s">
        <v>51</v>
      </c>
      <c r="AG17" s="22" t="s">
        <v>52</v>
      </c>
      <c r="AH17" s="22" t="s">
        <v>53</v>
      </c>
    </row>
    <row r="18" spans="1:34" s="16" customFormat="1" ht="12.95" customHeight="1">
      <c r="A18" s="13">
        <f t="shared" si="3"/>
        <v>15</v>
      </c>
      <c r="B18" s="13">
        <f ca="1">B19+0.0011</f>
        <v>1.66E-2</v>
      </c>
      <c r="C18"/>
      <c r="D18" s="29">
        <f ca="1">IF(ISBLANK(C18),0+A18/1000,OFFSET(Rating!$E$1,MATCH(C18,NameListBMZ,0),0)+A18/1000)</f>
        <v>1.4999999999999999E-2</v>
      </c>
      <c r="E18" s="14">
        <f t="shared" ca="1" si="10"/>
        <v>50</v>
      </c>
      <c r="F18" s="15">
        <f t="shared" si="0"/>
        <v>0</v>
      </c>
      <c r="G18" s="13" t="s">
        <v>23</v>
      </c>
      <c r="I18" s="16">
        <f t="shared" si="5"/>
        <v>15</v>
      </c>
      <c r="J18" s="16" t="str">
        <f>IF(C32=0,"",CONCATENATE(C32," ; ",C33))</f>
        <v/>
      </c>
      <c r="K18" s="180">
        <f ca="1">IF(ISBLANK(J18),0+I18/1000,B33)</f>
        <v>2.9499999999999998E-2</v>
      </c>
      <c r="L18" s="14">
        <f t="shared" ca="1" si="6"/>
        <v>18</v>
      </c>
      <c r="M18" s="181">
        <f t="shared" si="9"/>
        <v>15</v>
      </c>
      <c r="N18" s="20" t="str">
        <f t="shared" ca="1" si="7"/>
        <v/>
      </c>
      <c r="O18" s="16">
        <f t="shared" ca="1" si="1"/>
        <v>3</v>
      </c>
      <c r="P18" s="16">
        <f ca="1">IF(O18=0,0,COUNTIF(O$4:O18,O18))</f>
        <v>5</v>
      </c>
      <c r="Q18" s="24" t="str">
        <f t="shared" ca="1" si="8"/>
        <v>3&amp;5</v>
      </c>
      <c r="R18" s="23">
        <v>1</v>
      </c>
      <c r="S18" s="26" t="str">
        <f t="shared" ref="S18:AH22" ca="1" si="11">IF(IF(S$16+($R18-1)*N_groups&gt;$F$1,0,IF(S$16&gt;N_groups,0,S$16+($R18-1)*N_groups))=0,"",OFFSET($N$3,IF(S$16+($R18-1)*N_groups&gt;$F$1,0,IF(S$16&gt;N_groups,0,S$16+($R18-1)*N_groups)),0))</f>
        <v/>
      </c>
      <c r="T18" s="26" t="str">
        <f t="shared" ca="1" si="11"/>
        <v/>
      </c>
      <c r="U18" s="26" t="str">
        <f t="shared" ca="1" si="11"/>
        <v/>
      </c>
      <c r="V18" s="26" t="str">
        <f t="shared" ca="1" si="11"/>
        <v/>
      </c>
      <c r="W18" s="26" t="str">
        <f t="shared" ca="1" si="11"/>
        <v/>
      </c>
      <c r="X18" s="26" t="str">
        <f t="shared" ca="1" si="11"/>
        <v/>
      </c>
      <c r="Y18" s="26" t="str">
        <f t="shared" ca="1" si="11"/>
        <v/>
      </c>
      <c r="Z18" s="26" t="str">
        <f t="shared" ca="1" si="11"/>
        <v/>
      </c>
      <c r="AA18" s="26" t="str">
        <f t="shared" ca="1" si="11"/>
        <v/>
      </c>
      <c r="AB18" s="26" t="str">
        <f t="shared" ca="1" si="11"/>
        <v/>
      </c>
      <c r="AC18" s="26" t="str">
        <f t="shared" ca="1" si="11"/>
        <v/>
      </c>
      <c r="AD18" s="26" t="str">
        <f t="shared" ca="1" si="11"/>
        <v/>
      </c>
      <c r="AE18" s="26" t="str">
        <f t="shared" ca="1" si="11"/>
        <v/>
      </c>
      <c r="AF18" s="26" t="str">
        <f t="shared" ca="1" si="11"/>
        <v/>
      </c>
      <c r="AG18" s="26" t="str">
        <f t="shared" ca="1" si="11"/>
        <v/>
      </c>
      <c r="AH18" s="26" t="str">
        <f t="shared" ca="1" si="11"/>
        <v/>
      </c>
    </row>
    <row r="19" spans="1:34" s="16" customFormat="1" ht="12.95" customHeight="1">
      <c r="A19" s="13">
        <f t="shared" si="3"/>
        <v>16</v>
      </c>
      <c r="B19" s="13">
        <f ca="1">(D18+D19)/2</f>
        <v>1.55E-2</v>
      </c>
      <c r="C19"/>
      <c r="D19" s="29">
        <f ca="1">IF(ISBLANK(C19),0+A19/1000,OFFSET(Rating!$E$1,MATCH(C19,NameListBMZ,0),0)+A19/1000)</f>
        <v>1.6E-2</v>
      </c>
      <c r="E19" s="14">
        <f t="shared" ca="1" si="10"/>
        <v>49</v>
      </c>
      <c r="F19" s="15">
        <f t="shared" si="0"/>
        <v>0</v>
      </c>
      <c r="G19" s="13" t="s">
        <v>23</v>
      </c>
      <c r="I19" s="16">
        <f t="shared" si="5"/>
        <v>16</v>
      </c>
      <c r="J19" s="16" t="str">
        <f>IF(C34=0,"",CONCATENATE(C34," ; ",C35))</f>
        <v/>
      </c>
      <c r="K19" s="180">
        <f ca="1">IF(ISBLANK(J19),0+I19/1000,B35)</f>
        <v>3.15E-2</v>
      </c>
      <c r="L19" s="14">
        <f t="shared" ca="1" si="6"/>
        <v>17</v>
      </c>
      <c r="M19" s="181">
        <f t="shared" si="9"/>
        <v>16</v>
      </c>
      <c r="N19" s="20" t="str">
        <f t="shared" ca="1" si="7"/>
        <v/>
      </c>
      <c r="O19" s="16">
        <f t="shared" ca="1" si="1"/>
        <v>3</v>
      </c>
      <c r="P19" s="16">
        <f ca="1">IF(O19=0,0,COUNTIF(O$4:O19,O19))</f>
        <v>6</v>
      </c>
      <c r="Q19" s="24" t="str">
        <f t="shared" ca="1" si="8"/>
        <v>3&amp;6</v>
      </c>
      <c r="R19" s="23">
        <v>2</v>
      </c>
      <c r="S19" s="26" t="str">
        <f t="shared" ca="1" si="11"/>
        <v/>
      </c>
      <c r="T19" s="26" t="str">
        <f t="shared" ca="1" si="11"/>
        <v/>
      </c>
      <c r="U19" s="26" t="str">
        <f t="shared" ca="1" si="11"/>
        <v/>
      </c>
      <c r="V19" s="26" t="str">
        <f t="shared" ca="1" si="11"/>
        <v/>
      </c>
      <c r="W19" s="26" t="str">
        <f t="shared" ca="1" si="11"/>
        <v/>
      </c>
      <c r="X19" s="26" t="str">
        <f t="shared" ca="1" si="11"/>
        <v/>
      </c>
      <c r="Y19" s="26" t="str">
        <f t="shared" ca="1" si="11"/>
        <v/>
      </c>
      <c r="Z19" s="26" t="str">
        <f t="shared" ca="1" si="11"/>
        <v/>
      </c>
      <c r="AA19" s="26" t="str">
        <f t="shared" ca="1" si="11"/>
        <v/>
      </c>
      <c r="AB19" s="26" t="str">
        <f t="shared" ca="1" si="11"/>
        <v/>
      </c>
      <c r="AC19" s="26" t="str">
        <f t="shared" ca="1" si="11"/>
        <v/>
      </c>
      <c r="AD19" s="26" t="str">
        <f t="shared" ca="1" si="11"/>
        <v/>
      </c>
      <c r="AE19" s="26" t="str">
        <f t="shared" ca="1" si="11"/>
        <v/>
      </c>
      <c r="AF19" s="26" t="str">
        <f t="shared" ca="1" si="11"/>
        <v/>
      </c>
      <c r="AG19" s="26" t="str">
        <f t="shared" ca="1" si="11"/>
        <v/>
      </c>
      <c r="AH19" s="26" t="str">
        <f t="shared" ca="1" si="11"/>
        <v/>
      </c>
    </row>
    <row r="20" spans="1:34" s="16" customFormat="1" ht="12.95" customHeight="1">
      <c r="A20" s="13">
        <f t="shared" si="3"/>
        <v>17</v>
      </c>
      <c r="B20" s="13">
        <f ca="1">B21+0.0011</f>
        <v>1.8600000000000002E-2</v>
      </c>
      <c r="C20"/>
      <c r="D20" s="29">
        <f ca="1">IF(ISBLANK(C20),0+A20/1000,OFFSET(Rating!$E$1,MATCH(C20,NameListBMZ,0),0)+A20/1000)</f>
        <v>1.7000000000000001E-2</v>
      </c>
      <c r="E20" s="14">
        <f t="shared" ca="1" si="10"/>
        <v>48</v>
      </c>
      <c r="F20" s="15">
        <f t="shared" si="0"/>
        <v>0</v>
      </c>
      <c r="G20" s="13" t="s">
        <v>23</v>
      </c>
      <c r="I20" s="16">
        <f t="shared" si="5"/>
        <v>17</v>
      </c>
      <c r="J20" s="16" t="str">
        <f>IF(C36=0,"",CONCATENATE(C36," ; ",C37))</f>
        <v/>
      </c>
      <c r="K20" s="180">
        <f ca="1">IF(ISBLANK(J20),0+I20/1000,B37)</f>
        <v>3.3500000000000002E-2</v>
      </c>
      <c r="L20" s="14">
        <f t="shared" ca="1" si="6"/>
        <v>16</v>
      </c>
      <c r="M20" s="181">
        <f t="shared" si="9"/>
        <v>17</v>
      </c>
      <c r="N20" s="20" t="str">
        <f t="shared" ca="1" si="7"/>
        <v/>
      </c>
      <c r="O20" s="16">
        <f t="shared" ca="1" si="1"/>
        <v>2</v>
      </c>
      <c r="P20" s="16">
        <f ca="1">IF(O20=0,0,COUNTIF(O$4:O20,O20))</f>
        <v>6</v>
      </c>
      <c r="Q20" s="24" t="str">
        <f t="shared" ca="1" si="8"/>
        <v>2&amp;6</v>
      </c>
      <c r="R20" s="23">
        <v>3</v>
      </c>
      <c r="S20" s="26" t="str">
        <f t="shared" ca="1" si="11"/>
        <v/>
      </c>
      <c r="T20" s="26" t="str">
        <f t="shared" ca="1" si="11"/>
        <v/>
      </c>
      <c r="U20" s="26" t="str">
        <f t="shared" ca="1" si="11"/>
        <v/>
      </c>
      <c r="V20" s="26" t="str">
        <f t="shared" ca="1" si="11"/>
        <v/>
      </c>
      <c r="W20" s="26" t="str">
        <f t="shared" ca="1" si="11"/>
        <v/>
      </c>
      <c r="X20" s="26" t="str">
        <f t="shared" ca="1" si="11"/>
        <v/>
      </c>
      <c r="Y20" s="26" t="str">
        <f t="shared" ca="1" si="11"/>
        <v/>
      </c>
      <c r="Z20" s="26" t="str">
        <f t="shared" ca="1" si="11"/>
        <v/>
      </c>
      <c r="AA20" s="26" t="str">
        <f t="shared" ca="1" si="11"/>
        <v/>
      </c>
      <c r="AB20" s="26" t="str">
        <f t="shared" ca="1" si="11"/>
        <v/>
      </c>
      <c r="AC20" s="26" t="str">
        <f t="shared" ca="1" si="11"/>
        <v/>
      </c>
      <c r="AD20" s="26" t="str">
        <f t="shared" ca="1" si="11"/>
        <v/>
      </c>
      <c r="AE20" s="26" t="str">
        <f t="shared" ca="1" si="11"/>
        <v/>
      </c>
      <c r="AF20" s="26" t="str">
        <f t="shared" ca="1" si="11"/>
        <v/>
      </c>
      <c r="AG20" s="26" t="str">
        <f t="shared" ca="1" si="11"/>
        <v/>
      </c>
      <c r="AH20" s="26" t="str">
        <f t="shared" ca="1" si="11"/>
        <v/>
      </c>
    </row>
    <row r="21" spans="1:34" s="16" customFormat="1" ht="12.95" customHeight="1">
      <c r="A21" s="13">
        <f t="shared" si="3"/>
        <v>18</v>
      </c>
      <c r="B21" s="13">
        <f ca="1">(D20+D21)/2</f>
        <v>1.7500000000000002E-2</v>
      </c>
      <c r="C21"/>
      <c r="D21" s="29">
        <f ca="1">IF(ISBLANK(C21),0+A21/1000,OFFSET(Rating!$E$1,MATCH(C21,NameListBMZ,0),0)+A21/1000)</f>
        <v>1.7999999999999999E-2</v>
      </c>
      <c r="E21" s="14">
        <f t="shared" ca="1" si="10"/>
        <v>47</v>
      </c>
      <c r="F21" s="15">
        <f t="shared" si="0"/>
        <v>0</v>
      </c>
      <c r="G21" s="13" t="s">
        <v>23</v>
      </c>
      <c r="I21" s="16">
        <f t="shared" si="5"/>
        <v>18</v>
      </c>
      <c r="J21" s="16" t="str">
        <f>IF(C38=0,"",CONCATENATE(C38," ; ",C39))</f>
        <v/>
      </c>
      <c r="K21" s="180">
        <f ca="1">IF(ISBLANK(J21),0+I21/1000,B39)</f>
        <v>3.5500000000000004E-2</v>
      </c>
      <c r="L21" s="14">
        <f t="shared" ca="1" si="6"/>
        <v>15</v>
      </c>
      <c r="M21" s="181">
        <f t="shared" si="9"/>
        <v>18</v>
      </c>
      <c r="N21" s="20" t="str">
        <f t="shared" ca="1" si="7"/>
        <v/>
      </c>
      <c r="O21" s="16">
        <f t="shared" ca="1" si="1"/>
        <v>1</v>
      </c>
      <c r="P21" s="16">
        <f ca="1">IF(O21=0,0,COUNTIF(O$4:O21,O21))</f>
        <v>6</v>
      </c>
      <c r="Q21" s="24" t="str">
        <f t="shared" ca="1" si="8"/>
        <v>1&amp;6</v>
      </c>
      <c r="R21" s="23">
        <v>4</v>
      </c>
      <c r="S21" s="26" t="str">
        <f t="shared" ca="1" si="11"/>
        <v/>
      </c>
      <c r="T21" s="26" t="str">
        <f t="shared" ca="1" si="11"/>
        <v/>
      </c>
      <c r="U21" s="26" t="str">
        <f t="shared" ca="1" si="11"/>
        <v/>
      </c>
      <c r="V21" s="26" t="str">
        <f t="shared" ca="1" si="11"/>
        <v/>
      </c>
      <c r="W21" s="26" t="str">
        <f t="shared" ca="1" si="11"/>
        <v/>
      </c>
      <c r="X21" s="26" t="str">
        <f t="shared" ca="1" si="11"/>
        <v/>
      </c>
      <c r="Y21" s="26" t="str">
        <f t="shared" ca="1" si="11"/>
        <v/>
      </c>
      <c r="Z21" s="26" t="str">
        <f t="shared" ca="1" si="11"/>
        <v/>
      </c>
      <c r="AA21" s="26" t="str">
        <f t="shared" ca="1" si="11"/>
        <v/>
      </c>
      <c r="AB21" s="26" t="str">
        <f t="shared" ca="1" si="11"/>
        <v/>
      </c>
      <c r="AC21" s="26" t="str">
        <f t="shared" ca="1" si="11"/>
        <v/>
      </c>
      <c r="AD21" s="26" t="str">
        <f t="shared" ca="1" si="11"/>
        <v/>
      </c>
      <c r="AE21" s="26" t="str">
        <f t="shared" ca="1" si="11"/>
        <v/>
      </c>
      <c r="AF21" s="26" t="str">
        <f t="shared" ca="1" si="11"/>
        <v/>
      </c>
      <c r="AG21" s="26" t="str">
        <f t="shared" ca="1" si="11"/>
        <v/>
      </c>
      <c r="AH21" s="26" t="str">
        <f t="shared" ca="1" si="11"/>
        <v/>
      </c>
    </row>
    <row r="22" spans="1:34" s="16" customFormat="1" ht="12.95" customHeight="1">
      <c r="A22" s="13">
        <f t="shared" si="3"/>
        <v>19</v>
      </c>
      <c r="B22" s="13">
        <f ca="1">B23+0.0011</f>
        <v>2.06E-2</v>
      </c>
      <c r="C22"/>
      <c r="D22" s="29">
        <f ca="1">IF(ISBLANK(C22),0+A22/1000,OFFSET(Rating!$E$1,MATCH(C22,NameListBMZ,0),0)+A22/1000)</f>
        <v>1.9E-2</v>
      </c>
      <c r="E22" s="14">
        <f t="shared" ca="1" si="10"/>
        <v>46</v>
      </c>
      <c r="F22" s="15">
        <f t="shared" ref="F22:F35" si="12">IF(G22="сдал",D$2,0)</f>
        <v>0</v>
      </c>
      <c r="G22" s="13" t="s">
        <v>23</v>
      </c>
      <c r="I22" s="16">
        <f t="shared" si="5"/>
        <v>19</v>
      </c>
      <c r="J22" s="16" t="str">
        <f>IF(C40=0,"",CONCATENATE(C40," ;",C41))</f>
        <v/>
      </c>
      <c r="K22" s="180">
        <f ca="1">IF(ISBLANK(J22),0+I22/1000,B41)</f>
        <v>3.7499999999999999E-2</v>
      </c>
      <c r="L22" s="14">
        <f t="shared" ca="1" si="6"/>
        <v>14</v>
      </c>
      <c r="M22" s="181">
        <f t="shared" si="9"/>
        <v>19</v>
      </c>
      <c r="N22" s="20" t="str">
        <f t="shared" ca="1" si="7"/>
        <v/>
      </c>
      <c r="O22" s="16">
        <f t="shared" ca="1" si="1"/>
        <v>1</v>
      </c>
      <c r="P22" s="16">
        <f ca="1">IF(O22=0,0,COUNTIF(O$4:O22,O22))</f>
        <v>7</v>
      </c>
      <c r="Q22" s="24" t="str">
        <f t="shared" ca="1" si="8"/>
        <v>1&amp;7</v>
      </c>
      <c r="R22" s="23">
        <v>5</v>
      </c>
      <c r="S22" s="26" t="str">
        <f t="shared" ca="1" si="11"/>
        <v/>
      </c>
      <c r="T22" s="26" t="str">
        <f t="shared" ca="1" si="11"/>
        <v/>
      </c>
      <c r="U22" s="26" t="str">
        <f t="shared" ca="1" si="11"/>
        <v/>
      </c>
      <c r="V22" s="26" t="str">
        <f t="shared" ca="1" si="11"/>
        <v/>
      </c>
      <c r="W22" s="26" t="str">
        <f t="shared" ca="1" si="11"/>
        <v/>
      </c>
      <c r="X22" s="26" t="str">
        <f t="shared" ca="1" si="11"/>
        <v/>
      </c>
      <c r="Y22" s="26" t="str">
        <f t="shared" ca="1" si="11"/>
        <v/>
      </c>
      <c r="Z22" s="26" t="str">
        <f t="shared" ca="1" si="11"/>
        <v/>
      </c>
      <c r="AA22" s="26" t="str">
        <f t="shared" ca="1" si="11"/>
        <v/>
      </c>
      <c r="AB22" s="26" t="str">
        <f t="shared" ca="1" si="11"/>
        <v/>
      </c>
      <c r="AC22" s="26" t="str">
        <f t="shared" ca="1" si="11"/>
        <v/>
      </c>
      <c r="AD22" s="26" t="str">
        <f t="shared" ca="1" si="11"/>
        <v/>
      </c>
      <c r="AE22" s="26" t="str">
        <f t="shared" ca="1" si="11"/>
        <v/>
      </c>
      <c r="AF22" s="26" t="str">
        <f t="shared" ca="1" si="11"/>
        <v/>
      </c>
      <c r="AG22" s="26" t="str">
        <f t="shared" ca="1" si="11"/>
        <v/>
      </c>
      <c r="AH22" s="26" t="str">
        <f t="shared" ca="1" si="11"/>
        <v/>
      </c>
    </row>
    <row r="23" spans="1:34" s="16" customFormat="1" ht="12.95" customHeight="1">
      <c r="A23" s="13">
        <f t="shared" si="3"/>
        <v>20</v>
      </c>
      <c r="B23" s="13">
        <f ca="1">(D22+D23)/2</f>
        <v>1.95E-2</v>
      </c>
      <c r="C23"/>
      <c r="D23" s="29">
        <f ca="1">IF(ISBLANK(C23),0+A23/1000,OFFSET(Rating!$E$1,MATCH(C23,NameListBMZ,0),0)+A23/1000)</f>
        <v>0.02</v>
      </c>
      <c r="E23" s="14">
        <f t="shared" ca="1" si="10"/>
        <v>45</v>
      </c>
      <c r="F23" s="15">
        <f t="shared" si="12"/>
        <v>0</v>
      </c>
      <c r="G23" s="13" t="s">
        <v>23</v>
      </c>
      <c r="I23" s="16">
        <f t="shared" si="5"/>
        <v>20</v>
      </c>
      <c r="J23" s="16" t="str">
        <f>IF(C42=0,"",CONCATENATE(C42," ; ",C43))</f>
        <v/>
      </c>
      <c r="K23" s="180">
        <f ca="1">IF(ISBLANK(J23),0+I23/1000,B43)</f>
        <v>3.95E-2</v>
      </c>
      <c r="L23" s="14">
        <f t="shared" ca="1" si="6"/>
        <v>13</v>
      </c>
      <c r="M23" s="181">
        <f t="shared" si="9"/>
        <v>20</v>
      </c>
      <c r="N23" s="20" t="str">
        <f t="shared" ca="1" si="7"/>
        <v/>
      </c>
      <c r="O23" s="16">
        <f t="shared" ca="1" si="1"/>
        <v>2</v>
      </c>
      <c r="P23" s="16">
        <f ca="1">IF(O23=0,0,COUNTIF(O$4:O23,O23))</f>
        <v>7</v>
      </c>
      <c r="Q23" s="24" t="str">
        <f t="shared" ca="1" si="8"/>
        <v>2&amp;7</v>
      </c>
      <c r="R23" s="23">
        <v>6</v>
      </c>
      <c r="S23" s="26" t="str">
        <f ca="1">IF(IF(S$16+($R23-1)*N_groups&gt;$F$1,0,IF(S$16&gt;N_groups,0,S$16+($R23-1)*N_groups))=0,"",OFFSET($N$3,IF(S$16+($R23-1)*N_groups&gt;$F$1,0,IF(S$16&gt;N_groups,0,S$16+($R23-1)*N_groups)),0))</f>
        <v/>
      </c>
      <c r="T23" s="26" t="s">
        <v>282</v>
      </c>
      <c r="U23" s="26" t="str">
        <f ca="1">IF(IF(U$16+($R23-1)*N_groups&gt;$F$1,0,IF(U$16&gt;N_groups,0,U$16+($R23-1)*N_groups))=0,"",OFFSET($N$3,IF(U$16+($R23-1)*N_groups&gt;$F$1,0,IF(U$16&gt;N_groups,0,U$16+($R23-1)*N_groups)),0))</f>
        <v/>
      </c>
      <c r="V23" s="26" t="s">
        <v>282</v>
      </c>
      <c r="W23" s="26" t="str">
        <f t="shared" ref="W23:AH27" ca="1" si="13">IF(IF(W$16+($R23-1)*N_groups&gt;$F$1,0,IF(W$16&gt;N_groups,0,W$16+($R23-1)*N_groups))=0,"",OFFSET($N$3,IF(W$16+($R23-1)*N_groups&gt;$F$1,0,IF(W$16&gt;N_groups,0,W$16+($R23-1)*N_groups)),0))</f>
        <v/>
      </c>
      <c r="X23" s="26" t="str">
        <f t="shared" ca="1" si="13"/>
        <v/>
      </c>
      <c r="Y23" s="26" t="str">
        <f t="shared" ca="1" si="13"/>
        <v/>
      </c>
      <c r="Z23" s="26" t="str">
        <f t="shared" ca="1" si="13"/>
        <v/>
      </c>
      <c r="AA23" s="26" t="str">
        <f t="shared" ca="1" si="13"/>
        <v/>
      </c>
      <c r="AB23" s="26" t="str">
        <f t="shared" ca="1" si="13"/>
        <v/>
      </c>
      <c r="AC23" s="26" t="str">
        <f t="shared" ca="1" si="13"/>
        <v/>
      </c>
      <c r="AD23" s="26" t="str">
        <f t="shared" ca="1" si="13"/>
        <v/>
      </c>
      <c r="AE23" s="26" t="str">
        <f t="shared" ca="1" si="13"/>
        <v/>
      </c>
      <c r="AF23" s="26" t="str">
        <f t="shared" ca="1" si="13"/>
        <v/>
      </c>
      <c r="AG23" s="26" t="str">
        <f t="shared" ca="1" si="13"/>
        <v/>
      </c>
      <c r="AH23" s="26" t="str">
        <f t="shared" ca="1" si="13"/>
        <v/>
      </c>
    </row>
    <row r="24" spans="1:34" s="16" customFormat="1" ht="12.95" customHeight="1">
      <c r="A24" s="13">
        <f t="shared" si="3"/>
        <v>21</v>
      </c>
      <c r="B24" s="13">
        <f ca="1">B25+0.0011</f>
        <v>2.2599999999999999E-2</v>
      </c>
      <c r="C24"/>
      <c r="D24" s="29">
        <f ca="1">IF(ISBLANK(C24),0+A24/1000,OFFSET(Rating!$E$1,MATCH(C24,NameListBMZ,0),0)+A24/1000)</f>
        <v>2.1000000000000001E-2</v>
      </c>
      <c r="E24" s="14">
        <f t="shared" ca="1" si="10"/>
        <v>44</v>
      </c>
      <c r="F24" s="15">
        <f t="shared" si="12"/>
        <v>0</v>
      </c>
      <c r="G24" s="13" t="s">
        <v>23</v>
      </c>
      <c r="I24" s="16">
        <f t="shared" si="5"/>
        <v>21</v>
      </c>
      <c r="J24" s="16" t="str">
        <f>IF(C44=0,"",CONCATENATE(C44," ; ",C45))</f>
        <v/>
      </c>
      <c r="K24" s="180">
        <f ca="1">IF(ISBLANK(J24),0+I24/1000,B45)</f>
        <v>4.1500000000000002E-2</v>
      </c>
      <c r="L24" s="14">
        <f t="shared" ca="1" si="6"/>
        <v>12</v>
      </c>
      <c r="M24" s="181">
        <f t="shared" si="9"/>
        <v>21</v>
      </c>
      <c r="N24" s="20" t="str">
        <f t="shared" ca="1" si="7"/>
        <v/>
      </c>
      <c r="O24" s="16">
        <f t="shared" ca="1" si="1"/>
        <v>3</v>
      </c>
      <c r="P24" s="16">
        <f ca="1">IF(O24=0,0,COUNTIF(O$4:O24,O24))</f>
        <v>7</v>
      </c>
      <c r="Q24" s="24" t="str">
        <f t="shared" ca="1" si="8"/>
        <v>3&amp;7</v>
      </c>
      <c r="R24" s="23">
        <v>7</v>
      </c>
      <c r="S24" s="26" t="str">
        <f ca="1">IF(IF(S$16+($R24-1)*N_groups&gt;$F$1,0,IF(S$16&gt;N_groups,0,S$16+($R24-1)*N_groups))=0,"",OFFSET($N$3,IF(S$16+($R24-1)*N_groups&gt;$F$1,0,IF(S$16&gt;N_groups,0,S$16+($R24-1)*N_groups)),0))</f>
        <v/>
      </c>
      <c r="T24" s="26" t="str">
        <f ca="1">IF(IF(T$16+($R24-1)*N_groups&gt;$F$1,0,IF(T$16&gt;N_groups,0,T$16+($R24-1)*N_groups))=0,"",OFFSET($N$3,IF(T$16+($R24-1)*N_groups&gt;$F$1,0,IF(T$16&gt;N_groups,0,T$16+($R24-1)*N_groups)),0))</f>
        <v/>
      </c>
      <c r="U24" s="26" t="str">
        <f ca="1">IF(IF(U$16+($R24-1)*N_groups&gt;$F$1,0,IF(U$16&gt;N_groups,0,U$16+($R24-1)*N_groups))=0,"",OFFSET($N$3,IF(U$16+($R24-1)*N_groups&gt;$F$1,0,IF(U$16&gt;N_groups,0,U$16+($R24-1)*N_groups)),0))</f>
        <v/>
      </c>
      <c r="V24" s="26" t="str">
        <f ca="1">IF(IF(V$16+($R24-1)*N_groups&gt;$F$1,0,IF(V$16&gt;N_groups,0,V$16+($R24-1)*N_groups))=0,"",OFFSET($N$3,IF(V$16+($R24-1)*N_groups&gt;$F$1,0,IF(V$16&gt;N_groups,0,V$16+($R24-1)*N_groups)),0))</f>
        <v/>
      </c>
      <c r="W24" s="26" t="str">
        <f t="shared" ca="1" si="13"/>
        <v/>
      </c>
      <c r="X24" s="26" t="str">
        <f t="shared" ca="1" si="13"/>
        <v/>
      </c>
      <c r="Y24" s="26" t="str">
        <f t="shared" ca="1" si="13"/>
        <v/>
      </c>
      <c r="Z24" s="26" t="str">
        <f t="shared" ca="1" si="13"/>
        <v/>
      </c>
      <c r="AA24" s="26" t="str">
        <f t="shared" ca="1" si="13"/>
        <v/>
      </c>
      <c r="AB24" s="26" t="str">
        <f t="shared" ca="1" si="13"/>
        <v/>
      </c>
      <c r="AC24" s="26" t="str">
        <f t="shared" ca="1" si="13"/>
        <v/>
      </c>
      <c r="AD24" s="26" t="str">
        <f t="shared" ca="1" si="13"/>
        <v/>
      </c>
      <c r="AE24" s="26" t="str">
        <f t="shared" ca="1" si="13"/>
        <v/>
      </c>
      <c r="AF24" s="26" t="str">
        <f t="shared" ca="1" si="13"/>
        <v/>
      </c>
      <c r="AG24" s="26" t="str">
        <f t="shared" ca="1" si="13"/>
        <v/>
      </c>
      <c r="AH24" s="26" t="str">
        <f t="shared" ca="1" si="13"/>
        <v/>
      </c>
    </row>
    <row r="25" spans="1:34" s="16" customFormat="1" ht="12.95" customHeight="1">
      <c r="A25" s="13">
        <f t="shared" si="3"/>
        <v>22</v>
      </c>
      <c r="B25" s="13">
        <f t="shared" ref="B25:B67" ca="1" si="14">(D24+D25)/2</f>
        <v>2.1499999999999998E-2</v>
      </c>
      <c r="C25"/>
      <c r="D25" s="29">
        <f ca="1">IF(ISBLANK(C25),0+A25/1000,OFFSET(Rating!$E$1,MATCH(C25,NameListBMZ,0),0)+A25/1000)</f>
        <v>2.1999999999999999E-2</v>
      </c>
      <c r="E25" s="14">
        <f t="shared" ca="1" si="10"/>
        <v>43</v>
      </c>
      <c r="F25" s="15">
        <f t="shared" si="12"/>
        <v>0</v>
      </c>
      <c r="G25" s="13" t="s">
        <v>23</v>
      </c>
      <c r="I25" s="16">
        <f t="shared" si="5"/>
        <v>22</v>
      </c>
      <c r="J25" s="16" t="str">
        <f>IF(C46=0,"",CONCATENATE(C46," ; ",C47))</f>
        <v/>
      </c>
      <c r="K25" s="180">
        <f ca="1">IF(ISBLANK(J25),0+I25/1000,B47)</f>
        <v>4.3499999999999997E-2</v>
      </c>
      <c r="L25" s="14">
        <f t="shared" ca="1" si="6"/>
        <v>11</v>
      </c>
      <c r="M25" s="181">
        <f t="shared" si="9"/>
        <v>22</v>
      </c>
      <c r="N25" s="20" t="str">
        <f t="shared" ca="1" si="7"/>
        <v/>
      </c>
      <c r="O25" s="16">
        <f t="shared" ca="1" si="1"/>
        <v>3</v>
      </c>
      <c r="P25" s="16">
        <f ca="1">IF(O25=0,0,COUNTIF(O$4:O25,O25))</f>
        <v>8</v>
      </c>
      <c r="Q25" s="24" t="str">
        <f t="shared" ca="1" si="8"/>
        <v>3&amp;8</v>
      </c>
      <c r="R25" s="23">
        <v>8</v>
      </c>
      <c r="S25" s="26" t="str">
        <f ca="1">IF(IF(S$16+($R25-1)*N_groups&gt;$F$1,0,IF(S$16&gt;N_groups,0,S$16+($R25-1)*N_groups))=0,"",OFFSET($N$3,IF(S$16+($R25-1)*N_groups&gt;$F$1,0,IF(S$16&gt;N_groups,0,S$16+($R25-1)*N_groups)),0))</f>
        <v/>
      </c>
      <c r="T25" s="26" t="str">
        <f ca="1">IF(IF(T$16+($R25-1)*N_groups&gt;$F$1,0,IF(T$16&gt;N_groups,0,T$16+($R25-1)*N_groups))=0,"",OFFSET($N$3,IF(T$16+($R25-1)*N_groups&gt;$F$1,0,IF(T$16&gt;N_groups,0,T$16+($R25-1)*N_groups)),0))</f>
        <v/>
      </c>
      <c r="U25" s="26" t="str">
        <f ca="1">IF(IF(U$16+($R25-1)*N_groups&gt;$F$1,0,IF(U$16&gt;N_groups,0,U$16+($R25-1)*N_groups))=0,"",OFFSET($N$3,IF(U$16+($R25-1)*N_groups&gt;$F$1,0,IF(U$16&gt;N_groups,0,U$16+($R25-1)*N_groups)),0))</f>
        <v/>
      </c>
      <c r="V25" s="26" t="str">
        <f ca="1">IF(IF(V$16+($R25-1)*N_groups&gt;$F$1,0,IF(V$16&gt;N_groups,0,V$16+($R25-1)*N_groups))=0,"",OFFSET($N$3,IF(V$16+($R25-1)*N_groups&gt;$F$1,0,IF(V$16&gt;N_groups,0,V$16+($R25-1)*N_groups)),0))</f>
        <v/>
      </c>
      <c r="W25" s="26" t="str">
        <f t="shared" ca="1" si="13"/>
        <v/>
      </c>
      <c r="X25" s="26" t="str">
        <f t="shared" ca="1" si="13"/>
        <v/>
      </c>
      <c r="Y25" s="26" t="str">
        <f t="shared" ca="1" si="13"/>
        <v/>
      </c>
      <c r="Z25" s="26" t="str">
        <f t="shared" ca="1" si="13"/>
        <v/>
      </c>
      <c r="AA25" s="26" t="str">
        <f t="shared" ca="1" si="13"/>
        <v/>
      </c>
      <c r="AB25" s="26" t="str">
        <f t="shared" ca="1" si="13"/>
        <v/>
      </c>
      <c r="AC25" s="26" t="str">
        <f t="shared" ca="1" si="13"/>
        <v/>
      </c>
      <c r="AD25" s="26" t="str">
        <f t="shared" ca="1" si="13"/>
        <v/>
      </c>
      <c r="AE25" s="26" t="str">
        <f t="shared" ca="1" si="13"/>
        <v/>
      </c>
      <c r="AF25" s="26" t="str">
        <f t="shared" ca="1" si="13"/>
        <v/>
      </c>
      <c r="AG25" s="26" t="str">
        <f t="shared" ca="1" si="13"/>
        <v/>
      </c>
      <c r="AH25" s="26" t="str">
        <f t="shared" ca="1" si="13"/>
        <v/>
      </c>
    </row>
    <row r="26" spans="1:34" s="16" customFormat="1" ht="12.95" customHeight="1">
      <c r="A26" s="13">
        <f t="shared" si="3"/>
        <v>23</v>
      </c>
      <c r="B26" s="13">
        <f ca="1">B27+0.0011</f>
        <v>2.46E-2</v>
      </c>
      <c r="C26"/>
      <c r="D26" s="29">
        <f ca="1">IF(ISBLANK(C26),0+A26/1000,OFFSET(Rating!$E$1,MATCH(C26,NameListBMZ,0),0)+A26/1000)</f>
        <v>2.3E-2</v>
      </c>
      <c r="E26" s="14">
        <f t="shared" ca="1" si="10"/>
        <v>42</v>
      </c>
      <c r="F26" s="15">
        <f t="shared" si="12"/>
        <v>0</v>
      </c>
      <c r="G26" s="13" t="s">
        <v>23</v>
      </c>
      <c r="I26" s="16">
        <f t="shared" si="5"/>
        <v>23</v>
      </c>
      <c r="J26" s="16" t="str">
        <f>IF(C48=0,"",CONCATENATE(C48," ; ",C49))</f>
        <v/>
      </c>
      <c r="K26" s="180">
        <f ca="1">IF(ISBLANK(J26),0+I26/1000,B49)</f>
        <v>4.5499999999999999E-2</v>
      </c>
      <c r="L26" s="14">
        <f t="shared" ca="1" si="6"/>
        <v>10</v>
      </c>
      <c r="M26" s="181">
        <f t="shared" si="9"/>
        <v>23</v>
      </c>
      <c r="N26" s="20" t="str">
        <f t="shared" ca="1" si="7"/>
        <v/>
      </c>
      <c r="O26" s="16">
        <f t="shared" ca="1" si="1"/>
        <v>2</v>
      </c>
      <c r="P26" s="16">
        <f ca="1">IF(O26=0,0,COUNTIF(O$4:O26,O26))</f>
        <v>8</v>
      </c>
      <c r="Q26" s="24" t="str">
        <f t="shared" ca="1" si="8"/>
        <v>2&amp;8</v>
      </c>
      <c r="R26" s="23">
        <v>9</v>
      </c>
      <c r="S26" s="26" t="str">
        <f ca="1">IF(IF(S$16+($R26-1)*N_groups&gt;$F$1,0,IF(S$16&gt;N_groups,0,S$16+($R26-1)*N_groups))=0,"",OFFSET($N$3,IF(S$16+($R26-1)*N_groups&gt;$F$1,0,IF(S$16&gt;N_groups,0,S$16+($R26-1)*N_groups)),0))</f>
        <v/>
      </c>
      <c r="T26" s="26" t="str">
        <f ca="1">IF(IF(T$16+($R26-1)*N_groups&gt;$F$1,0,IF(T$16&gt;N_groups,0,T$16+($R26-1)*N_groups))=0,"",OFFSET($N$3,IF(T$16+($R26-1)*N_groups&gt;$F$1,0,IF(T$16&gt;N_groups,0,T$16+($R26-1)*N_groups)),0))</f>
        <v/>
      </c>
      <c r="U26" s="26" t="str">
        <f ca="1">IF(IF(U$16+($R26-1)*N_groups&gt;$F$1,0,IF(U$16&gt;N_groups,0,U$16+($R26-1)*N_groups))=0,"",OFFSET($N$3,IF(U$16+($R26-1)*N_groups&gt;$F$1,0,IF(U$16&gt;N_groups,0,U$16+($R26-1)*N_groups)),0))</f>
        <v/>
      </c>
      <c r="V26" s="26" t="str">
        <f ca="1">IF(IF(V$16+($R26-1)*N_groups&gt;$F$1,0,IF(V$16&gt;N_groups,0,V$16+($R26-1)*N_groups))=0,"",OFFSET($N$3,IF(V$16+($R26-1)*N_groups&gt;$F$1,0,IF(V$16&gt;N_groups,0,V$16+($R26-1)*N_groups)),0))</f>
        <v/>
      </c>
      <c r="W26" s="26" t="str">
        <f t="shared" ca="1" si="13"/>
        <v/>
      </c>
      <c r="X26" s="26" t="str">
        <f t="shared" ca="1" si="13"/>
        <v/>
      </c>
      <c r="Y26" s="26" t="str">
        <f t="shared" ca="1" si="13"/>
        <v/>
      </c>
      <c r="Z26" s="26" t="str">
        <f t="shared" ca="1" si="13"/>
        <v/>
      </c>
      <c r="AA26" s="26" t="str">
        <f t="shared" ca="1" si="13"/>
        <v/>
      </c>
      <c r="AB26" s="26" t="str">
        <f t="shared" ca="1" si="13"/>
        <v/>
      </c>
      <c r="AC26" s="26" t="str">
        <f t="shared" ca="1" si="13"/>
        <v/>
      </c>
      <c r="AD26" s="26" t="str">
        <f t="shared" ca="1" si="13"/>
        <v/>
      </c>
      <c r="AE26" s="26" t="str">
        <f t="shared" ca="1" si="13"/>
        <v/>
      </c>
      <c r="AF26" s="26" t="str">
        <f t="shared" ca="1" si="13"/>
        <v/>
      </c>
      <c r="AG26" s="26" t="str">
        <f t="shared" ca="1" si="13"/>
        <v/>
      </c>
      <c r="AH26" s="26" t="str">
        <f t="shared" ca="1" si="13"/>
        <v/>
      </c>
    </row>
    <row r="27" spans="1:34" s="16" customFormat="1" ht="12.95" customHeight="1">
      <c r="A27" s="13">
        <f t="shared" si="3"/>
        <v>24</v>
      </c>
      <c r="B27" s="13">
        <f t="shared" ca="1" si="14"/>
        <v>2.35E-2</v>
      </c>
      <c r="C27"/>
      <c r="D27" s="29">
        <f ca="1">IF(ISBLANK(C27),0+A27/1000,OFFSET(Rating!$E$1,MATCH(C27,NameListBMZ,0),0)+A27/1000)</f>
        <v>2.4E-2</v>
      </c>
      <c r="E27" s="14">
        <f t="shared" ca="1" si="10"/>
        <v>41</v>
      </c>
      <c r="F27" s="15">
        <f t="shared" si="12"/>
        <v>0</v>
      </c>
      <c r="G27" s="13" t="s">
        <v>23</v>
      </c>
      <c r="I27" s="16">
        <f t="shared" si="5"/>
        <v>24</v>
      </c>
      <c r="J27" s="16" t="str">
        <f>IF(C50=0,"",CONCATENATE(C50," ; ",C51))</f>
        <v/>
      </c>
      <c r="K27" s="180">
        <f ca="1">IF(ISBLANK(J27),0+I27/1000,B51)</f>
        <v>4.7500000000000001E-2</v>
      </c>
      <c r="L27" s="14">
        <f t="shared" ca="1" si="6"/>
        <v>9</v>
      </c>
      <c r="M27" s="181">
        <f t="shared" si="9"/>
        <v>24</v>
      </c>
      <c r="N27" s="20" t="str">
        <f t="shared" ca="1" si="7"/>
        <v/>
      </c>
      <c r="O27" s="16">
        <f t="shared" ca="1" si="1"/>
        <v>1</v>
      </c>
      <c r="P27" s="16">
        <f ca="1">IF(O27=0,0,COUNTIF(O$4:O27,O27))</f>
        <v>8</v>
      </c>
      <c r="Q27" s="24" t="str">
        <f t="shared" ca="1" si="8"/>
        <v>1&amp;8</v>
      </c>
      <c r="R27" s="23">
        <v>10</v>
      </c>
      <c r="S27" s="26" t="str">
        <f ca="1">IF(IF(S$16+($R27-1)*N_groups&gt;$F$1,0,IF(S$16&gt;N_groups,0,S$16+($R27-1)*N_groups))=0,"",OFFSET($N$3,IF(S$16+($R27-1)*N_groups&gt;$F$1,0,IF(S$16&gt;N_groups,0,S$16+($R27-1)*N_groups)),0))</f>
        <v/>
      </c>
      <c r="T27" s="26" t="str">
        <f ca="1">IF(IF(T$16+($R27-1)*N_groups&gt;$F$1,0,IF(T$16&gt;N_groups,0,T$16+($R27-1)*N_groups))=0,"",OFFSET($N$3,IF(T$16+($R27-1)*N_groups&gt;$F$1,0,IF(T$16&gt;N_groups,0,T$16+($R27-1)*N_groups)),0))</f>
        <v/>
      </c>
      <c r="U27" s="26" t="str">
        <f ca="1">IF(IF(U$16+($R27-1)*N_groups&gt;$F$1,0,IF(U$16&gt;N_groups,0,U$16+($R27-1)*N_groups))=0,"",OFFSET($N$3,IF(U$16+($R27-1)*N_groups&gt;$F$1,0,IF(U$16&gt;N_groups,0,U$16+($R27-1)*N_groups)),0))</f>
        <v/>
      </c>
      <c r="V27" s="26" t="str">
        <f ca="1">IF(IF(V$16+($R27-1)*N_groups&gt;$F$1,0,IF(V$16&gt;N_groups,0,V$16+($R27-1)*N_groups))=0,"",OFFSET($N$3,IF(V$16+($R27-1)*N_groups&gt;$F$1,0,IF(V$16&gt;N_groups,0,V$16+($R27-1)*N_groups)),0))</f>
        <v/>
      </c>
      <c r="W27" s="26" t="str">
        <f t="shared" ca="1" si="13"/>
        <v/>
      </c>
      <c r="X27" s="26" t="str">
        <f t="shared" ca="1" si="13"/>
        <v/>
      </c>
      <c r="Y27" s="26" t="str">
        <f t="shared" ca="1" si="13"/>
        <v/>
      </c>
      <c r="Z27" s="26" t="str">
        <f t="shared" ca="1" si="13"/>
        <v/>
      </c>
      <c r="AA27" s="26" t="str">
        <f t="shared" ca="1" si="13"/>
        <v/>
      </c>
      <c r="AB27" s="26" t="str">
        <f t="shared" ca="1" si="13"/>
        <v/>
      </c>
      <c r="AC27" s="26" t="str">
        <f t="shared" ca="1" si="13"/>
        <v/>
      </c>
      <c r="AD27" s="26" t="str">
        <f t="shared" ca="1" si="13"/>
        <v/>
      </c>
      <c r="AE27" s="26" t="str">
        <f t="shared" ca="1" si="13"/>
        <v/>
      </c>
      <c r="AF27" s="26" t="str">
        <f t="shared" ca="1" si="13"/>
        <v/>
      </c>
      <c r="AG27" s="26" t="str">
        <f t="shared" ca="1" si="13"/>
        <v/>
      </c>
      <c r="AH27" s="26" t="str">
        <f t="shared" ca="1" si="13"/>
        <v/>
      </c>
    </row>
    <row r="28" spans="1:34" s="16" customFormat="1" ht="12.95" customHeight="1">
      <c r="A28" s="13">
        <f t="shared" si="3"/>
        <v>25</v>
      </c>
      <c r="B28" s="13">
        <f ca="1">B29+0.0011</f>
        <v>2.6600000000000002E-2</v>
      </c>
      <c r="C28"/>
      <c r="D28" s="29">
        <f ca="1">IF(ISBLANK(C28),0+A28/1000,OFFSET(Rating!$E$1,MATCH(C28,NameListBMZ,0),0)+A28/1000)</f>
        <v>2.5000000000000001E-2</v>
      </c>
      <c r="E28" s="14">
        <f t="shared" ca="1" si="10"/>
        <v>40</v>
      </c>
      <c r="F28" s="15">
        <f t="shared" si="12"/>
        <v>0</v>
      </c>
      <c r="G28" s="13" t="s">
        <v>23</v>
      </c>
      <c r="I28" s="16">
        <f t="shared" si="5"/>
        <v>25</v>
      </c>
      <c r="J28" s="16" t="str">
        <f>IF(C52=0,"",CONCATENATE(C52," ; ",C53))</f>
        <v/>
      </c>
      <c r="K28" s="180">
        <f ca="1">IF(ISBLANK(J28),0+I28/1000,B53)</f>
        <v>4.9500000000000002E-2</v>
      </c>
      <c r="L28" s="14">
        <f t="shared" ca="1" si="6"/>
        <v>8</v>
      </c>
      <c r="M28" s="181">
        <f t="shared" si="9"/>
        <v>25</v>
      </c>
      <c r="N28" s="20" t="str">
        <f t="shared" ca="1" si="7"/>
        <v/>
      </c>
      <c r="O28" s="16">
        <f t="shared" ca="1" si="1"/>
        <v>1</v>
      </c>
      <c r="P28" s="16">
        <f ca="1">IF(O28=0,0,COUNTIF(O$4:O28,O28))</f>
        <v>9</v>
      </c>
      <c r="Q28" s="24" t="str">
        <f t="shared" ca="1" si="8"/>
        <v>1&amp;9</v>
      </c>
    </row>
    <row r="29" spans="1:34" s="16" customFormat="1" ht="12.95" customHeight="1">
      <c r="A29" s="13">
        <f t="shared" si="3"/>
        <v>26</v>
      </c>
      <c r="B29" s="13">
        <f t="shared" ca="1" si="14"/>
        <v>2.5500000000000002E-2</v>
      </c>
      <c r="C29"/>
      <c r="D29" s="29">
        <f ca="1">IF(ISBLANK(C29),0+A29/1000,OFFSET(Rating!$E$1,MATCH(C29,NameListBMZ,0),0)+A29/1000)</f>
        <v>2.5999999999999999E-2</v>
      </c>
      <c r="E29" s="14">
        <f t="shared" ca="1" si="10"/>
        <v>39</v>
      </c>
      <c r="F29" s="15">
        <f t="shared" si="12"/>
        <v>0</v>
      </c>
      <c r="G29" s="13" t="s">
        <v>23</v>
      </c>
      <c r="I29" s="16">
        <f t="shared" si="5"/>
        <v>26</v>
      </c>
      <c r="J29" s="16" t="str">
        <f>IF(C54=0,"",CONCATENATE(C54," ; ",C55))</f>
        <v/>
      </c>
      <c r="K29" s="180">
        <f ca="1">IF(ISBLANK(J29),0+I29/1000,B55)</f>
        <v>5.1499999999999997E-2</v>
      </c>
      <c r="L29" s="14">
        <f t="shared" ca="1" si="6"/>
        <v>7</v>
      </c>
      <c r="M29" s="181">
        <f t="shared" si="9"/>
        <v>26</v>
      </c>
      <c r="N29" s="20" t="str">
        <f t="shared" ca="1" si="7"/>
        <v/>
      </c>
      <c r="O29" s="16">
        <f t="shared" ca="1" si="1"/>
        <v>2</v>
      </c>
      <c r="P29" s="16">
        <f ca="1">IF(O29=0,0,COUNTIF(O$4:O29,O29))</f>
        <v>9</v>
      </c>
      <c r="Q29" s="24" t="str">
        <f t="shared" ca="1" si="8"/>
        <v>2&amp;9</v>
      </c>
      <c r="S29" s="27" t="s">
        <v>42</v>
      </c>
      <c r="T29" s="6" t="s">
        <v>40</v>
      </c>
      <c r="U29" s="16">
        <f>IF(T29="ЗМЕЙКОЙ",0,-ROW(S3)+ROW(S17))</f>
        <v>0</v>
      </c>
    </row>
    <row r="30" spans="1:34" s="16" customFormat="1" ht="12.95" customHeight="1">
      <c r="A30" s="13">
        <f t="shared" si="3"/>
        <v>27</v>
      </c>
      <c r="B30" s="13">
        <f ca="1">B31+0.0011</f>
        <v>2.86E-2</v>
      </c>
      <c r="C30"/>
      <c r="D30" s="29">
        <f ca="1">IF(ISBLANK(C30),0+A30/1000,OFFSET(Rating!$E$1,MATCH(C30,NameListBMZ,0),0)+A30/1000)</f>
        <v>2.7E-2</v>
      </c>
      <c r="E30" s="14">
        <f t="shared" ca="1" si="10"/>
        <v>38</v>
      </c>
      <c r="F30" s="15">
        <f t="shared" si="12"/>
        <v>0</v>
      </c>
      <c r="G30" s="13" t="s">
        <v>23</v>
      </c>
      <c r="I30" s="16">
        <f t="shared" si="5"/>
        <v>27</v>
      </c>
      <c r="J30" s="16" t="str">
        <f>IF(C56=0,"",CONCATENATE(C56," ; ",C57))</f>
        <v/>
      </c>
      <c r="K30" s="180">
        <f ca="1">IF(ISBLANK(J30),0+I30/1000,B57)</f>
        <v>5.3499999999999999E-2</v>
      </c>
      <c r="L30" s="14">
        <f t="shared" ca="1" si="6"/>
        <v>6</v>
      </c>
      <c r="M30" s="181">
        <f t="shared" si="9"/>
        <v>27</v>
      </c>
      <c r="N30" s="20" t="str">
        <f t="shared" ca="1" si="7"/>
        <v/>
      </c>
      <c r="O30" s="16">
        <f t="shared" ca="1" si="1"/>
        <v>3</v>
      </c>
      <c r="P30" s="16">
        <f ca="1">IF(O30=0,0,COUNTIF(O$4:O30,O30))</f>
        <v>9</v>
      </c>
      <c r="Q30" s="24" t="str">
        <f t="shared" ca="1" si="8"/>
        <v>3&amp;9</v>
      </c>
    </row>
    <row r="31" spans="1:34" s="16" customFormat="1" ht="12.95" customHeight="1">
      <c r="A31" s="13">
        <f t="shared" si="3"/>
        <v>28</v>
      </c>
      <c r="B31" s="13">
        <f t="shared" ca="1" si="14"/>
        <v>2.75E-2</v>
      </c>
      <c r="C31"/>
      <c r="D31" s="29">
        <f ca="1">IF(ISBLANK(C31),0+A31/1000,OFFSET(Rating!$E$1,MATCH(C31,NameListBMZ,0),0)+A31/1000)</f>
        <v>2.8000000000000001E-2</v>
      </c>
      <c r="E31" s="14">
        <f t="shared" ca="1" si="10"/>
        <v>37</v>
      </c>
      <c r="F31" s="15">
        <f t="shared" si="12"/>
        <v>0</v>
      </c>
      <c r="G31" s="13" t="s">
        <v>23</v>
      </c>
      <c r="I31" s="16">
        <f t="shared" si="5"/>
        <v>28</v>
      </c>
      <c r="J31" s="16" t="str">
        <f>IF(C58=0,"",CONCATENATE(C58," ; ",C59))</f>
        <v/>
      </c>
      <c r="K31" s="180">
        <f ca="1">IF(ISBLANK(J31),0+I31/1000,B59)</f>
        <v>5.5500000000000001E-2</v>
      </c>
      <c r="L31" s="14">
        <f t="shared" ca="1" si="6"/>
        <v>5</v>
      </c>
      <c r="M31" s="181">
        <f t="shared" si="9"/>
        <v>28</v>
      </c>
      <c r="N31" s="20" t="str">
        <f t="shared" ca="1" si="7"/>
        <v/>
      </c>
      <c r="O31" s="16">
        <f t="shared" ca="1" si="1"/>
        <v>3</v>
      </c>
      <c r="P31" s="16">
        <f ca="1">IF(O31=0,0,COUNTIF(O$4:O31,O31))</f>
        <v>10</v>
      </c>
      <c r="Q31" s="24" t="str">
        <f t="shared" ca="1" si="8"/>
        <v>3&amp;10</v>
      </c>
      <c r="R31" s="6"/>
      <c r="S31" s="22" t="s">
        <v>27</v>
      </c>
      <c r="T31" s="22" t="s">
        <v>28</v>
      </c>
      <c r="U31" s="22" t="s">
        <v>29</v>
      </c>
      <c r="V31" s="22" t="s">
        <v>30</v>
      </c>
      <c r="W31" s="22" t="s">
        <v>31</v>
      </c>
      <c r="X31" s="22" t="s">
        <v>32</v>
      </c>
      <c r="Y31" s="22" t="s">
        <v>33</v>
      </c>
      <c r="Z31" s="22" t="s">
        <v>34</v>
      </c>
      <c r="AA31" s="22" t="s">
        <v>35</v>
      </c>
      <c r="AB31" s="22" t="s">
        <v>36</v>
      </c>
      <c r="AC31" s="22" t="s">
        <v>48</v>
      </c>
      <c r="AD31" s="22" t="s">
        <v>49</v>
      </c>
      <c r="AE31" s="22" t="s">
        <v>50</v>
      </c>
      <c r="AF31" s="22" t="s">
        <v>51</v>
      </c>
      <c r="AG31" s="22" t="s">
        <v>52</v>
      </c>
      <c r="AH31" s="22" t="s">
        <v>53</v>
      </c>
    </row>
    <row r="32" spans="1:34" s="16" customFormat="1" ht="12.95" customHeight="1">
      <c r="A32" s="13">
        <f t="shared" si="3"/>
        <v>29</v>
      </c>
      <c r="B32" s="13">
        <f ca="1">B33+0.0011</f>
        <v>3.0599999999999999E-2</v>
      </c>
      <c r="C32"/>
      <c r="D32" s="29">
        <f ca="1">IF(ISBLANK(C32),0+A32/1000,OFFSET(Rating!$E$1,MATCH(C32,NameListBMZ,0),0)+A32/1000)</f>
        <v>2.9000000000000001E-2</v>
      </c>
      <c r="E32" s="14">
        <f t="shared" ca="1" si="10"/>
        <v>36</v>
      </c>
      <c r="F32" s="15">
        <f t="shared" si="12"/>
        <v>0</v>
      </c>
      <c r="G32" s="13" t="s">
        <v>23</v>
      </c>
      <c r="I32" s="16">
        <f t="shared" si="5"/>
        <v>29</v>
      </c>
      <c r="J32" s="16" t="str">
        <f>IF(C60=0,"",CONCATENATE(C60," ; ",C61))</f>
        <v/>
      </c>
      <c r="K32" s="180">
        <f ca="1">IF(ISBLANK(J32),0+I32/1000,B61)</f>
        <v>5.7500000000000002E-2</v>
      </c>
      <c r="L32" s="14">
        <f t="shared" ca="1" si="6"/>
        <v>4</v>
      </c>
      <c r="M32" s="181">
        <f t="shared" si="9"/>
        <v>29</v>
      </c>
      <c r="N32" s="20" t="str">
        <f t="shared" ca="1" si="7"/>
        <v/>
      </c>
      <c r="O32" s="16">
        <f t="shared" ca="1" si="1"/>
        <v>2</v>
      </c>
      <c r="P32" s="16">
        <f ca="1">IF(O32=0,0,COUNTIF(O$4:O32,O32))</f>
        <v>10</v>
      </c>
      <c r="Q32" s="24" t="str">
        <f t="shared" ca="1" si="8"/>
        <v>2&amp;10</v>
      </c>
      <c r="R32" s="23">
        <v>1</v>
      </c>
      <c r="S32" s="26" t="str">
        <f t="shared" ref="S32:AH41" ca="1" si="15">OFFSET(S$3,$R32+method_shift,0)</f>
        <v/>
      </c>
      <c r="T32" s="26" t="str">
        <f t="shared" ca="1" si="15"/>
        <v/>
      </c>
      <c r="U32" s="26" t="str">
        <f t="shared" ca="1" si="15"/>
        <v/>
      </c>
      <c r="V32" s="26" t="str">
        <f t="shared" ca="1" si="15"/>
        <v/>
      </c>
      <c r="W32" s="26" t="str">
        <f t="shared" ca="1" si="15"/>
        <v/>
      </c>
      <c r="X32" s="26" t="str">
        <f t="shared" ca="1" si="15"/>
        <v/>
      </c>
      <c r="Y32" s="26" t="str">
        <f t="shared" ca="1" si="15"/>
        <v/>
      </c>
      <c r="Z32" s="26" t="str">
        <f t="shared" ca="1" si="15"/>
        <v/>
      </c>
      <c r="AA32" s="26" t="str">
        <f t="shared" ca="1" si="15"/>
        <v/>
      </c>
      <c r="AB32" s="26" t="str">
        <f t="shared" ca="1" si="15"/>
        <v/>
      </c>
      <c r="AC32" s="26" t="str">
        <f t="shared" ca="1" si="15"/>
        <v/>
      </c>
      <c r="AD32" s="26" t="str">
        <f t="shared" ca="1" si="15"/>
        <v/>
      </c>
      <c r="AE32" s="26" t="str">
        <f t="shared" ca="1" si="15"/>
        <v/>
      </c>
      <c r="AF32" s="26" t="str">
        <f t="shared" ca="1" si="15"/>
        <v/>
      </c>
      <c r="AG32" s="26" t="str">
        <f t="shared" ca="1" si="15"/>
        <v/>
      </c>
      <c r="AH32" s="26" t="str">
        <f t="shared" ca="1" si="15"/>
        <v/>
      </c>
    </row>
    <row r="33" spans="1:34" s="16" customFormat="1" ht="12.95" customHeight="1">
      <c r="A33" s="13">
        <f t="shared" si="3"/>
        <v>30</v>
      </c>
      <c r="B33" s="13">
        <f t="shared" ca="1" si="14"/>
        <v>2.9499999999999998E-2</v>
      </c>
      <c r="C33"/>
      <c r="D33" s="29">
        <f ca="1">IF(ISBLANK(C33),0+A33/1000,OFFSET(Rating!$E$1,MATCH(C33,NameListBMZ,0),0)+A33/1000)</f>
        <v>0.03</v>
      </c>
      <c r="E33" s="14">
        <f t="shared" ca="1" si="10"/>
        <v>35</v>
      </c>
      <c r="F33" s="15">
        <f t="shared" si="12"/>
        <v>0</v>
      </c>
      <c r="G33" s="13" t="s">
        <v>23</v>
      </c>
      <c r="I33" s="16">
        <f t="shared" si="5"/>
        <v>30</v>
      </c>
      <c r="J33" s="16" t="str">
        <f>IF(C62=0,"",CONCATENATE(C62," ; ",C63))</f>
        <v/>
      </c>
      <c r="K33" s="180">
        <f ca="1">IF(ISBLANK(J33),0+I33/1000,B63)</f>
        <v>5.9499999999999997E-2</v>
      </c>
      <c r="L33" s="14">
        <f t="shared" ca="1" si="6"/>
        <v>3</v>
      </c>
      <c r="M33" s="181">
        <f t="shared" si="9"/>
        <v>30</v>
      </c>
      <c r="N33" s="20" t="str">
        <f t="shared" ca="1" si="7"/>
        <v/>
      </c>
      <c r="O33" s="16">
        <f t="shared" ca="1" si="1"/>
        <v>1</v>
      </c>
      <c r="P33" s="16">
        <f ca="1">IF(O33=0,0,COUNTIF(O$4:O33,O33))</f>
        <v>10</v>
      </c>
      <c r="Q33" s="24" t="str">
        <f t="shared" ca="1" si="8"/>
        <v>1&amp;10</v>
      </c>
      <c r="R33" s="23">
        <v>2</v>
      </c>
      <c r="S33" s="26" t="str">
        <f t="shared" ca="1" si="15"/>
        <v/>
      </c>
      <c r="T33" s="26" t="str">
        <f t="shared" ca="1" si="15"/>
        <v/>
      </c>
      <c r="U33" s="26" t="str">
        <f t="shared" ca="1" si="15"/>
        <v/>
      </c>
      <c r="V33" s="26" t="str">
        <f t="shared" ca="1" si="15"/>
        <v/>
      </c>
      <c r="W33" s="26" t="str">
        <f t="shared" ca="1" si="15"/>
        <v/>
      </c>
      <c r="X33" s="26" t="str">
        <f t="shared" ca="1" si="15"/>
        <v/>
      </c>
      <c r="Y33" s="26" t="str">
        <f t="shared" ca="1" si="15"/>
        <v/>
      </c>
      <c r="Z33" s="26" t="str">
        <f t="shared" ca="1" si="15"/>
        <v/>
      </c>
      <c r="AA33" s="26" t="str">
        <f t="shared" ca="1" si="15"/>
        <v/>
      </c>
      <c r="AB33" s="26" t="str">
        <f t="shared" ca="1" si="15"/>
        <v/>
      </c>
      <c r="AC33" s="26" t="str">
        <f t="shared" ca="1" si="15"/>
        <v/>
      </c>
      <c r="AD33" s="26" t="str">
        <f t="shared" ca="1" si="15"/>
        <v/>
      </c>
      <c r="AE33" s="26" t="str">
        <f t="shared" ca="1" si="15"/>
        <v/>
      </c>
      <c r="AF33" s="26" t="str">
        <f t="shared" ca="1" si="15"/>
        <v/>
      </c>
      <c r="AG33" s="26" t="str">
        <f t="shared" ca="1" si="15"/>
        <v/>
      </c>
      <c r="AH33" s="26" t="str">
        <f t="shared" ca="1" si="15"/>
        <v/>
      </c>
    </row>
    <row r="34" spans="1:34" s="16" customFormat="1" ht="12.95" customHeight="1">
      <c r="A34" s="13">
        <f t="shared" si="3"/>
        <v>31</v>
      </c>
      <c r="B34" s="13">
        <f ca="1">B35+0.0011</f>
        <v>3.2599999999999997E-2</v>
      </c>
      <c r="C34"/>
      <c r="D34" s="29">
        <f ca="1">IF(ISBLANK(C34),0+A34/1000,OFFSET(Rating!$E$1,MATCH(C34,NameListBMZ,0),0)+A34/1000)</f>
        <v>3.1E-2</v>
      </c>
      <c r="E34" s="14">
        <f t="shared" ca="1" si="10"/>
        <v>34</v>
      </c>
      <c r="F34" s="15">
        <f t="shared" si="12"/>
        <v>0</v>
      </c>
      <c r="G34" s="13" t="s">
        <v>23</v>
      </c>
      <c r="I34" s="16">
        <f t="shared" si="5"/>
        <v>31</v>
      </c>
      <c r="J34" s="16" t="str">
        <f>IF(C64=0,"",CONCATENATE(C64," ; ",C65))</f>
        <v/>
      </c>
      <c r="K34" s="180">
        <f ca="1">IF(ISBLANK(J34),0+I34/1000,B65)</f>
        <v>6.1499999999999999E-2</v>
      </c>
      <c r="L34" s="14">
        <f t="shared" ca="1" si="6"/>
        <v>2</v>
      </c>
      <c r="M34" s="181">
        <f t="shared" si="9"/>
        <v>31</v>
      </c>
      <c r="N34" s="20" t="str">
        <f t="shared" ca="1" si="7"/>
        <v/>
      </c>
      <c r="O34" s="16">
        <f t="shared" ca="1" si="1"/>
        <v>1</v>
      </c>
      <c r="P34" s="16">
        <f ca="1">IF(O34=0,0,COUNTIF(O$4:O34,O34))</f>
        <v>11</v>
      </c>
      <c r="Q34" s="24" t="str">
        <f t="shared" ca="1" si="8"/>
        <v>1&amp;11</v>
      </c>
      <c r="R34" s="23">
        <v>3</v>
      </c>
      <c r="S34" s="26" t="str">
        <f t="shared" ca="1" si="15"/>
        <v/>
      </c>
      <c r="T34" s="26" t="str">
        <f t="shared" ca="1" si="15"/>
        <v/>
      </c>
      <c r="U34" s="26" t="str">
        <f t="shared" ca="1" si="15"/>
        <v/>
      </c>
      <c r="V34" s="26" t="str">
        <f t="shared" ca="1" si="15"/>
        <v/>
      </c>
      <c r="W34" s="26" t="str">
        <f t="shared" ca="1" si="15"/>
        <v/>
      </c>
      <c r="X34" s="26" t="str">
        <f t="shared" ca="1" si="15"/>
        <v/>
      </c>
      <c r="Y34" s="26" t="str">
        <f t="shared" ca="1" si="15"/>
        <v/>
      </c>
      <c r="Z34" s="26" t="str">
        <f t="shared" ca="1" si="15"/>
        <v/>
      </c>
      <c r="AA34" s="26" t="str">
        <f t="shared" ca="1" si="15"/>
        <v/>
      </c>
      <c r="AB34" s="26" t="str">
        <f t="shared" ca="1" si="15"/>
        <v/>
      </c>
      <c r="AC34" s="26" t="str">
        <f t="shared" ca="1" si="15"/>
        <v/>
      </c>
      <c r="AD34" s="26" t="str">
        <f t="shared" ca="1" si="15"/>
        <v/>
      </c>
      <c r="AE34" s="26" t="str">
        <f t="shared" ca="1" si="15"/>
        <v/>
      </c>
      <c r="AF34" s="26" t="str">
        <f t="shared" ca="1" si="15"/>
        <v/>
      </c>
      <c r="AG34" s="26" t="str">
        <f t="shared" ca="1" si="15"/>
        <v/>
      </c>
      <c r="AH34" s="26" t="str">
        <f t="shared" ca="1" si="15"/>
        <v/>
      </c>
    </row>
    <row r="35" spans="1:34" s="16" customFormat="1" ht="12.95" customHeight="1">
      <c r="A35" s="13">
        <f t="shared" si="3"/>
        <v>32</v>
      </c>
      <c r="B35" s="13">
        <f t="shared" ca="1" si="14"/>
        <v>3.15E-2</v>
      </c>
      <c r="C35"/>
      <c r="D35" s="29">
        <f ca="1">IF(ISBLANK(C35),0+A35/1000,OFFSET(Rating!$E$1,MATCH(C35,NameListBMZ,0),0)+A35/1000)</f>
        <v>3.2000000000000001E-2</v>
      </c>
      <c r="E35" s="14">
        <f t="shared" ca="1" si="10"/>
        <v>33</v>
      </c>
      <c r="F35" s="15">
        <f t="shared" si="12"/>
        <v>0</v>
      </c>
      <c r="G35" s="13" t="s">
        <v>23</v>
      </c>
      <c r="I35" s="16">
        <f t="shared" si="5"/>
        <v>32</v>
      </c>
      <c r="J35" s="16" t="str">
        <f>IF(C66=0,"",CONCATENATE(C66," ; ",C67))</f>
        <v/>
      </c>
      <c r="K35" s="180">
        <f ca="1">IF(ISBLANK(J35),0+I35/1000,B67)</f>
        <v>6.3500000000000001E-2</v>
      </c>
      <c r="L35" s="14">
        <f t="shared" ca="1" si="6"/>
        <v>1</v>
      </c>
      <c r="M35" s="181">
        <f t="shared" si="9"/>
        <v>32</v>
      </c>
      <c r="N35" s="20" t="str">
        <f t="shared" ca="1" si="7"/>
        <v/>
      </c>
      <c r="O35" s="16">
        <f t="shared" ca="1" si="1"/>
        <v>2</v>
      </c>
      <c r="P35" s="16">
        <f ca="1">IF(O35=0,0,COUNTIF(O$4:O35,O35))</f>
        <v>11</v>
      </c>
      <c r="Q35" s="24" t="str">
        <f t="shared" ca="1" si="8"/>
        <v>2&amp;11</v>
      </c>
      <c r="R35" s="23">
        <v>4</v>
      </c>
      <c r="S35" s="26" t="str">
        <f t="shared" ca="1" si="15"/>
        <v/>
      </c>
      <c r="T35" s="26" t="str">
        <f t="shared" ca="1" si="15"/>
        <v/>
      </c>
      <c r="U35" s="26" t="str">
        <f t="shared" ca="1" si="15"/>
        <v/>
      </c>
      <c r="V35" s="26" t="str">
        <f t="shared" ca="1" si="15"/>
        <v/>
      </c>
      <c r="W35" s="26" t="str">
        <f t="shared" ca="1" si="15"/>
        <v/>
      </c>
      <c r="X35" s="26" t="str">
        <f t="shared" ca="1" si="15"/>
        <v/>
      </c>
      <c r="Y35" s="26" t="str">
        <f t="shared" ca="1" si="15"/>
        <v/>
      </c>
      <c r="Z35" s="26" t="str">
        <f t="shared" ca="1" si="15"/>
        <v/>
      </c>
      <c r="AA35" s="26" t="str">
        <f t="shared" ca="1" si="15"/>
        <v/>
      </c>
      <c r="AB35" s="26" t="str">
        <f t="shared" ca="1" si="15"/>
        <v/>
      </c>
      <c r="AC35" s="26" t="str">
        <f t="shared" ca="1" si="15"/>
        <v/>
      </c>
      <c r="AD35" s="26" t="str">
        <f t="shared" ca="1" si="15"/>
        <v/>
      </c>
      <c r="AE35" s="26" t="str">
        <f t="shared" ca="1" si="15"/>
        <v/>
      </c>
      <c r="AF35" s="26" t="str">
        <f t="shared" ca="1" si="15"/>
        <v/>
      </c>
      <c r="AG35" s="26" t="str">
        <f t="shared" ca="1" si="15"/>
        <v/>
      </c>
      <c r="AH35" s="26" t="str">
        <f t="shared" ca="1" si="15"/>
        <v/>
      </c>
    </row>
    <row r="36" spans="1:34" s="16" customFormat="1" ht="12.95" customHeight="1">
      <c r="A36" s="13">
        <f t="shared" si="3"/>
        <v>33</v>
      </c>
      <c r="B36" s="13">
        <f ca="1">B37+0.0011</f>
        <v>3.4599999999999999E-2</v>
      </c>
      <c r="C36"/>
      <c r="D36" s="29">
        <f ca="1">IF(ISBLANK(C36),0+A36/1000,OFFSET(Rating!$E$1,MATCH(C36,NameListBMZ,0),0)+A36/1000)</f>
        <v>3.3000000000000002E-2</v>
      </c>
      <c r="E36" s="14">
        <f t="shared" ca="1" si="10"/>
        <v>32</v>
      </c>
      <c r="F36" s="15">
        <f t="shared" ref="F36:F67" si="16">IF(G36="сдал",D$2,0)</f>
        <v>0</v>
      </c>
      <c r="G36" s="13" t="s">
        <v>23</v>
      </c>
      <c r="K36" s="180"/>
      <c r="L36" s="180"/>
      <c r="M36" s="13"/>
      <c r="N36" s="20"/>
      <c r="Q36" s="24"/>
      <c r="R36" s="23">
        <v>5</v>
      </c>
      <c r="S36" s="26" t="str">
        <f t="shared" ca="1" si="15"/>
        <v/>
      </c>
      <c r="T36" s="26" t="str">
        <f t="shared" ca="1" si="15"/>
        <v/>
      </c>
      <c r="U36" s="26" t="str">
        <f t="shared" ca="1" si="15"/>
        <v/>
      </c>
      <c r="V36" s="26" t="str">
        <f t="shared" ca="1" si="15"/>
        <v/>
      </c>
      <c r="W36" s="26" t="str">
        <f t="shared" ca="1" si="15"/>
        <v/>
      </c>
      <c r="X36" s="26" t="str">
        <f t="shared" ca="1" si="15"/>
        <v/>
      </c>
      <c r="Y36" s="26" t="str">
        <f t="shared" ca="1" si="15"/>
        <v/>
      </c>
      <c r="Z36" s="26" t="str">
        <f t="shared" ca="1" si="15"/>
        <v/>
      </c>
      <c r="AA36" s="26" t="str">
        <f t="shared" ca="1" si="15"/>
        <v/>
      </c>
      <c r="AB36" s="26" t="str">
        <f t="shared" ca="1" si="15"/>
        <v/>
      </c>
      <c r="AC36" s="26" t="str">
        <f t="shared" ca="1" si="15"/>
        <v/>
      </c>
      <c r="AD36" s="26" t="str">
        <f t="shared" ca="1" si="15"/>
        <v/>
      </c>
      <c r="AE36" s="26" t="str">
        <f t="shared" ca="1" si="15"/>
        <v/>
      </c>
      <c r="AF36" s="26" t="str">
        <f t="shared" ca="1" si="15"/>
        <v/>
      </c>
      <c r="AG36" s="26" t="str">
        <f t="shared" ca="1" si="15"/>
        <v/>
      </c>
      <c r="AH36" s="26" t="str">
        <f t="shared" ca="1" si="15"/>
        <v/>
      </c>
    </row>
    <row r="37" spans="1:34" s="16" customFormat="1" ht="12.95" customHeight="1">
      <c r="A37" s="13">
        <f t="shared" ref="A37:A67" si="17">A36+1</f>
        <v>34</v>
      </c>
      <c r="B37" s="13">
        <f t="shared" ca="1" si="14"/>
        <v>3.3500000000000002E-2</v>
      </c>
      <c r="C37"/>
      <c r="D37" s="29">
        <f ca="1">IF(ISBLANK(C37),0+A37/1000,OFFSET(Rating!$E$1,MATCH(C37,NameListBMZ,0),0)+A37/1000)</f>
        <v>3.4000000000000002E-2</v>
      </c>
      <c r="E37" s="14">
        <f t="shared" ca="1" si="10"/>
        <v>31</v>
      </c>
      <c r="F37" s="15">
        <f t="shared" si="16"/>
        <v>0</v>
      </c>
      <c r="G37" s="13" t="s">
        <v>23</v>
      </c>
      <c r="K37" s="180"/>
      <c r="L37" s="180"/>
      <c r="M37" s="13"/>
      <c r="N37" s="20"/>
      <c r="Q37" s="24"/>
      <c r="R37" s="23">
        <v>6</v>
      </c>
      <c r="S37" s="26" t="str">
        <f t="shared" ca="1" si="15"/>
        <v/>
      </c>
      <c r="T37" s="26" t="str">
        <f t="shared" ca="1" si="15"/>
        <v/>
      </c>
      <c r="U37" s="26" t="str">
        <f t="shared" ca="1" si="15"/>
        <v/>
      </c>
      <c r="V37" s="26" t="str">
        <f t="shared" ca="1" si="15"/>
        <v/>
      </c>
      <c r="W37" s="26" t="str">
        <f t="shared" ca="1" si="15"/>
        <v/>
      </c>
      <c r="X37" s="26" t="str">
        <f t="shared" ca="1" si="15"/>
        <v/>
      </c>
      <c r="Y37" s="26" t="str">
        <f t="shared" ca="1" si="15"/>
        <v/>
      </c>
      <c r="Z37" s="26" t="str">
        <f t="shared" ca="1" si="15"/>
        <v/>
      </c>
      <c r="AA37" s="26" t="str">
        <f t="shared" ca="1" si="15"/>
        <v/>
      </c>
      <c r="AB37" s="26" t="str">
        <f t="shared" ca="1" si="15"/>
        <v/>
      </c>
      <c r="AC37" s="26" t="str">
        <f t="shared" ca="1" si="15"/>
        <v/>
      </c>
      <c r="AD37" s="26" t="str">
        <f t="shared" ca="1" si="15"/>
        <v/>
      </c>
      <c r="AE37" s="26" t="str">
        <f t="shared" ca="1" si="15"/>
        <v/>
      </c>
      <c r="AF37" s="26" t="str">
        <f t="shared" ca="1" si="15"/>
        <v/>
      </c>
      <c r="AG37" s="26" t="str">
        <f t="shared" ca="1" si="15"/>
        <v/>
      </c>
      <c r="AH37" s="26" t="str">
        <f t="shared" ca="1" si="15"/>
        <v/>
      </c>
    </row>
    <row r="38" spans="1:34" s="16" customFormat="1" ht="12.95" customHeight="1">
      <c r="A38" s="13">
        <f t="shared" si="17"/>
        <v>35</v>
      </c>
      <c r="B38" s="13">
        <f ca="1">B39+0.0011</f>
        <v>3.6600000000000001E-2</v>
      </c>
      <c r="C38"/>
      <c r="D38" s="29">
        <f ca="1">IF(ISBLANK(C38),0+A38/1000,OFFSET(Rating!$E$1,MATCH(C38,NameListBMZ,0),0)+A38/1000)</f>
        <v>3.5000000000000003E-2</v>
      </c>
      <c r="E38" s="14">
        <f t="shared" ca="1" si="10"/>
        <v>30</v>
      </c>
      <c r="F38" s="15">
        <f t="shared" si="16"/>
        <v>0</v>
      </c>
      <c r="G38" s="13" t="s">
        <v>23</v>
      </c>
      <c r="K38" s="180"/>
      <c r="L38" s="180"/>
      <c r="M38" s="13"/>
      <c r="N38" s="20"/>
      <c r="Q38" s="24"/>
      <c r="R38" s="23">
        <v>7</v>
      </c>
      <c r="S38" s="26" t="str">
        <f t="shared" ca="1" si="15"/>
        <v/>
      </c>
      <c r="T38" s="26" t="str">
        <f t="shared" ca="1" si="15"/>
        <v/>
      </c>
      <c r="U38" s="26" t="str">
        <f t="shared" ca="1" si="15"/>
        <v/>
      </c>
      <c r="V38" s="26" t="str">
        <f t="shared" ca="1" si="15"/>
        <v/>
      </c>
      <c r="W38" s="26" t="str">
        <f t="shared" ca="1" si="15"/>
        <v/>
      </c>
      <c r="X38" s="26" t="str">
        <f t="shared" ca="1" si="15"/>
        <v/>
      </c>
      <c r="Y38" s="26" t="str">
        <f t="shared" ca="1" si="15"/>
        <v/>
      </c>
      <c r="Z38" s="26" t="str">
        <f t="shared" ca="1" si="15"/>
        <v/>
      </c>
      <c r="AA38" s="26" t="str">
        <f t="shared" ca="1" si="15"/>
        <v/>
      </c>
      <c r="AB38" s="26" t="str">
        <f t="shared" ca="1" si="15"/>
        <v/>
      </c>
      <c r="AC38" s="26" t="str">
        <f t="shared" ca="1" si="15"/>
        <v/>
      </c>
      <c r="AD38" s="26" t="str">
        <f t="shared" ca="1" si="15"/>
        <v/>
      </c>
      <c r="AE38" s="26" t="str">
        <f t="shared" ca="1" si="15"/>
        <v/>
      </c>
      <c r="AF38" s="26" t="str">
        <f t="shared" ca="1" si="15"/>
        <v/>
      </c>
      <c r="AG38" s="26" t="str">
        <f t="shared" ca="1" si="15"/>
        <v/>
      </c>
      <c r="AH38" s="26" t="str">
        <f t="shared" ca="1" si="15"/>
        <v/>
      </c>
    </row>
    <row r="39" spans="1:34" s="16" customFormat="1" ht="12.95" customHeight="1">
      <c r="A39" s="13">
        <f t="shared" si="17"/>
        <v>36</v>
      </c>
      <c r="B39" s="13">
        <f t="shared" ca="1" si="14"/>
        <v>3.5500000000000004E-2</v>
      </c>
      <c r="C39"/>
      <c r="D39" s="29">
        <f ca="1">IF(ISBLANK(C39),0+A39/1000,OFFSET(Rating!$E$1,MATCH(C39,NameListBMZ,0),0)+A39/1000)</f>
        <v>3.5999999999999997E-2</v>
      </c>
      <c r="E39" s="14">
        <f t="shared" ca="1" si="10"/>
        <v>29</v>
      </c>
      <c r="F39" s="15">
        <f t="shared" si="16"/>
        <v>0</v>
      </c>
      <c r="G39" s="13" t="s">
        <v>23</v>
      </c>
      <c r="K39" s="180"/>
      <c r="L39" s="180"/>
      <c r="M39" s="13"/>
      <c r="N39" s="20"/>
      <c r="Q39" s="24"/>
      <c r="R39" s="23">
        <v>8</v>
      </c>
      <c r="S39" s="26" t="str">
        <f t="shared" ca="1" si="15"/>
        <v/>
      </c>
      <c r="T39" s="26" t="str">
        <f t="shared" ca="1" si="15"/>
        <v/>
      </c>
      <c r="U39" s="26" t="str">
        <f t="shared" ca="1" si="15"/>
        <v/>
      </c>
      <c r="V39" s="26" t="str">
        <f t="shared" ca="1" si="15"/>
        <v/>
      </c>
      <c r="W39" s="26" t="str">
        <f t="shared" ca="1" si="15"/>
        <v/>
      </c>
      <c r="X39" s="26" t="str">
        <f t="shared" ca="1" si="15"/>
        <v/>
      </c>
      <c r="Y39" s="26" t="str">
        <f t="shared" ca="1" si="15"/>
        <v/>
      </c>
      <c r="Z39" s="26" t="str">
        <f t="shared" ca="1" si="15"/>
        <v/>
      </c>
      <c r="AA39" s="26" t="str">
        <f t="shared" ca="1" si="15"/>
        <v/>
      </c>
      <c r="AB39" s="26" t="str">
        <f t="shared" ca="1" si="15"/>
        <v/>
      </c>
      <c r="AC39" s="26" t="str">
        <f t="shared" ca="1" si="15"/>
        <v/>
      </c>
      <c r="AD39" s="26" t="str">
        <f t="shared" ca="1" si="15"/>
        <v/>
      </c>
      <c r="AE39" s="26" t="str">
        <f t="shared" ca="1" si="15"/>
        <v/>
      </c>
      <c r="AF39" s="26" t="str">
        <f t="shared" ca="1" si="15"/>
        <v/>
      </c>
      <c r="AG39" s="26" t="str">
        <f t="shared" ca="1" si="15"/>
        <v/>
      </c>
      <c r="AH39" s="26" t="str">
        <f t="shared" ca="1" si="15"/>
        <v/>
      </c>
    </row>
    <row r="40" spans="1:34" s="16" customFormat="1" ht="12.95" customHeight="1">
      <c r="A40" s="13">
        <f t="shared" si="17"/>
        <v>37</v>
      </c>
      <c r="B40" s="13">
        <f ca="1">B41+0.0011</f>
        <v>3.8599999999999995E-2</v>
      </c>
      <c r="C40"/>
      <c r="D40" s="29">
        <f ca="1">IF(ISBLANK(C40),0+A40/1000,OFFSET(Rating!$E$1,MATCH(C40,NameListBMZ,0),0)+A40/1000)</f>
        <v>3.6999999999999998E-2</v>
      </c>
      <c r="E40" s="14">
        <f t="shared" ca="1" si="10"/>
        <v>28</v>
      </c>
      <c r="F40" s="15">
        <f t="shared" si="16"/>
        <v>0</v>
      </c>
      <c r="G40" s="13" t="s">
        <v>23</v>
      </c>
      <c r="K40" s="180"/>
      <c r="L40" s="180"/>
      <c r="M40" s="13"/>
      <c r="N40" s="20"/>
      <c r="Q40" s="24"/>
      <c r="R40" s="23">
        <v>9</v>
      </c>
      <c r="S40" s="26" t="str">
        <f t="shared" ca="1" si="15"/>
        <v/>
      </c>
      <c r="T40" s="26" t="str">
        <f t="shared" ca="1" si="15"/>
        <v/>
      </c>
      <c r="U40" s="26" t="str">
        <f t="shared" ca="1" si="15"/>
        <v/>
      </c>
      <c r="V40" s="26" t="str">
        <f t="shared" ca="1" si="15"/>
        <v/>
      </c>
      <c r="W40" s="26" t="str">
        <f t="shared" ca="1" si="15"/>
        <v/>
      </c>
      <c r="X40" s="26" t="str">
        <f t="shared" ca="1" si="15"/>
        <v/>
      </c>
      <c r="Y40" s="26" t="str">
        <f t="shared" ca="1" si="15"/>
        <v/>
      </c>
      <c r="Z40" s="26" t="str">
        <f t="shared" ca="1" si="15"/>
        <v/>
      </c>
      <c r="AA40" s="26" t="str">
        <f t="shared" ca="1" si="15"/>
        <v/>
      </c>
      <c r="AB40" s="26" t="str">
        <f t="shared" ca="1" si="15"/>
        <v/>
      </c>
      <c r="AC40" s="26" t="str">
        <f t="shared" ca="1" si="15"/>
        <v/>
      </c>
      <c r="AD40" s="26" t="str">
        <f t="shared" ca="1" si="15"/>
        <v/>
      </c>
      <c r="AE40" s="26" t="str">
        <f t="shared" ca="1" si="15"/>
        <v/>
      </c>
      <c r="AF40" s="26" t="str">
        <f t="shared" ca="1" si="15"/>
        <v/>
      </c>
      <c r="AG40" s="26" t="str">
        <f t="shared" ca="1" si="15"/>
        <v/>
      </c>
      <c r="AH40" s="26" t="str">
        <f t="shared" ca="1" si="15"/>
        <v/>
      </c>
    </row>
    <row r="41" spans="1:34" s="16" customFormat="1" ht="12.95" customHeight="1">
      <c r="A41" s="13">
        <f t="shared" si="17"/>
        <v>38</v>
      </c>
      <c r="B41" s="13">
        <f t="shared" ca="1" si="14"/>
        <v>3.7499999999999999E-2</v>
      </c>
      <c r="C41"/>
      <c r="D41" s="29">
        <f ca="1">IF(ISBLANK(C41),0+A41/1000,OFFSET(Rating!$E$1,MATCH(C41,NameListBMZ,0),0)+A41/1000)</f>
        <v>3.7999999999999999E-2</v>
      </c>
      <c r="E41" s="14">
        <f t="shared" ca="1" si="10"/>
        <v>27</v>
      </c>
      <c r="F41" s="15">
        <f t="shared" si="16"/>
        <v>0</v>
      </c>
      <c r="G41" s="13" t="s">
        <v>23</v>
      </c>
      <c r="K41" s="180"/>
      <c r="L41" s="180"/>
      <c r="M41" s="13"/>
      <c r="N41" s="20"/>
      <c r="Q41" s="24"/>
      <c r="R41" s="23">
        <v>10</v>
      </c>
      <c r="S41" s="26" t="str">
        <f t="shared" ca="1" si="15"/>
        <v/>
      </c>
      <c r="T41" s="26" t="str">
        <f t="shared" ca="1" si="15"/>
        <v/>
      </c>
      <c r="U41" s="26" t="str">
        <f t="shared" ca="1" si="15"/>
        <v/>
      </c>
      <c r="V41" s="26" t="str">
        <f t="shared" ca="1" si="15"/>
        <v/>
      </c>
      <c r="W41" s="26" t="str">
        <f t="shared" ca="1" si="15"/>
        <v/>
      </c>
      <c r="X41" s="26" t="str">
        <f t="shared" ca="1" si="15"/>
        <v/>
      </c>
      <c r="Y41" s="26" t="str">
        <f t="shared" ca="1" si="15"/>
        <v/>
      </c>
      <c r="Z41" s="26" t="str">
        <f t="shared" ca="1" si="15"/>
        <v/>
      </c>
      <c r="AA41" s="26" t="str">
        <f t="shared" ca="1" si="15"/>
        <v/>
      </c>
      <c r="AB41" s="26" t="str">
        <f t="shared" ca="1" si="15"/>
        <v/>
      </c>
      <c r="AC41" s="26" t="str">
        <f t="shared" ca="1" si="15"/>
        <v/>
      </c>
      <c r="AD41" s="26" t="str">
        <f t="shared" ca="1" si="15"/>
        <v/>
      </c>
      <c r="AE41" s="26" t="str">
        <f t="shared" ca="1" si="15"/>
        <v/>
      </c>
      <c r="AF41" s="26" t="str">
        <f t="shared" ca="1" si="15"/>
        <v/>
      </c>
      <c r="AG41" s="26" t="str">
        <f t="shared" ca="1" si="15"/>
        <v/>
      </c>
      <c r="AH41" s="26" t="str">
        <f t="shared" ca="1" si="15"/>
        <v/>
      </c>
    </row>
    <row r="42" spans="1:34" s="16" customFormat="1" ht="12.95" customHeight="1">
      <c r="A42" s="13">
        <f t="shared" si="17"/>
        <v>39</v>
      </c>
      <c r="B42" s="13">
        <f ca="1">B43+0.0011</f>
        <v>4.0599999999999997E-2</v>
      </c>
      <c r="C42"/>
      <c r="D42" s="29">
        <f ca="1">IF(ISBLANK(C42),0+A42/1000,OFFSET(Rating!$E$1,MATCH(C42,NameListBMZ,0),0)+A42/1000)</f>
        <v>3.9E-2</v>
      </c>
      <c r="E42" s="14">
        <f t="shared" ca="1" si="10"/>
        <v>26</v>
      </c>
      <c r="F42" s="15">
        <f t="shared" si="16"/>
        <v>0</v>
      </c>
      <c r="G42" s="13" t="s">
        <v>23</v>
      </c>
      <c r="K42" s="180"/>
      <c r="L42" s="180"/>
      <c r="M42" s="13"/>
      <c r="N42" s="20"/>
      <c r="Q42" s="24"/>
    </row>
    <row r="43" spans="1:34" s="16" customFormat="1" ht="12.95" customHeight="1">
      <c r="A43" s="13">
        <f t="shared" si="17"/>
        <v>40</v>
      </c>
      <c r="B43" s="13">
        <f t="shared" ca="1" si="14"/>
        <v>3.95E-2</v>
      </c>
      <c r="C43"/>
      <c r="D43" s="29">
        <f ca="1">IF(ISBLANK(C43),0+A43/1000,OFFSET(Rating!$E$1,MATCH(C43,NameListBMZ,0),0)+A43/1000)</f>
        <v>0.04</v>
      </c>
      <c r="E43" s="14">
        <f t="shared" ca="1" si="10"/>
        <v>25</v>
      </c>
      <c r="F43" s="15">
        <f t="shared" si="16"/>
        <v>0</v>
      </c>
      <c r="G43" s="13" t="s">
        <v>23</v>
      </c>
      <c r="K43" s="180"/>
      <c r="L43" s="180"/>
      <c r="M43" s="13"/>
      <c r="N43" s="20"/>
      <c r="Q43" s="24"/>
    </row>
    <row r="44" spans="1:34" s="16" customFormat="1" ht="12.95" customHeight="1" outlineLevel="1">
      <c r="A44" s="13">
        <f t="shared" si="17"/>
        <v>41</v>
      </c>
      <c r="B44" s="13">
        <f ca="1">B45+0.0011</f>
        <v>4.2599999999999999E-2</v>
      </c>
      <c r="C44"/>
      <c r="D44" s="29">
        <f ca="1">IF(ISBLANK(C44),0+A44/1000,OFFSET(Rating!$E$1,MATCH(C44,NameListBMZ,0),0)+A44/1000)</f>
        <v>4.1000000000000002E-2</v>
      </c>
      <c r="E44" s="14">
        <f t="shared" ca="1" si="10"/>
        <v>24</v>
      </c>
      <c r="F44" s="15">
        <f t="shared" si="16"/>
        <v>0</v>
      </c>
      <c r="G44" s="13" t="s">
        <v>23</v>
      </c>
      <c r="K44" s="180"/>
      <c r="L44" s="180"/>
      <c r="M44" s="13"/>
      <c r="N44" s="20"/>
      <c r="Q44" s="24"/>
    </row>
    <row r="45" spans="1:34" s="16" customFormat="1" ht="12.95" customHeight="1" outlineLevel="1">
      <c r="A45" s="13">
        <f t="shared" si="17"/>
        <v>42</v>
      </c>
      <c r="B45" s="13">
        <f t="shared" ca="1" si="14"/>
        <v>4.1500000000000002E-2</v>
      </c>
      <c r="C45"/>
      <c r="D45" s="29">
        <f ca="1">IF(ISBLANK(C45),0+A45/1000,OFFSET(Rating!$E$1,MATCH(C45,NameListBMZ,0),0)+A45/1000)</f>
        <v>4.2000000000000003E-2</v>
      </c>
      <c r="E45" s="14">
        <f t="shared" ca="1" si="10"/>
        <v>23</v>
      </c>
      <c r="F45" s="15">
        <f t="shared" si="16"/>
        <v>0</v>
      </c>
      <c r="G45" s="13" t="s">
        <v>23</v>
      </c>
      <c r="K45" s="180"/>
      <c r="L45" s="180"/>
      <c r="M45" s="13"/>
      <c r="N45" s="20"/>
      <c r="Q45" s="24"/>
    </row>
    <row r="46" spans="1:34" s="16" customFormat="1" ht="12.95" customHeight="1" outlineLevel="1">
      <c r="A46" s="13">
        <f t="shared" si="17"/>
        <v>43</v>
      </c>
      <c r="B46" s="13">
        <f ca="1">B47+0.0011</f>
        <v>4.4599999999999994E-2</v>
      </c>
      <c r="C46"/>
      <c r="D46" s="29">
        <f ca="1">IF(ISBLANK(C46),0+A46/1000,OFFSET(Rating!$E$1,MATCH(C46,NameListBMZ,0),0)+A46/1000)</f>
        <v>4.2999999999999997E-2</v>
      </c>
      <c r="E46" s="14">
        <f t="shared" ca="1" si="10"/>
        <v>22</v>
      </c>
      <c r="F46" s="15">
        <f t="shared" si="16"/>
        <v>0</v>
      </c>
      <c r="G46" s="13" t="s">
        <v>23</v>
      </c>
      <c r="K46" s="180"/>
      <c r="L46" s="180"/>
      <c r="M46" s="13"/>
      <c r="N46" s="20"/>
      <c r="Q46" s="24"/>
    </row>
    <row r="47" spans="1:34" s="16" customFormat="1" ht="12.95" customHeight="1" outlineLevel="1">
      <c r="A47" s="13">
        <f t="shared" si="17"/>
        <v>44</v>
      </c>
      <c r="B47" s="13">
        <f t="shared" ca="1" si="14"/>
        <v>4.3499999999999997E-2</v>
      </c>
      <c r="C47"/>
      <c r="D47" s="29">
        <f ca="1">IF(ISBLANK(C47),0+A47/1000,OFFSET(Rating!$E$1,MATCH(C47,NameListBMZ,0),0)+A47/1000)</f>
        <v>4.3999999999999997E-2</v>
      </c>
      <c r="E47" s="14">
        <f t="shared" ca="1" si="10"/>
        <v>21</v>
      </c>
      <c r="F47" s="15">
        <f t="shared" si="16"/>
        <v>0</v>
      </c>
      <c r="G47" s="13" t="s">
        <v>23</v>
      </c>
      <c r="K47" s="180"/>
      <c r="L47" s="180"/>
      <c r="M47" s="13"/>
      <c r="N47" s="20"/>
      <c r="Q47" s="24"/>
    </row>
    <row r="48" spans="1:34" s="16" customFormat="1" ht="12.95" customHeight="1" outlineLevel="1">
      <c r="A48" s="13">
        <f t="shared" si="17"/>
        <v>45</v>
      </c>
      <c r="B48" s="13">
        <f ca="1">B49+0.0011</f>
        <v>4.6599999999999996E-2</v>
      </c>
      <c r="C48"/>
      <c r="D48" s="29">
        <f ca="1">IF(ISBLANK(C48),0+A48/1000,OFFSET(Rating!$E$1,MATCH(C48,NameListBMZ,0),0)+A48/1000)</f>
        <v>4.4999999999999998E-2</v>
      </c>
      <c r="E48" s="14">
        <f t="shared" ca="1" si="10"/>
        <v>20</v>
      </c>
      <c r="F48" s="15">
        <f t="shared" si="16"/>
        <v>0</v>
      </c>
      <c r="G48" s="13" t="s">
        <v>23</v>
      </c>
      <c r="K48" s="180"/>
      <c r="L48" s="180"/>
      <c r="M48" s="13"/>
      <c r="N48" s="20"/>
      <c r="Q48" s="24"/>
    </row>
    <row r="49" spans="1:17" s="16" customFormat="1" ht="12.95" customHeight="1" outlineLevel="1">
      <c r="A49" s="13">
        <f t="shared" si="17"/>
        <v>46</v>
      </c>
      <c r="B49" s="13">
        <f t="shared" ca="1" si="14"/>
        <v>4.5499999999999999E-2</v>
      </c>
      <c r="C49"/>
      <c r="D49" s="29">
        <f ca="1">IF(ISBLANK(C49),0+A49/1000,OFFSET(Rating!$E$1,MATCH(C49,NameListBMZ,0),0)+A49/1000)</f>
        <v>4.5999999999999999E-2</v>
      </c>
      <c r="E49" s="14">
        <f t="shared" ca="1" si="10"/>
        <v>19</v>
      </c>
      <c r="F49" s="15">
        <f t="shared" si="16"/>
        <v>0</v>
      </c>
      <c r="G49" s="13" t="s">
        <v>23</v>
      </c>
      <c r="K49" s="180"/>
      <c r="L49" s="180"/>
      <c r="M49" s="13"/>
      <c r="N49" s="20"/>
      <c r="Q49" s="24"/>
    </row>
    <row r="50" spans="1:17" s="16" customFormat="1" ht="12.95" customHeight="1" outlineLevel="1">
      <c r="A50" s="13">
        <f t="shared" si="17"/>
        <v>47</v>
      </c>
      <c r="B50" s="13">
        <f ca="1">B51+0.0011</f>
        <v>4.8599999999999997E-2</v>
      </c>
      <c r="C50"/>
      <c r="D50" s="29">
        <f ca="1">IF(ISBLANK(C50),0+A50/1000,OFFSET(Rating!$E$1,MATCH(C50,NameListBMZ,0),0)+A50/1000)</f>
        <v>4.7E-2</v>
      </c>
      <c r="E50" s="14">
        <f t="shared" ca="1" si="10"/>
        <v>18</v>
      </c>
      <c r="F50" s="15">
        <f t="shared" si="16"/>
        <v>0</v>
      </c>
      <c r="G50" s="13" t="s">
        <v>23</v>
      </c>
      <c r="K50" s="180"/>
      <c r="L50" s="180"/>
      <c r="M50" s="13"/>
      <c r="N50" s="20"/>
      <c r="Q50" s="24"/>
    </row>
    <row r="51" spans="1:17" s="16" customFormat="1" ht="12.95" customHeight="1" outlineLevel="1">
      <c r="A51" s="13">
        <f t="shared" si="17"/>
        <v>48</v>
      </c>
      <c r="B51" s="13">
        <f t="shared" ca="1" si="14"/>
        <v>4.7500000000000001E-2</v>
      </c>
      <c r="C51"/>
      <c r="D51" s="29">
        <f ca="1">IF(ISBLANK(C51),0+A51/1000,OFFSET(Rating!$E$1,MATCH(C51,NameListBMZ,0),0)+A51/1000)</f>
        <v>4.8000000000000001E-2</v>
      </c>
      <c r="E51" s="14">
        <f t="shared" ca="1" si="10"/>
        <v>17</v>
      </c>
      <c r="F51" s="15">
        <f t="shared" si="16"/>
        <v>0</v>
      </c>
      <c r="G51" s="13" t="s">
        <v>23</v>
      </c>
      <c r="K51" s="180"/>
      <c r="L51" s="180"/>
      <c r="M51" s="13"/>
      <c r="N51" s="20"/>
      <c r="Q51" s="24"/>
    </row>
    <row r="52" spans="1:17" s="16" customFormat="1" ht="12.95" customHeight="1" outlineLevel="1">
      <c r="A52" s="13">
        <f t="shared" si="17"/>
        <v>49</v>
      </c>
      <c r="B52" s="13">
        <f ca="1">B53+0.0011</f>
        <v>5.0599999999999999E-2</v>
      </c>
      <c r="C52"/>
      <c r="D52" s="29">
        <f ca="1">IF(ISBLANK(C52),0+A52/1000,OFFSET(Rating!$E$1,MATCH(C52,NameListBMZ,0),0)+A52/1000)</f>
        <v>4.9000000000000002E-2</v>
      </c>
      <c r="E52" s="14">
        <f t="shared" ca="1" si="10"/>
        <v>16</v>
      </c>
      <c r="F52" s="15">
        <f t="shared" si="16"/>
        <v>0</v>
      </c>
      <c r="G52" s="13" t="s">
        <v>23</v>
      </c>
      <c r="K52" s="180"/>
      <c r="L52" s="180"/>
      <c r="M52" s="13"/>
      <c r="N52" s="20"/>
      <c r="Q52" s="24"/>
    </row>
    <row r="53" spans="1:17" s="16" customFormat="1" ht="12.95" customHeight="1" outlineLevel="1">
      <c r="A53" s="13">
        <f t="shared" si="17"/>
        <v>50</v>
      </c>
      <c r="B53" s="13">
        <f t="shared" ca="1" si="14"/>
        <v>4.9500000000000002E-2</v>
      </c>
      <c r="C53"/>
      <c r="D53" s="29">
        <f ca="1">IF(ISBLANK(C53),0+A53/1000,OFFSET(Rating!$E$1,MATCH(C53,NameListBMZ,0),0)+A53/1000)</f>
        <v>0.05</v>
      </c>
      <c r="E53" s="14">
        <f t="shared" ca="1" si="10"/>
        <v>15</v>
      </c>
      <c r="F53" s="15">
        <f t="shared" si="16"/>
        <v>0</v>
      </c>
      <c r="G53" s="13" t="s">
        <v>23</v>
      </c>
      <c r="K53" s="180"/>
      <c r="L53" s="180"/>
      <c r="M53" s="13"/>
      <c r="N53" s="20"/>
      <c r="Q53" s="24"/>
    </row>
    <row r="54" spans="1:17" s="16" customFormat="1" ht="12.95" customHeight="1" outlineLevel="1">
      <c r="A54" s="13">
        <f t="shared" si="17"/>
        <v>51</v>
      </c>
      <c r="B54" s="13">
        <f ca="1">B55+0.0011</f>
        <v>5.2599999999999994E-2</v>
      </c>
      <c r="C54"/>
      <c r="D54" s="29">
        <f ca="1">IF(ISBLANK(C54),0+A54/1000,OFFSET(Rating!$E$1,MATCH(C54,NameListBMZ,0),0)+A54/1000)</f>
        <v>5.0999999999999997E-2</v>
      </c>
      <c r="E54" s="14">
        <f t="shared" ca="1" si="10"/>
        <v>14</v>
      </c>
      <c r="F54" s="15">
        <f t="shared" si="16"/>
        <v>0</v>
      </c>
      <c r="G54" s="13" t="s">
        <v>23</v>
      </c>
      <c r="K54" s="180"/>
      <c r="L54" s="180"/>
      <c r="M54" s="13"/>
      <c r="N54" s="20"/>
      <c r="Q54" s="24"/>
    </row>
    <row r="55" spans="1:17" s="16" customFormat="1" ht="12.95" customHeight="1" outlineLevel="1">
      <c r="A55" s="13">
        <f t="shared" si="17"/>
        <v>52</v>
      </c>
      <c r="B55" s="13">
        <f t="shared" ca="1" si="14"/>
        <v>5.1499999999999997E-2</v>
      </c>
      <c r="C55"/>
      <c r="D55" s="29">
        <f ca="1">IF(ISBLANK(C55),0+A55/1000,OFFSET(Rating!$E$1,MATCH(C55,NameListBMZ,0),0)+A55/1000)</f>
        <v>5.1999999999999998E-2</v>
      </c>
      <c r="E55" s="14">
        <f t="shared" ca="1" si="10"/>
        <v>13</v>
      </c>
      <c r="F55" s="15">
        <f t="shared" si="16"/>
        <v>0</v>
      </c>
      <c r="G55" s="13" t="s">
        <v>23</v>
      </c>
      <c r="K55" s="180"/>
      <c r="L55" s="180"/>
      <c r="M55" s="13"/>
      <c r="N55" s="20"/>
      <c r="Q55" s="24"/>
    </row>
    <row r="56" spans="1:17" s="16" customFormat="1" ht="12.95" customHeight="1" outlineLevel="1">
      <c r="A56" s="13">
        <f t="shared" si="17"/>
        <v>53</v>
      </c>
      <c r="B56" s="13">
        <f ca="1">B57+0.0011</f>
        <v>5.4599999999999996E-2</v>
      </c>
      <c r="C56"/>
      <c r="D56" s="29">
        <f ca="1">IF(ISBLANK(C56),0+A56/1000,OFFSET(Rating!$E$1,MATCH(C56,NameListBMZ,0),0)+A56/1000)</f>
        <v>5.2999999999999999E-2</v>
      </c>
      <c r="E56" s="14">
        <f t="shared" ca="1" si="10"/>
        <v>12</v>
      </c>
      <c r="F56" s="15">
        <f t="shared" si="16"/>
        <v>0</v>
      </c>
      <c r="G56" s="13" t="s">
        <v>23</v>
      </c>
      <c r="K56" s="180"/>
      <c r="L56" s="180"/>
      <c r="M56" s="13"/>
      <c r="N56" s="20"/>
      <c r="Q56" s="24"/>
    </row>
    <row r="57" spans="1:17" s="16" customFormat="1" ht="12.95" customHeight="1" outlineLevel="1">
      <c r="A57" s="13">
        <f t="shared" si="17"/>
        <v>54</v>
      </c>
      <c r="B57" s="13">
        <f t="shared" ca="1" si="14"/>
        <v>5.3499999999999999E-2</v>
      </c>
      <c r="C57"/>
      <c r="D57" s="29">
        <f ca="1">IF(ISBLANK(C57),0+A57/1000,OFFSET(Rating!$E$1,MATCH(C57,NameListBMZ,0),0)+A57/1000)</f>
        <v>5.3999999999999999E-2</v>
      </c>
      <c r="E57" s="14">
        <f t="shared" ca="1" si="10"/>
        <v>11</v>
      </c>
      <c r="F57" s="15">
        <f t="shared" si="16"/>
        <v>0</v>
      </c>
      <c r="G57" s="13" t="s">
        <v>23</v>
      </c>
      <c r="K57" s="180"/>
      <c r="L57" s="180"/>
      <c r="M57" s="13"/>
      <c r="N57" s="20"/>
      <c r="Q57" s="24"/>
    </row>
    <row r="58" spans="1:17" s="16" customFormat="1" ht="12.95" customHeight="1" outlineLevel="1">
      <c r="A58" s="13">
        <f t="shared" si="17"/>
        <v>55</v>
      </c>
      <c r="B58" s="13">
        <f ca="1">B59+0.0011</f>
        <v>5.6599999999999998E-2</v>
      </c>
      <c r="C58"/>
      <c r="D58" s="29">
        <f ca="1">IF(ISBLANK(C58),0+A58/1000,OFFSET(Rating!$E$1,MATCH(C58,NameListBMZ,0),0)+A58/1000)</f>
        <v>5.5E-2</v>
      </c>
      <c r="E58" s="14">
        <f t="shared" ca="1" si="10"/>
        <v>10</v>
      </c>
      <c r="F58" s="15">
        <f t="shared" si="16"/>
        <v>0</v>
      </c>
      <c r="G58" s="13" t="s">
        <v>23</v>
      </c>
      <c r="K58" s="180"/>
      <c r="L58" s="180"/>
      <c r="M58" s="13"/>
      <c r="N58" s="20"/>
      <c r="Q58" s="24"/>
    </row>
    <row r="59" spans="1:17" s="16" customFormat="1" ht="12.95" customHeight="1" outlineLevel="1">
      <c r="A59" s="13">
        <f t="shared" si="17"/>
        <v>56</v>
      </c>
      <c r="B59" s="13">
        <f t="shared" ca="1" si="14"/>
        <v>5.5500000000000001E-2</v>
      </c>
      <c r="C59"/>
      <c r="D59" s="29">
        <f ca="1">IF(ISBLANK(C59),0+A59/1000,OFFSET(Rating!$E$1,MATCH(C59,NameListBMZ,0),0)+A59/1000)</f>
        <v>5.6000000000000001E-2</v>
      </c>
      <c r="E59" s="14">
        <f t="shared" ca="1" si="10"/>
        <v>9</v>
      </c>
      <c r="F59" s="15">
        <f t="shared" si="16"/>
        <v>0</v>
      </c>
      <c r="G59" s="13" t="s">
        <v>23</v>
      </c>
      <c r="K59" s="180"/>
      <c r="L59" s="180"/>
      <c r="M59" s="13"/>
      <c r="N59" s="20"/>
      <c r="Q59" s="24"/>
    </row>
    <row r="60" spans="1:17" s="16" customFormat="1" ht="12.95" customHeight="1" outlineLevel="1">
      <c r="A60" s="13">
        <f t="shared" si="17"/>
        <v>57</v>
      </c>
      <c r="B60" s="13">
        <f ca="1">B61+0.0011</f>
        <v>5.8599999999999999E-2</v>
      </c>
      <c r="C60"/>
      <c r="D60" s="29">
        <f ca="1">IF(ISBLANK(C60),0+A60/1000,OFFSET(Rating!$E$1,MATCH(C60,NameListBMZ,0),0)+A60/1000)</f>
        <v>5.7000000000000002E-2</v>
      </c>
      <c r="E60" s="14">
        <f t="shared" ca="1" si="10"/>
        <v>8</v>
      </c>
      <c r="F60" s="15">
        <f t="shared" si="16"/>
        <v>0</v>
      </c>
      <c r="G60" s="13" t="s">
        <v>23</v>
      </c>
      <c r="K60" s="180"/>
      <c r="L60" s="180"/>
      <c r="M60" s="13"/>
      <c r="N60" s="20"/>
      <c r="Q60" s="24"/>
    </row>
    <row r="61" spans="1:17" s="16" customFormat="1" ht="12.95" customHeight="1" outlineLevel="1">
      <c r="A61" s="13">
        <f t="shared" si="17"/>
        <v>58</v>
      </c>
      <c r="B61" s="13">
        <f t="shared" ca="1" si="14"/>
        <v>5.7500000000000002E-2</v>
      </c>
      <c r="C61"/>
      <c r="D61" s="29">
        <f ca="1">IF(ISBLANK(C61),0+A61/1000,OFFSET(Rating!$E$1,MATCH(C61,NameListBMZ,0),0)+A61/1000)</f>
        <v>5.8000000000000003E-2</v>
      </c>
      <c r="E61" s="14">
        <f t="shared" ca="1" si="10"/>
        <v>7</v>
      </c>
      <c r="F61" s="15">
        <f t="shared" si="16"/>
        <v>0</v>
      </c>
      <c r="G61" s="13" t="s">
        <v>23</v>
      </c>
      <c r="K61" s="180"/>
      <c r="L61" s="180"/>
      <c r="M61" s="13"/>
      <c r="N61" s="20"/>
      <c r="Q61" s="24"/>
    </row>
    <row r="62" spans="1:17" s="16" customFormat="1" ht="12.95" customHeight="1" outlineLevel="1">
      <c r="A62" s="13">
        <f t="shared" si="17"/>
        <v>59</v>
      </c>
      <c r="B62" s="13">
        <f ca="1">B63+0.0011</f>
        <v>6.0599999999999994E-2</v>
      </c>
      <c r="C62"/>
      <c r="D62" s="29">
        <f ca="1">IF(ISBLANK(C62),0+A62/1000,OFFSET(Rating!$E$1,MATCH(C62,NameListBMZ,0),0)+A62/1000)</f>
        <v>5.8999999999999997E-2</v>
      </c>
      <c r="E62" s="14">
        <f t="shared" ca="1" si="10"/>
        <v>6</v>
      </c>
      <c r="F62" s="15">
        <f t="shared" si="16"/>
        <v>0</v>
      </c>
      <c r="G62" s="13" t="s">
        <v>23</v>
      </c>
      <c r="K62" s="180"/>
      <c r="L62" s="180"/>
      <c r="M62" s="13"/>
      <c r="N62" s="20"/>
      <c r="Q62" s="24"/>
    </row>
    <row r="63" spans="1:17" s="16" customFormat="1" ht="12.95" customHeight="1" outlineLevel="1">
      <c r="A63" s="13">
        <f t="shared" si="17"/>
        <v>60</v>
      </c>
      <c r="B63" s="13">
        <f t="shared" ca="1" si="14"/>
        <v>5.9499999999999997E-2</v>
      </c>
      <c r="C63"/>
      <c r="D63" s="29">
        <f ca="1">IF(ISBLANK(C63),0+A63/1000,OFFSET(Rating!$E$1,MATCH(C63,NameListBMZ,0),0)+A63/1000)</f>
        <v>0.06</v>
      </c>
      <c r="E63" s="14">
        <f t="shared" ca="1" si="10"/>
        <v>5</v>
      </c>
      <c r="F63" s="15">
        <f t="shared" si="16"/>
        <v>0</v>
      </c>
      <c r="G63" s="13" t="s">
        <v>23</v>
      </c>
      <c r="K63" s="180"/>
      <c r="L63" s="180"/>
      <c r="M63" s="13"/>
      <c r="N63" s="20"/>
      <c r="Q63" s="24"/>
    </row>
    <row r="64" spans="1:17" s="16" customFormat="1" ht="12.95" customHeight="1" outlineLevel="1">
      <c r="A64" s="13">
        <f t="shared" si="17"/>
        <v>61</v>
      </c>
      <c r="B64" s="13">
        <f ca="1">B65+0.0011</f>
        <v>6.2600000000000003E-2</v>
      </c>
      <c r="C64"/>
      <c r="D64" s="29">
        <f ca="1">IF(ISBLANK(C64),0+A64/1000,OFFSET(Rating!$E$1,MATCH(C64,NameListBMZ,0),0)+A64/1000)</f>
        <v>6.0999999999999999E-2</v>
      </c>
      <c r="E64" s="14">
        <f t="shared" ca="1" si="10"/>
        <v>4</v>
      </c>
      <c r="F64" s="15">
        <f t="shared" si="16"/>
        <v>0</v>
      </c>
      <c r="G64" s="13" t="s">
        <v>23</v>
      </c>
      <c r="K64" s="180"/>
      <c r="L64" s="180"/>
      <c r="M64" s="13"/>
      <c r="N64" s="20"/>
      <c r="Q64" s="24"/>
    </row>
    <row r="65" spans="1:17" s="16" customFormat="1" ht="12.95" customHeight="1" outlineLevel="1">
      <c r="A65" s="13">
        <f t="shared" si="17"/>
        <v>62</v>
      </c>
      <c r="B65" s="13">
        <f t="shared" ca="1" si="14"/>
        <v>6.1499999999999999E-2</v>
      </c>
      <c r="C65"/>
      <c r="D65" s="29">
        <f ca="1">IF(ISBLANK(C65),0+A65/1000,OFFSET(Rating!$E$1,MATCH(C65,NameListBMZ,0),0)+A65/1000)</f>
        <v>6.2E-2</v>
      </c>
      <c r="E65" s="14">
        <f t="shared" ca="1" si="10"/>
        <v>3</v>
      </c>
      <c r="F65" s="15">
        <f t="shared" si="16"/>
        <v>0</v>
      </c>
      <c r="G65" s="13" t="s">
        <v>23</v>
      </c>
      <c r="K65" s="180"/>
      <c r="L65" s="180"/>
      <c r="M65" s="13"/>
      <c r="N65" s="20"/>
      <c r="Q65" s="24"/>
    </row>
    <row r="66" spans="1:17" s="16" customFormat="1" ht="12.95" customHeight="1" outlineLevel="1">
      <c r="A66" s="13">
        <f t="shared" si="17"/>
        <v>63</v>
      </c>
      <c r="B66" s="13">
        <f ca="1">B67+0.0011</f>
        <v>6.4600000000000005E-2</v>
      </c>
      <c r="C66"/>
      <c r="D66" s="29">
        <f ca="1">IF(ISBLANK(C66),0+A66/1000,OFFSET(Rating!$E$1,MATCH(C66,NameListBMZ,0),0)+A66/1000)</f>
        <v>6.3E-2</v>
      </c>
      <c r="E66" s="14">
        <f t="shared" ca="1" si="10"/>
        <v>2</v>
      </c>
      <c r="F66" s="15">
        <f t="shared" si="16"/>
        <v>0</v>
      </c>
      <c r="G66" s="13" t="s">
        <v>23</v>
      </c>
      <c r="K66" s="180"/>
      <c r="L66" s="180"/>
      <c r="M66" s="13"/>
      <c r="N66" s="20"/>
      <c r="Q66" s="24"/>
    </row>
    <row r="67" spans="1:17" s="16" customFormat="1" ht="12.95" customHeight="1" outlineLevel="1">
      <c r="A67" s="13">
        <f t="shared" si="17"/>
        <v>64</v>
      </c>
      <c r="B67" s="13">
        <f t="shared" ca="1" si="14"/>
        <v>6.3500000000000001E-2</v>
      </c>
      <c r="C67"/>
      <c r="D67" s="29">
        <f ca="1">IF(ISBLANK(C67),0+A67/1000,OFFSET(Rating!$E$1,MATCH(C67,NameListBMZ,0),0)+A67/1000)</f>
        <v>6.4000000000000001E-2</v>
      </c>
      <c r="E67" s="14">
        <f t="shared" ca="1" si="10"/>
        <v>1</v>
      </c>
      <c r="F67" s="15">
        <f t="shared" si="16"/>
        <v>0</v>
      </c>
      <c r="G67" s="13" t="s">
        <v>23</v>
      </c>
      <c r="K67" s="180"/>
      <c r="L67" s="180"/>
      <c r="M67" s="13"/>
      <c r="N67" s="20"/>
      <c r="Q67" s="24"/>
    </row>
    <row r="68" spans="1:17" outlineLevel="1">
      <c r="A68" s="13"/>
      <c r="B68" s="13"/>
      <c r="C68"/>
      <c r="D68" s="29"/>
      <c r="E68" s="14"/>
      <c r="F68" s="15"/>
      <c r="G68" s="13"/>
      <c r="M68" s="13"/>
      <c r="N68" s="20"/>
      <c r="O68" s="16"/>
      <c r="P68" s="16"/>
      <c r="Q68" s="24"/>
    </row>
    <row r="69" spans="1:17" outlineLevel="1">
      <c r="A69" s="13"/>
      <c r="B69" s="13"/>
      <c r="C69" s="191"/>
      <c r="D69" s="29"/>
      <c r="E69" s="14"/>
      <c r="F69" s="15"/>
      <c r="G69" s="13"/>
      <c r="M69" s="13"/>
      <c r="N69" s="20"/>
      <c r="O69" s="16"/>
      <c r="P69" s="16"/>
      <c r="Q69" s="24"/>
    </row>
    <row r="70" spans="1:17" outlineLevel="1">
      <c r="A70" s="13"/>
      <c r="B70" s="13"/>
      <c r="C70" s="191"/>
      <c r="D70" s="29"/>
      <c r="E70" s="14"/>
      <c r="F70" s="15"/>
      <c r="G70" s="13"/>
      <c r="M70" s="13"/>
      <c r="N70" s="20"/>
      <c r="O70" s="16"/>
      <c r="P70" s="16"/>
      <c r="Q70" s="24"/>
    </row>
    <row r="71" spans="1:17" outlineLevel="1">
      <c r="A71" s="13"/>
      <c r="B71" s="13"/>
      <c r="C71" s="191"/>
      <c r="D71" s="29"/>
      <c r="E71" s="14"/>
      <c r="F71" s="15"/>
      <c r="G71" s="13"/>
      <c r="M71" s="13"/>
      <c r="N71" s="20"/>
      <c r="O71" s="16"/>
      <c r="P71" s="16"/>
      <c r="Q71" s="24"/>
    </row>
    <row r="72" spans="1:17" outlineLevel="1">
      <c r="A72" s="13"/>
      <c r="B72" s="13"/>
      <c r="C72" s="191"/>
      <c r="D72" s="29"/>
      <c r="E72" s="14"/>
      <c r="F72" s="15"/>
      <c r="G72" s="13"/>
      <c r="M72" s="13"/>
      <c r="N72" s="20"/>
      <c r="O72" s="16"/>
      <c r="P72" s="16"/>
      <c r="Q72" s="24"/>
    </row>
    <row r="73" spans="1:17" outlineLevel="1">
      <c r="A73" s="13"/>
      <c r="B73" s="13"/>
      <c r="C73" s="191"/>
      <c r="D73" s="29"/>
      <c r="E73" s="14"/>
      <c r="F73" s="15"/>
      <c r="G73" s="13"/>
      <c r="M73" s="13"/>
      <c r="N73" s="20"/>
      <c r="O73" s="16"/>
      <c r="P73" s="16"/>
      <c r="Q73" s="24"/>
    </row>
    <row r="74" spans="1:17" outlineLevel="1">
      <c r="A74" s="13"/>
      <c r="B74" s="13"/>
      <c r="C74" s="191"/>
      <c r="D74" s="29"/>
      <c r="E74" s="14"/>
      <c r="F74" s="15"/>
      <c r="G74" s="13"/>
      <c r="M74" s="13"/>
      <c r="N74" s="20"/>
      <c r="O74" s="16"/>
      <c r="P74" s="16"/>
      <c r="Q74" s="24"/>
    </row>
    <row r="75" spans="1:17" outlineLevel="1">
      <c r="A75" s="13"/>
      <c r="B75" s="13"/>
      <c r="C75" s="191"/>
      <c r="D75" s="29"/>
      <c r="E75" s="14"/>
      <c r="F75" s="15"/>
      <c r="G75" s="13"/>
      <c r="M75" s="13"/>
      <c r="N75" s="20"/>
      <c r="O75" s="16"/>
      <c r="P75" s="16"/>
      <c r="Q75" s="24"/>
    </row>
    <row r="76" spans="1:17" outlineLevel="1">
      <c r="A76" s="13"/>
      <c r="B76" s="13"/>
      <c r="C76" s="191"/>
      <c r="D76" s="29"/>
      <c r="E76" s="14"/>
      <c r="F76" s="15"/>
      <c r="G76" s="13"/>
      <c r="M76" s="13"/>
      <c r="N76" s="20"/>
      <c r="O76" s="16"/>
      <c r="P76" s="16"/>
      <c r="Q76" s="24"/>
    </row>
    <row r="77" spans="1:17" outlineLevel="1">
      <c r="A77" s="13"/>
      <c r="B77" s="13"/>
      <c r="C77" s="191"/>
      <c r="D77" s="29"/>
      <c r="E77" s="14"/>
      <c r="F77" s="15"/>
      <c r="G77" s="13"/>
      <c r="M77" s="13"/>
      <c r="N77" s="20"/>
      <c r="O77" s="16"/>
      <c r="P77" s="16"/>
      <c r="Q77" s="24"/>
    </row>
    <row r="78" spans="1:17" outlineLevel="1">
      <c r="A78" s="13"/>
      <c r="B78" s="13"/>
      <c r="C78" s="191"/>
      <c r="D78" s="29"/>
      <c r="E78" s="14"/>
      <c r="F78" s="15"/>
      <c r="G78" s="13"/>
      <c r="M78" s="13"/>
      <c r="N78" s="20"/>
      <c r="O78" s="16"/>
      <c r="P78" s="16"/>
      <c r="Q78" s="24"/>
    </row>
    <row r="79" spans="1:17" outlineLevel="1">
      <c r="A79" s="13"/>
      <c r="B79" s="13"/>
      <c r="C79" s="191"/>
      <c r="D79" s="29"/>
      <c r="E79" s="14"/>
      <c r="F79" s="15"/>
      <c r="G79" s="13"/>
      <c r="M79" s="13"/>
      <c r="N79" s="20"/>
      <c r="O79" s="16"/>
      <c r="P79" s="16"/>
      <c r="Q79" s="24"/>
    </row>
    <row r="80" spans="1:17" outlineLevel="1">
      <c r="A80" s="13"/>
      <c r="B80" s="13"/>
      <c r="C80" s="191"/>
      <c r="D80" s="29"/>
      <c r="E80" s="14"/>
      <c r="F80" s="15"/>
      <c r="G80" s="13"/>
      <c r="M80" s="13"/>
      <c r="N80" s="20"/>
      <c r="O80" s="16"/>
      <c r="P80" s="16"/>
      <c r="Q80" s="24"/>
    </row>
    <row r="81" spans="1:17" outlineLevel="1">
      <c r="A81" s="13"/>
      <c r="B81" s="13"/>
      <c r="C81" s="191"/>
      <c r="D81" s="29"/>
      <c r="E81" s="14"/>
      <c r="F81" s="15"/>
      <c r="G81" s="13"/>
      <c r="M81" s="13"/>
      <c r="N81" s="20"/>
      <c r="O81" s="16"/>
      <c r="P81" s="16"/>
      <c r="Q81" s="24"/>
    </row>
    <row r="82" spans="1:17" outlineLevel="1">
      <c r="A82" s="13"/>
      <c r="B82" s="13"/>
      <c r="C82" s="191"/>
      <c r="D82" s="29"/>
      <c r="E82" s="14"/>
      <c r="F82" s="15"/>
      <c r="G82" s="13"/>
      <c r="M82" s="13"/>
      <c r="N82" s="20"/>
      <c r="O82" s="16"/>
      <c r="P82" s="16"/>
      <c r="Q82" s="24"/>
    </row>
    <row r="83" spans="1:17" outlineLevel="1">
      <c r="A83" s="13"/>
      <c r="B83" s="13"/>
      <c r="C83" s="191"/>
      <c r="D83" s="29"/>
      <c r="E83" s="14"/>
      <c r="F83" s="15"/>
      <c r="G83" s="13"/>
      <c r="M83" s="13"/>
      <c r="N83" s="20"/>
      <c r="O83" s="16"/>
      <c r="P83" s="16"/>
      <c r="Q83" s="24"/>
    </row>
    <row r="84" spans="1:17" outlineLevel="1">
      <c r="A84" s="13"/>
      <c r="B84" s="13"/>
      <c r="C84" s="191"/>
      <c r="D84" s="29"/>
      <c r="E84" s="14"/>
      <c r="F84" s="15"/>
      <c r="G84" s="13"/>
      <c r="M84" s="13"/>
      <c r="N84" s="20"/>
      <c r="O84" s="16"/>
      <c r="P84" s="16"/>
      <c r="Q84" s="24"/>
    </row>
    <row r="85" spans="1:17" outlineLevel="1">
      <c r="A85" s="13"/>
      <c r="B85" s="13"/>
      <c r="C85" s="191"/>
      <c r="D85" s="29"/>
      <c r="E85" s="14"/>
      <c r="F85" s="15"/>
      <c r="G85" s="13"/>
      <c r="M85" s="13"/>
      <c r="N85" s="20"/>
      <c r="O85" s="16"/>
      <c r="P85" s="16"/>
      <c r="Q85" s="24"/>
    </row>
    <row r="86" spans="1:17" outlineLevel="1">
      <c r="A86" s="13"/>
      <c r="B86" s="13"/>
      <c r="C86" s="191"/>
      <c r="D86" s="29"/>
      <c r="E86" s="14"/>
      <c r="F86" s="15"/>
      <c r="G86" s="13"/>
      <c r="M86" s="13"/>
      <c r="N86" s="20"/>
      <c r="O86" s="16"/>
      <c r="P86" s="16"/>
      <c r="Q86" s="24"/>
    </row>
    <row r="87" spans="1:17" outlineLevel="1">
      <c r="A87" s="13"/>
      <c r="B87" s="13"/>
      <c r="C87" s="191"/>
      <c r="D87" s="29"/>
      <c r="E87" s="14"/>
      <c r="F87" s="15"/>
      <c r="G87" s="13"/>
      <c r="M87" s="13"/>
      <c r="N87" s="20"/>
      <c r="O87" s="16"/>
      <c r="P87" s="16"/>
      <c r="Q87" s="24"/>
    </row>
    <row r="88" spans="1:17" outlineLevel="1">
      <c r="A88" s="13"/>
      <c r="B88" s="13"/>
      <c r="C88" s="191"/>
      <c r="D88" s="29"/>
      <c r="E88" s="14"/>
      <c r="F88" s="15"/>
      <c r="G88" s="13"/>
      <c r="M88" s="13"/>
      <c r="N88" s="20"/>
      <c r="O88" s="16"/>
      <c r="P88" s="16"/>
      <c r="Q88" s="24"/>
    </row>
    <row r="89" spans="1:17" outlineLevel="1">
      <c r="A89" s="13"/>
      <c r="B89" s="13"/>
      <c r="C89" s="191"/>
      <c r="D89" s="29"/>
      <c r="E89" s="14"/>
      <c r="F89" s="15"/>
      <c r="G89" s="13"/>
      <c r="M89" s="13"/>
      <c r="N89" s="20"/>
      <c r="O89" s="16"/>
      <c r="P89" s="16"/>
      <c r="Q89" s="24"/>
    </row>
    <row r="90" spans="1:17" outlineLevel="1">
      <c r="A90" s="13"/>
      <c r="B90" s="13"/>
      <c r="C90" s="191"/>
      <c r="D90" s="29"/>
      <c r="E90" s="14"/>
      <c r="F90" s="15"/>
      <c r="G90" s="13"/>
      <c r="M90" s="13"/>
      <c r="N90" s="20"/>
      <c r="O90" s="16"/>
      <c r="P90" s="16"/>
      <c r="Q90" s="24"/>
    </row>
    <row r="91" spans="1:17" outlineLevel="1">
      <c r="A91" s="13"/>
      <c r="B91" s="13"/>
      <c r="C91" s="191"/>
      <c r="D91" s="29"/>
      <c r="E91" s="14"/>
      <c r="F91" s="15"/>
      <c r="G91" s="13"/>
      <c r="M91" s="13"/>
      <c r="N91" s="20"/>
      <c r="O91" s="16"/>
      <c r="P91" s="16"/>
      <c r="Q91" s="24"/>
    </row>
    <row r="92" spans="1:17" outlineLevel="1">
      <c r="A92" s="13"/>
      <c r="B92" s="13"/>
      <c r="C92" s="191"/>
      <c r="D92" s="29"/>
      <c r="E92" s="14"/>
      <c r="F92" s="15"/>
      <c r="G92" s="13"/>
      <c r="M92" s="13"/>
      <c r="N92" s="20"/>
      <c r="O92" s="16"/>
      <c r="P92" s="16"/>
      <c r="Q92" s="24"/>
    </row>
    <row r="93" spans="1:17" outlineLevel="1">
      <c r="A93" s="13"/>
      <c r="B93" s="13"/>
      <c r="C93" s="191"/>
      <c r="D93" s="29"/>
      <c r="E93" s="14"/>
      <c r="F93" s="15"/>
      <c r="G93" s="13"/>
      <c r="M93" s="13"/>
      <c r="N93" s="20"/>
      <c r="O93" s="16"/>
      <c r="P93" s="16"/>
      <c r="Q93" s="24"/>
    </row>
    <row r="94" spans="1:17" outlineLevel="1">
      <c r="A94" s="13"/>
      <c r="B94" s="13"/>
      <c r="C94" s="191"/>
      <c r="D94" s="29"/>
      <c r="E94" s="14"/>
      <c r="F94" s="15"/>
      <c r="G94" s="13"/>
      <c r="M94" s="13"/>
      <c r="N94" s="20"/>
      <c r="O94" s="16"/>
      <c r="P94" s="16"/>
      <c r="Q94" s="24"/>
    </row>
    <row r="95" spans="1:17" outlineLevel="1">
      <c r="A95" s="13"/>
      <c r="B95" s="13"/>
      <c r="C95" s="191"/>
      <c r="D95" s="29"/>
      <c r="E95" s="14"/>
      <c r="F95" s="15"/>
      <c r="G95" s="13"/>
      <c r="M95" s="13"/>
      <c r="N95" s="20"/>
      <c r="O95" s="16"/>
      <c r="P95" s="16"/>
      <c r="Q95" s="24"/>
    </row>
    <row r="96" spans="1:17" outlineLevel="1">
      <c r="A96" s="13"/>
      <c r="B96" s="13"/>
      <c r="C96" s="191"/>
      <c r="D96" s="29"/>
      <c r="E96" s="14"/>
      <c r="F96" s="15"/>
      <c r="G96" s="13"/>
      <c r="M96" s="13"/>
      <c r="N96" s="20"/>
      <c r="O96" s="16"/>
      <c r="P96" s="16"/>
      <c r="Q96" s="24"/>
    </row>
    <row r="97" spans="1:17" outlineLevel="1">
      <c r="A97" s="13"/>
      <c r="B97" s="13"/>
      <c r="C97" s="191"/>
      <c r="D97" s="29"/>
      <c r="E97" s="14"/>
      <c r="F97" s="15"/>
      <c r="G97" s="13"/>
      <c r="M97" s="13"/>
      <c r="N97" s="20"/>
      <c r="O97" s="16"/>
      <c r="P97" s="16"/>
      <c r="Q97" s="24"/>
    </row>
    <row r="98" spans="1:17" outlineLevel="1">
      <c r="A98" s="13"/>
      <c r="B98" s="13"/>
      <c r="C98" s="191"/>
      <c r="D98" s="29"/>
      <c r="E98" s="14"/>
      <c r="F98" s="15"/>
      <c r="G98" s="13"/>
      <c r="M98" s="13"/>
      <c r="N98" s="20"/>
      <c r="O98" s="16"/>
      <c r="P98" s="16"/>
      <c r="Q98" s="24"/>
    </row>
    <row r="99" spans="1:17" outlineLevel="1">
      <c r="A99" s="13"/>
      <c r="B99" s="13"/>
      <c r="C99" s="191"/>
      <c r="D99" s="29"/>
      <c r="E99" s="14"/>
      <c r="F99" s="15"/>
      <c r="G99" s="13"/>
      <c r="M99" s="13"/>
      <c r="N99" s="20"/>
      <c r="O99" s="16"/>
      <c r="P99" s="16"/>
      <c r="Q99" s="24"/>
    </row>
    <row r="100" spans="1:17" outlineLevel="1">
      <c r="A100" s="13"/>
      <c r="B100" s="13"/>
      <c r="C100" s="191"/>
      <c r="D100" s="29"/>
      <c r="E100" s="14"/>
      <c r="F100" s="15"/>
      <c r="G100" s="13"/>
      <c r="M100" s="13"/>
      <c r="N100" s="20"/>
      <c r="O100" s="16"/>
      <c r="P100" s="16"/>
      <c r="Q100" s="24"/>
    </row>
    <row r="101" spans="1:17" outlineLevel="1">
      <c r="A101" s="13"/>
      <c r="B101" s="13"/>
      <c r="C101" s="191"/>
      <c r="D101" s="29"/>
      <c r="E101" s="14"/>
      <c r="F101" s="15"/>
      <c r="G101" s="13"/>
      <c r="M101" s="13"/>
      <c r="N101" s="20"/>
      <c r="O101" s="16"/>
      <c r="P101" s="16"/>
      <c r="Q101" s="24"/>
    </row>
    <row r="102" spans="1:17" outlineLevel="1">
      <c r="A102" s="13"/>
      <c r="B102" s="13"/>
      <c r="C102" s="191"/>
      <c r="D102" s="29"/>
      <c r="E102" s="14"/>
      <c r="F102" s="15"/>
      <c r="G102" s="13"/>
      <c r="M102" s="13"/>
      <c r="N102" s="20"/>
      <c r="O102" s="16"/>
      <c r="P102" s="16"/>
      <c r="Q102" s="24"/>
    </row>
    <row r="103" spans="1:17" outlineLevel="1">
      <c r="A103" s="13"/>
      <c r="B103" s="13"/>
      <c r="C103" s="191"/>
      <c r="D103" s="29"/>
      <c r="E103" s="14"/>
      <c r="F103" s="15"/>
      <c r="G103" s="13"/>
      <c r="M103" s="13"/>
      <c r="N103" s="20"/>
      <c r="O103" s="16"/>
      <c r="P103" s="16"/>
      <c r="Q103" s="24"/>
    </row>
    <row r="104" spans="1:17">
      <c r="C104" s="17"/>
    </row>
    <row r="105" spans="1:17">
      <c r="C105" s="17"/>
      <c r="E105" s="192"/>
    </row>
    <row r="106" spans="1:17">
      <c r="C106" s="17"/>
    </row>
    <row r="107" spans="1:17">
      <c r="C107" s="17"/>
    </row>
    <row r="108" spans="1:17">
      <c r="C108" s="17"/>
    </row>
    <row r="109" spans="1:17">
      <c r="C109" s="17"/>
    </row>
    <row r="110" spans="1:17">
      <c r="C110" s="17"/>
    </row>
    <row r="111" spans="1:17">
      <c r="C111" s="17"/>
    </row>
    <row r="112" spans="1:17">
      <c r="C112" s="17"/>
    </row>
    <row r="113" spans="3:3">
      <c r="C113" s="17"/>
    </row>
    <row r="114" spans="3:3">
      <c r="C114" s="17"/>
    </row>
    <row r="115" spans="3:3">
      <c r="C115" s="17"/>
    </row>
    <row r="116" spans="3:3">
      <c r="C116" s="17"/>
    </row>
    <row r="117" spans="3:3">
      <c r="C117" s="17"/>
    </row>
    <row r="118" spans="3:3">
      <c r="C118" s="17"/>
    </row>
    <row r="119" spans="3:3">
      <c r="C119" s="17"/>
    </row>
    <row r="120" spans="3:3">
      <c r="C120" s="17"/>
    </row>
    <row r="121" spans="3:3">
      <c r="C121" s="17"/>
    </row>
    <row r="122" spans="3:3">
      <c r="C122" s="17"/>
    </row>
    <row r="123" spans="3:3">
      <c r="C123" s="17"/>
    </row>
    <row r="124" spans="3:3">
      <c r="C124" s="17"/>
    </row>
    <row r="125" spans="3:3">
      <c r="C125" s="17"/>
    </row>
    <row r="126" spans="3:3">
      <c r="C126" s="17"/>
    </row>
    <row r="127" spans="3:3">
      <c r="C127" s="17"/>
    </row>
    <row r="128" spans="3:3">
      <c r="C128" s="17"/>
    </row>
    <row r="129" spans="3:3">
      <c r="C129" s="17"/>
    </row>
    <row r="130" spans="3:3">
      <c r="C130" s="17"/>
    </row>
    <row r="131" spans="3:3">
      <c r="C131" s="17"/>
    </row>
    <row r="132" spans="3:3">
      <c r="C132" s="17"/>
    </row>
    <row r="133" spans="3:3">
      <c r="C133" s="17"/>
    </row>
    <row r="134" spans="3:3">
      <c r="C134" s="17"/>
    </row>
    <row r="135" spans="3:3">
      <c r="C135" s="17"/>
    </row>
    <row r="136" spans="3:3">
      <c r="C136" s="17"/>
    </row>
    <row r="137" spans="3:3">
      <c r="C137" s="17"/>
    </row>
    <row r="138" spans="3:3">
      <c r="C138" s="17"/>
    </row>
    <row r="139" spans="3:3">
      <c r="C139" s="17"/>
    </row>
    <row r="140" spans="3:3">
      <c r="C140" s="17"/>
    </row>
    <row r="141" spans="3:3">
      <c r="C141" s="17"/>
    </row>
    <row r="142" spans="3:3">
      <c r="C142" s="17"/>
    </row>
    <row r="143" spans="3:3">
      <c r="C143" s="17"/>
    </row>
    <row r="144" spans="3:3">
      <c r="C144" s="17"/>
    </row>
    <row r="145" spans="3:3">
      <c r="C145" s="17"/>
    </row>
    <row r="146" spans="3:3">
      <c r="C146" s="17"/>
    </row>
    <row r="147" spans="3:3">
      <c r="C147" s="17"/>
    </row>
    <row r="148" spans="3:3">
      <c r="C148" s="17"/>
    </row>
    <row r="149" spans="3:3">
      <c r="C149" s="17"/>
    </row>
    <row r="150" spans="3:3">
      <c r="C150" s="17"/>
    </row>
    <row r="151" spans="3:3">
      <c r="C151" s="17"/>
    </row>
    <row r="152" spans="3:3">
      <c r="C152" s="17"/>
    </row>
    <row r="153" spans="3:3">
      <c r="C153" s="17"/>
    </row>
    <row r="154" spans="3:3">
      <c r="C154" s="17"/>
    </row>
    <row r="155" spans="3:3">
      <c r="C155" s="17"/>
    </row>
    <row r="156" spans="3:3">
      <c r="C156" s="17"/>
    </row>
    <row r="157" spans="3:3">
      <c r="C157" s="17"/>
    </row>
    <row r="158" spans="3:3">
      <c r="C158" s="17"/>
    </row>
    <row r="159" spans="3:3">
      <c r="C159" s="17"/>
    </row>
    <row r="160" spans="3:3">
      <c r="C160" s="17"/>
    </row>
    <row r="161" spans="3:3">
      <c r="C161" s="17"/>
    </row>
    <row r="162" spans="3:3">
      <c r="C162" s="17"/>
    </row>
    <row r="164" spans="3:3">
      <c r="C164" s="17"/>
    </row>
    <row r="165" spans="3:3">
      <c r="C165" s="17"/>
    </row>
    <row r="166" spans="3:3">
      <c r="C166" s="17"/>
    </row>
    <row r="167" spans="3:3">
      <c r="C167" s="17"/>
    </row>
    <row r="168" spans="3:3">
      <c r="C168" s="17"/>
    </row>
    <row r="169" spans="3:3">
      <c r="C169" s="17"/>
    </row>
    <row r="170" spans="3:3">
      <c r="C170" s="17"/>
    </row>
    <row r="171" spans="3:3">
      <c r="C171" s="17"/>
    </row>
    <row r="172" spans="3:3">
      <c r="C172" s="17"/>
    </row>
    <row r="173" spans="3:3">
      <c r="C173" s="17"/>
    </row>
    <row r="174" spans="3:3">
      <c r="C174" s="17"/>
    </row>
    <row r="175" spans="3:3">
      <c r="C175" s="17"/>
    </row>
  </sheetData>
  <sortState ref="C4:C30">
    <sortCondition ref="C4"/>
  </sortState>
  <phoneticPr fontId="0" type="noConversion"/>
  <conditionalFormatting sqref="M4:M103">
    <cfRule type="expression" dxfId="6548" priority="1" stopIfTrue="1">
      <formula>ISNA(O4)</formula>
    </cfRule>
  </conditionalFormatting>
  <conditionalFormatting sqref="D4:D103">
    <cfRule type="cellIs" dxfId="6547" priority="2" stopIfTrue="1" operator="greaterThan">
      <formula>500.1</formula>
    </cfRule>
  </conditionalFormatting>
  <conditionalFormatting sqref="A4:B103">
    <cfRule type="expression" dxfId="6546" priority="3" stopIfTrue="1">
      <formula>ISNA(D4)</formula>
    </cfRule>
  </conditionalFormatting>
  <dataValidations count="2">
    <dataValidation type="list" allowBlank="1" showInputMessage="1" showErrorMessage="1" sqref="T29">
      <formula1>"ЗМЕЙКОЙ, РАВНОМЕРНЫЙ"</formula1>
    </dataValidation>
    <dataValidation type="list" allowBlank="1" showErrorMessage="1" sqref="G4:G103">
      <formula1>$H$2:$H$3</formula1>
      <formula2>0</formula2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indexed="12"/>
  </sheetPr>
  <dimension ref="B1:CT153"/>
  <sheetViews>
    <sheetView workbookViewId="0">
      <pane xSplit="2" ySplit="3" topLeftCell="C28" activePane="bottomRight" state="frozenSplit"/>
      <selection pane="topRight" activeCell="C1" sqref="C1"/>
      <selection pane="bottomLeft" activeCell="A3" sqref="A3"/>
      <selection pane="bottomRight" activeCell="D2" sqref="D2"/>
    </sheetView>
  </sheetViews>
  <sheetFormatPr defaultRowHeight="13.5" outlineLevelRow="1" outlineLevelCol="1"/>
  <cols>
    <col min="1" max="1" width="3.5" style="35" bestFit="1" customWidth="1"/>
    <col min="2" max="2" width="14.5" style="35" bestFit="1" customWidth="1"/>
    <col min="3" max="3" width="13.625" style="35" bestFit="1" customWidth="1"/>
    <col min="4" max="4" width="12.25" style="35" bestFit="1" customWidth="1"/>
    <col min="5" max="18" width="10.625" style="35" customWidth="1"/>
    <col min="19" max="34" width="4.625" style="35" hidden="1" customWidth="1" outlineLevel="1"/>
    <col min="35" max="35" width="1.625" style="35" customWidth="1" collapsed="1"/>
    <col min="36" max="36" width="3.5" style="35" bestFit="1" customWidth="1"/>
    <col min="37" max="37" width="22.625" style="35" customWidth="1"/>
    <col min="38" max="38" width="7.75" style="35" bestFit="1" customWidth="1"/>
    <col min="39" max="39" width="4.125" style="35" customWidth="1"/>
    <col min="40" max="40" width="14.875" style="35" customWidth="1"/>
    <col min="41" max="46" width="3.625" style="35" hidden="1" customWidth="1" outlineLevel="1"/>
    <col min="47" max="49" width="4.625" style="35" hidden="1" customWidth="1" outlineLevel="1"/>
    <col min="50" max="50" width="1.625" style="35" customWidth="1" collapsed="1"/>
    <col min="51" max="51" width="4.625" style="35" customWidth="1"/>
    <col min="52" max="52" width="22.625" style="35" customWidth="1"/>
    <col min="53" max="53" width="7.75" style="35" customWidth="1"/>
    <col min="54" max="56" width="2.625" style="35" customWidth="1" outlineLevel="1"/>
    <col min="57" max="58" width="3.375" style="35" bestFit="1" customWidth="1" outlineLevel="1"/>
    <col min="59" max="59" width="2.625" style="35" customWidth="1" outlineLevel="1"/>
    <col min="60" max="60" width="3.375" style="35" bestFit="1" customWidth="1" outlineLevel="1"/>
    <col min="61" max="61" width="12.375" style="35" bestFit="1" customWidth="1"/>
    <col min="62" max="62" width="4.625" style="35" customWidth="1"/>
    <col min="63" max="63" width="22.625" style="35" customWidth="1"/>
    <col min="64" max="64" width="7.75" style="35" customWidth="1"/>
    <col min="65" max="71" width="2.625" style="35" customWidth="1" outlineLevel="1"/>
    <col min="72" max="72" width="12.375" style="35" bestFit="1" customWidth="1"/>
    <col min="73" max="73" width="6.375" style="35" customWidth="1"/>
    <col min="74" max="74" width="22.625" style="35" customWidth="1"/>
    <col min="75" max="75" width="7.75" style="35" customWidth="1"/>
    <col min="76" max="82" width="3.625" style="35" customWidth="1" outlineLevel="1"/>
    <col min="83" max="83" width="12.375" style="35" bestFit="1" customWidth="1"/>
    <col min="84" max="84" width="3.625" style="35" customWidth="1"/>
    <col min="85" max="85" width="3.125" style="35" customWidth="1" outlineLevel="1"/>
    <col min="86" max="86" width="2.25" style="35" customWidth="1" outlineLevel="1"/>
    <col min="87" max="88" width="1.875" style="35" customWidth="1" outlineLevel="1"/>
    <col min="89" max="89" width="3.375" style="35" customWidth="1" outlineLevel="1"/>
    <col min="90" max="91" width="1.875" style="35" customWidth="1" outlineLevel="1"/>
    <col min="92" max="92" width="3.375" style="35" customWidth="1" outlineLevel="1"/>
    <col min="93" max="93" width="1.875" style="35" customWidth="1" outlineLevel="1"/>
    <col min="94" max="94" width="2.875" style="35" customWidth="1" outlineLevel="1"/>
    <col min="95" max="95" width="4.625" style="35" customWidth="1"/>
    <col min="96" max="98" width="22.625" style="35" customWidth="1"/>
    <col min="99" max="16384" width="9" style="35"/>
  </cols>
  <sheetData>
    <row r="1" spans="2:98" outlineLevel="1">
      <c r="B1" s="35" t="s">
        <v>54</v>
      </c>
      <c r="C1" s="35">
        <v>0</v>
      </c>
      <c r="D1" s="35">
        <v>0</v>
      </c>
      <c r="E1" s="35">
        <f t="shared" ref="E1:R1" si="0">C1+shift1</f>
        <v>10</v>
      </c>
      <c r="F1" s="35">
        <f t="shared" si="0"/>
        <v>10</v>
      </c>
      <c r="G1" s="35">
        <f t="shared" si="0"/>
        <v>20</v>
      </c>
      <c r="H1" s="35">
        <f t="shared" si="0"/>
        <v>20</v>
      </c>
      <c r="I1" s="35">
        <f t="shared" si="0"/>
        <v>30</v>
      </c>
      <c r="J1" s="35">
        <f t="shared" si="0"/>
        <v>30</v>
      </c>
      <c r="K1" s="35">
        <f t="shared" si="0"/>
        <v>40</v>
      </c>
      <c r="L1" s="35">
        <f t="shared" si="0"/>
        <v>40</v>
      </c>
      <c r="M1" s="35">
        <f t="shared" si="0"/>
        <v>50</v>
      </c>
      <c r="N1" s="35">
        <f t="shared" si="0"/>
        <v>50</v>
      </c>
      <c r="O1" s="35">
        <f t="shared" si="0"/>
        <v>60</v>
      </c>
      <c r="P1" s="35">
        <f t="shared" si="0"/>
        <v>60</v>
      </c>
      <c r="Q1" s="35">
        <f t="shared" si="0"/>
        <v>70</v>
      </c>
      <c r="R1" s="35">
        <f t="shared" si="0"/>
        <v>70</v>
      </c>
    </row>
    <row r="2" spans="2:98" outlineLevel="1">
      <c r="B2" s="35" t="s">
        <v>55</v>
      </c>
      <c r="C2" s="35">
        <v>0</v>
      </c>
      <c r="D2" s="35">
        <f>C2+shift2</f>
        <v>24</v>
      </c>
      <c r="E2" s="35">
        <f>C2</f>
        <v>0</v>
      </c>
      <c r="F2" s="35">
        <f>D2</f>
        <v>24</v>
      </c>
      <c r="G2" s="35">
        <f t="shared" ref="G2:R2" si="1">E2</f>
        <v>0</v>
      </c>
      <c r="H2" s="35">
        <f t="shared" si="1"/>
        <v>24</v>
      </c>
      <c r="I2" s="35">
        <f t="shared" si="1"/>
        <v>0</v>
      </c>
      <c r="J2" s="35">
        <f t="shared" si="1"/>
        <v>24</v>
      </c>
      <c r="K2" s="35">
        <f t="shared" si="1"/>
        <v>0</v>
      </c>
      <c r="L2" s="35">
        <f t="shared" si="1"/>
        <v>24</v>
      </c>
      <c r="M2" s="35">
        <f t="shared" si="1"/>
        <v>0</v>
      </c>
      <c r="N2" s="35">
        <f t="shared" si="1"/>
        <v>24</v>
      </c>
      <c r="O2" s="35">
        <f t="shared" si="1"/>
        <v>0</v>
      </c>
      <c r="P2" s="35">
        <f t="shared" si="1"/>
        <v>24</v>
      </c>
      <c r="Q2" s="35">
        <f t="shared" si="1"/>
        <v>0</v>
      </c>
      <c r="R2" s="35">
        <f t="shared" si="1"/>
        <v>24</v>
      </c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Q2" s="36"/>
      <c r="CR2" s="36"/>
      <c r="CS2" s="36"/>
      <c r="CT2" s="36"/>
    </row>
    <row r="3" spans="2:98">
      <c r="B3" s="37" t="s">
        <v>26</v>
      </c>
      <c r="C3" s="37">
        <v>1</v>
      </c>
      <c r="D3" s="37">
        <v>2</v>
      </c>
      <c r="E3" s="37">
        <v>3</v>
      </c>
      <c r="F3" s="37">
        <v>4</v>
      </c>
      <c r="G3" s="37">
        <v>5</v>
      </c>
      <c r="H3" s="37">
        <v>6</v>
      </c>
      <c r="I3" s="37">
        <v>7</v>
      </c>
      <c r="J3" s="37">
        <v>8</v>
      </c>
      <c r="K3" s="37">
        <v>9</v>
      </c>
      <c r="L3" s="37">
        <v>10</v>
      </c>
      <c r="M3" s="37">
        <v>11</v>
      </c>
      <c r="N3" s="37">
        <v>12</v>
      </c>
      <c r="O3" s="37">
        <v>13</v>
      </c>
      <c r="P3" s="37">
        <v>14</v>
      </c>
      <c r="Q3" s="37">
        <v>15</v>
      </c>
      <c r="R3" s="37">
        <v>16</v>
      </c>
      <c r="S3" s="36">
        <v>1</v>
      </c>
      <c r="T3" s="36">
        <v>2</v>
      </c>
      <c r="U3" s="36">
        <v>3</v>
      </c>
      <c r="V3" s="36">
        <v>4</v>
      </c>
      <c r="W3" s="36">
        <v>5</v>
      </c>
      <c r="X3" s="36">
        <v>6</v>
      </c>
      <c r="Y3" s="36">
        <v>7</v>
      </c>
      <c r="Z3" s="36">
        <v>8</v>
      </c>
      <c r="AA3" s="36">
        <v>9</v>
      </c>
      <c r="AB3" s="36">
        <v>10</v>
      </c>
      <c r="AC3" s="36">
        <v>11</v>
      </c>
      <c r="AD3" s="36">
        <v>12</v>
      </c>
      <c r="AE3" s="36">
        <v>13</v>
      </c>
      <c r="AF3" s="36">
        <v>14</v>
      </c>
      <c r="AG3" s="36">
        <v>15</v>
      </c>
      <c r="AH3" s="36">
        <v>16</v>
      </c>
      <c r="AI3" s="36"/>
      <c r="AK3" s="38" t="s">
        <v>44</v>
      </c>
      <c r="AL3" s="39">
        <f>N_groups</f>
        <v>3</v>
      </c>
      <c r="AM3" s="40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36"/>
      <c r="BW3" s="36"/>
      <c r="BX3" s="36"/>
      <c r="BY3" s="36"/>
      <c r="BZ3" s="36"/>
      <c r="CQ3" s="41"/>
      <c r="CR3" s="41"/>
      <c r="CS3" s="41"/>
      <c r="CT3" s="41"/>
    </row>
    <row r="4" spans="2:98">
      <c r="B4" s="42">
        <v>1</v>
      </c>
      <c r="C4" s="43" t="str">
        <f ca="1">IF(S4=0,"",OFFSET(Группы!gr_header,S4+C$1,1+C$2))</f>
        <v/>
      </c>
      <c r="D4" s="43" t="str">
        <f ca="1">IF(T4=0,"",OFFSET(Группы!gr_header,T4+D$1,1+D$2))</f>
        <v/>
      </c>
      <c r="E4" s="43" t="str">
        <f ca="1">IF(U4=0,"",OFFSET(Группы!gr_header,U4+E$1,1+E$2))</f>
        <v/>
      </c>
      <c r="F4" s="43" t="str">
        <f ca="1">IF(V4=0,"",OFFSET(Группы!gr_header,V4+F$1,1+F$2))</f>
        <v/>
      </c>
      <c r="G4" s="43" t="str">
        <f ca="1">IF(W4=0,"",OFFSET(Группы!gr_header,W4+G$1,1+G$2))</f>
        <v/>
      </c>
      <c r="H4" s="43" t="str">
        <f ca="1">IF(X4=0,"",OFFSET(Группы!gr_header,X4+H$1,1+H$2))</f>
        <v/>
      </c>
      <c r="I4" s="43" t="str">
        <f ca="1">IF(Y4=0,"",OFFSET(Группы!gr_header,Y4+I$1,1+I$2))</f>
        <v/>
      </c>
      <c r="J4" s="43" t="str">
        <f ca="1">IF(Z4=0,"",OFFSET(Группы!gr_header,Z4+J$1,1+J$2))</f>
        <v/>
      </c>
      <c r="K4" s="43" t="str">
        <f ca="1">IF(AA4=0,"",OFFSET(Группы!gr_header,AA4+K$1,1+K$2))</f>
        <v/>
      </c>
      <c r="L4" s="43" t="str">
        <f ca="1">IF(AB4=0,"",OFFSET(Группы!gr_header,AB4+L$1,1+L$2))</f>
        <v/>
      </c>
      <c r="M4" s="43" t="str">
        <f ca="1">IF(AC4=0,"",OFFSET(Группы!gr_header,AC4+M$1,1+M$2))</f>
        <v/>
      </c>
      <c r="N4" s="43" t="str">
        <f ca="1">IF(AD4=0,"",OFFSET(Группы!gr_header,AD4+N$1,1+N$2))</f>
        <v/>
      </c>
      <c r="O4" s="43" t="str">
        <f ca="1">IF(AE4=0,"",OFFSET(Группы!gr_header,AE4+O$1,1+O$2))</f>
        <v/>
      </c>
      <c r="P4" s="43" t="str">
        <f ca="1">IF(AF4=0,"",OFFSET(Группы!gr_header,AF4+P$1,1+P$2))</f>
        <v/>
      </c>
      <c r="Q4" s="43" t="str">
        <f ca="1">IF(AG4=0,"",OFFSET(Группы!gr_header,AG4+Q$1,1+Q$2))</f>
        <v/>
      </c>
      <c r="R4" s="43" t="str">
        <f ca="1">IF(AH4=0,"",OFFSET(Группы!gr_header,AH4+R$1,1+R$2))</f>
        <v/>
      </c>
      <c r="S4" s="44">
        <f ca="1">IF(ISNA(MATCH($B4,OFFSET(Группы!gr_header,C$1+1,C$2+shift4,shift3),0)),0,MATCH($B4,OFFSET(Группы!gr_header,C$1+1,C$2+shift4,shift3),0))</f>
        <v>0</v>
      </c>
      <c r="T4" s="44">
        <f ca="1">IF(ISNA(MATCH($B4,OFFSET(Группы!gr_header,D$1+1,D$2+shift4,shift3),0)),0,MATCH($B4,OFFSET(Группы!gr_header,D$1+1,D$2+shift4,shift3),0))</f>
        <v>0</v>
      </c>
      <c r="U4" s="44">
        <f ca="1">IF(ISNA(MATCH($B4,OFFSET(Группы!gr_header,E$1+1,E$2+shift4,shift3),0)),0,MATCH($B4,OFFSET(Группы!gr_header,E$1+1,E$2+shift4,shift3),0))</f>
        <v>0</v>
      </c>
      <c r="V4" s="44">
        <f ca="1">IF(ISNA(MATCH($B4,OFFSET(Группы!gr_header,F$1+1,F$2+shift4,shift3),0)),0,MATCH($B4,OFFSET(Группы!gr_header,F$1+1,F$2+shift4,shift3),0))</f>
        <v>0</v>
      </c>
      <c r="W4" s="44">
        <f ca="1">IF(ISNA(MATCH($B4,OFFSET(Группы!gr_header,G$1+1,G$2+shift4,shift3),0)),0,MATCH($B4,OFFSET(Группы!gr_header,G$1+1,G$2+shift4,shift3),0))</f>
        <v>0</v>
      </c>
      <c r="X4" s="44">
        <f ca="1">IF(ISNA(MATCH($B4,OFFSET(Группы!gr_header,H$1+1,H$2+shift4,shift3),0)),0,MATCH($B4,OFFSET(Группы!gr_header,H$1+1,H$2+shift4,shift3),0))</f>
        <v>0</v>
      </c>
      <c r="Y4" s="44">
        <f ca="1">IF(ISNA(MATCH($B4,OFFSET(Группы!gr_header,I$1+1,I$2+shift4,shift3),0)),0,MATCH($B4,OFFSET(Группы!gr_header,I$1+1,I$2+shift4,shift3),0))</f>
        <v>0</v>
      </c>
      <c r="Z4" s="44">
        <f ca="1">IF(ISNA(MATCH($B4,OFFSET(Группы!gr_header,J$1+1,J$2+shift4,shift3),0)),0,MATCH($B4,OFFSET(Группы!gr_header,J$1+1,J$2+shift4,shift3),0))</f>
        <v>0</v>
      </c>
      <c r="AA4" s="44">
        <f ca="1">IF(ISNA(MATCH($B4,OFFSET(Группы!gr_header,K$1+1,K$2+shift4,shift3),0)),0,MATCH($B4,OFFSET(Группы!gr_header,K$1+1,K$2+shift4,shift3),0))</f>
        <v>0</v>
      </c>
      <c r="AB4" s="44">
        <f ca="1">IF(ISNA(MATCH($B4,OFFSET(Группы!gr_header,L$1+1,L$2+shift4,shift3),0)),0,MATCH($B4,OFFSET(Группы!gr_header,L$1+1,L$2+shift4,shift3),0))</f>
        <v>0</v>
      </c>
      <c r="AC4" s="44">
        <f ca="1">IF(ISNA(MATCH($B4,OFFSET(Группы!gr_header,M$1+1,M$2+shift4,shift3),0)),0,MATCH($B4,OFFSET(Группы!gr_header,M$1+1,M$2+shift4,shift3),0))</f>
        <v>0</v>
      </c>
      <c r="AD4" s="44">
        <f ca="1">IF(ISNA(MATCH($B4,OFFSET(Группы!gr_header,N$1+1,N$2+shift4,shift3),0)),0,MATCH($B4,OFFSET(Группы!gr_header,N$1+1,N$2+shift4,shift3),0))</f>
        <v>0</v>
      </c>
      <c r="AE4" s="44">
        <f ca="1">IF(ISNA(MATCH($B4,OFFSET(Группы!gr_header,O$1+1,O$2+shift4,shift3),0)),0,MATCH($B4,OFFSET(Группы!gr_header,O$1+1,O$2+shift4,shift3),0))</f>
        <v>0</v>
      </c>
      <c r="AF4" s="44">
        <f ca="1">IF(ISNA(MATCH($B4,OFFSET(Группы!gr_header,P$1+1,P$2+shift4,shift3),0)),0,MATCH($B4,OFFSET(Группы!gr_header,P$1+1,P$2+shift4,shift3),0))</f>
        <v>0</v>
      </c>
      <c r="AG4" s="44">
        <f ca="1">IF(ISNA(MATCH($B4,OFFSET(Группы!gr_header,Q$1+1,Q$2+shift4,shift3),0)),0,MATCH($B4,OFFSET(Группы!gr_header,Q$1+1,Q$2+shift4,shift3),0))</f>
        <v>0</v>
      </c>
      <c r="AH4" s="44">
        <f ca="1">IF(ISNA(MATCH($B4,OFFSET(Группы!gr_header,R$1+1,R$2+shift4,shift3),0)),0,MATCH($B4,OFFSET(Группы!gr_header,R$1+1,R$2+shift4,shift3),0))</f>
        <v>0</v>
      </c>
      <c r="AI4" s="45"/>
      <c r="AK4" s="38" t="s">
        <v>43</v>
      </c>
      <c r="AL4" s="39">
        <f>n_zayavka/2</f>
        <v>0</v>
      </c>
      <c r="AM4" s="46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5"/>
      <c r="BW4" s="45"/>
      <c r="BX4" s="45"/>
      <c r="BY4" s="45"/>
      <c r="BZ4" s="45"/>
      <c r="CQ4" s="41"/>
      <c r="CR4" s="41"/>
      <c r="CS4" s="41"/>
      <c r="CT4" s="41"/>
    </row>
    <row r="5" spans="2:98">
      <c r="B5" s="42">
        <v>2</v>
      </c>
      <c r="C5" s="43" t="str">
        <f ca="1">IF(S5=0,"",OFFSET(Группы!gr_header,S5+C$1,1+C$2))</f>
        <v/>
      </c>
      <c r="D5" s="43" t="str">
        <f ca="1">IF(T5=0,"",OFFSET(Группы!gr_header,T5+D$1,1+D$2))</f>
        <v/>
      </c>
      <c r="E5" s="43" t="str">
        <f ca="1">IF(U5=0,"",OFFSET(Группы!gr_header,U5+E$1,1+E$2))</f>
        <v/>
      </c>
      <c r="F5" s="43" t="str">
        <f ca="1">IF(V5=0,"",OFFSET(Группы!gr_header,V5+F$1,1+F$2))</f>
        <v/>
      </c>
      <c r="G5" s="43" t="str">
        <f ca="1">IF(W5=0,"",OFFSET(Группы!gr_header,W5+G$1,1+G$2))</f>
        <v/>
      </c>
      <c r="H5" s="43" t="str">
        <f ca="1">IF(X5=0,"",OFFSET(Группы!gr_header,X5+H$1,1+H$2))</f>
        <v/>
      </c>
      <c r="I5" s="43" t="str">
        <f ca="1">IF(Y5=0,"",OFFSET(Группы!gr_header,Y5+I$1,1+I$2))</f>
        <v/>
      </c>
      <c r="J5" s="43" t="str">
        <f ca="1">IF(Z5=0,"",OFFSET(Группы!gr_header,Z5+J$1,1+J$2))</f>
        <v/>
      </c>
      <c r="K5" s="43" t="str">
        <f ca="1">IF(AA5=0,"",OFFSET(Группы!gr_header,AA5+K$1,1+K$2))</f>
        <v/>
      </c>
      <c r="L5" s="43" t="str">
        <f ca="1">IF(AB5=0,"",OFFSET(Группы!gr_header,AB5+L$1,1+L$2))</f>
        <v/>
      </c>
      <c r="M5" s="43" t="str">
        <f ca="1">IF(AC5=0,"",OFFSET(Группы!gr_header,AC5+M$1,1+M$2))</f>
        <v/>
      </c>
      <c r="N5" s="43" t="str">
        <f ca="1">IF(AD5=0,"",OFFSET(Группы!gr_header,AD5+N$1,1+N$2))</f>
        <v/>
      </c>
      <c r="O5" s="43" t="str">
        <f ca="1">IF(AE5=0,"",OFFSET(Группы!gr_header,AE5+O$1,1+O$2))</f>
        <v/>
      </c>
      <c r="P5" s="43" t="str">
        <f ca="1">IF(AF5=0,"",OFFSET(Группы!gr_header,AF5+P$1,1+P$2))</f>
        <v/>
      </c>
      <c r="Q5" s="43" t="str">
        <f ca="1">IF(AG5=0,"",OFFSET(Группы!gr_header,AG5+Q$1,1+Q$2))</f>
        <v/>
      </c>
      <c r="R5" s="43" t="str">
        <f ca="1">IF(AH5=0,"",OFFSET(Группы!gr_header,AH5+R$1,1+R$2))</f>
        <v/>
      </c>
      <c r="S5" s="44">
        <f ca="1">IF(ISNA(MATCH($B5,OFFSET(Группы!gr_header,C$1+1,C$2+shift4,shift3),0)),0,MATCH($B5,OFFSET(Группы!gr_header,C$1+1,C$2+shift4,shift3),0))</f>
        <v>0</v>
      </c>
      <c r="T5" s="44">
        <f ca="1">IF(ISNA(MATCH($B5,OFFSET(Группы!gr_header,D$1+1,D$2+shift4,shift3),0)),0,MATCH($B5,OFFSET(Группы!gr_header,D$1+1,D$2+shift4,shift3),0))</f>
        <v>0</v>
      </c>
      <c r="U5" s="44">
        <f ca="1">IF(ISNA(MATCH($B5,OFFSET(Группы!gr_header,E$1+1,E$2+shift4,shift3),0)),0,MATCH($B5,OFFSET(Группы!gr_header,E$1+1,E$2+shift4,shift3),0))</f>
        <v>0</v>
      </c>
      <c r="V5" s="44">
        <f ca="1">IF(ISNA(MATCH($B5,OFFSET(Группы!gr_header,F$1+1,F$2+shift4,shift3),0)),0,MATCH($B5,OFFSET(Группы!gr_header,F$1+1,F$2+shift4,shift3),0))</f>
        <v>0</v>
      </c>
      <c r="W5" s="44">
        <f ca="1">IF(ISNA(MATCH($B5,OFFSET(Группы!gr_header,G$1+1,G$2+shift4,shift3),0)),0,MATCH($B5,OFFSET(Группы!gr_header,G$1+1,G$2+shift4,shift3),0))</f>
        <v>0</v>
      </c>
      <c r="X5" s="44">
        <f ca="1">IF(ISNA(MATCH($B5,OFFSET(Группы!gr_header,H$1+1,H$2+shift4,shift3),0)),0,MATCH($B5,OFFSET(Группы!gr_header,H$1+1,H$2+shift4,shift3),0))</f>
        <v>0</v>
      </c>
      <c r="Y5" s="44">
        <f ca="1">IF(ISNA(MATCH($B5,OFFSET(Группы!gr_header,I$1+1,I$2+shift4,shift3),0)),0,MATCH($B5,OFFSET(Группы!gr_header,I$1+1,I$2+shift4,shift3),0))</f>
        <v>0</v>
      </c>
      <c r="Z5" s="44">
        <f ca="1">IF(ISNA(MATCH($B5,OFFSET(Группы!gr_header,J$1+1,J$2+shift4,shift3),0)),0,MATCH($B5,OFFSET(Группы!gr_header,J$1+1,J$2+shift4,shift3),0))</f>
        <v>0</v>
      </c>
      <c r="AA5" s="44">
        <f ca="1">IF(ISNA(MATCH($B5,OFFSET(Группы!gr_header,K$1+1,K$2+shift4,shift3),0)),0,MATCH($B5,OFFSET(Группы!gr_header,K$1+1,K$2+shift4,shift3),0))</f>
        <v>0</v>
      </c>
      <c r="AB5" s="44">
        <f ca="1">IF(ISNA(MATCH($B5,OFFSET(Группы!gr_header,L$1+1,L$2+shift4,shift3),0)),0,MATCH($B5,OFFSET(Группы!gr_header,L$1+1,L$2+shift4,shift3),0))</f>
        <v>0</v>
      </c>
      <c r="AC5" s="44">
        <f ca="1">IF(ISNA(MATCH($B5,OFFSET(Группы!gr_header,M$1+1,M$2+shift4,shift3),0)),0,MATCH($B5,OFFSET(Группы!gr_header,M$1+1,M$2+shift4,shift3),0))</f>
        <v>0</v>
      </c>
      <c r="AD5" s="44">
        <f ca="1">IF(ISNA(MATCH($B5,OFFSET(Группы!gr_header,N$1+1,N$2+shift4,shift3),0)),0,MATCH($B5,OFFSET(Группы!gr_header,N$1+1,N$2+shift4,shift3),0))</f>
        <v>0</v>
      </c>
      <c r="AE5" s="44">
        <f ca="1">IF(ISNA(MATCH($B5,OFFSET(Группы!gr_header,O$1+1,O$2+shift4,shift3),0)),0,MATCH($B5,OFFSET(Группы!gr_header,O$1+1,O$2+shift4,shift3),0))</f>
        <v>0</v>
      </c>
      <c r="AF5" s="44">
        <f ca="1">IF(ISNA(MATCH($B5,OFFSET(Группы!gr_header,P$1+1,P$2+shift4,shift3),0)),0,MATCH($B5,OFFSET(Группы!gr_header,P$1+1,P$2+shift4,shift3),0))</f>
        <v>0</v>
      </c>
      <c r="AG5" s="44">
        <f ca="1">IF(ISNA(MATCH($B5,OFFSET(Группы!gr_header,Q$1+1,Q$2+shift4,shift3),0)),0,MATCH($B5,OFFSET(Группы!gr_header,Q$1+1,Q$2+shift4,shift3),0))</f>
        <v>0</v>
      </c>
      <c r="AH5" s="44">
        <f ca="1">IF(ISNA(MATCH($B5,OFFSET(Группы!gr_header,R$1+1,R$2+shift4,shift3),0)),0,MATCH($B5,OFFSET(Группы!gr_header,R$1+1,R$2+shift4,shift3),0))</f>
        <v>0</v>
      </c>
      <c r="AI5" s="45"/>
      <c r="AM5" s="47"/>
      <c r="BV5" s="45"/>
      <c r="BW5" s="45"/>
      <c r="BX5" s="45"/>
      <c r="BY5" s="45"/>
      <c r="BZ5" s="45"/>
    </row>
    <row r="6" spans="2:98">
      <c r="B6" s="42">
        <v>3</v>
      </c>
      <c r="C6" s="43" t="str">
        <f ca="1">IF(S6=0,"",OFFSET(Группы!gr_header,S6+C$1,1+C$2))</f>
        <v/>
      </c>
      <c r="D6" s="43" t="str">
        <f ca="1">IF(T6=0,"",OFFSET(Группы!gr_header,T6+D$1,1+D$2))</f>
        <v/>
      </c>
      <c r="E6" s="43" t="str">
        <f ca="1">IF(U6=0,"",OFFSET(Группы!gr_header,U6+E$1,1+E$2))</f>
        <v/>
      </c>
      <c r="F6" s="43" t="str">
        <f ca="1">IF(V6=0,"",OFFSET(Группы!gr_header,V6+F$1,1+F$2))</f>
        <v/>
      </c>
      <c r="G6" s="43" t="str">
        <f ca="1">IF(W6=0,"",OFFSET(Группы!gr_header,W6+G$1,1+G$2))</f>
        <v/>
      </c>
      <c r="H6" s="43" t="str">
        <f ca="1">IF(X6=0,"",OFFSET(Группы!gr_header,X6+H$1,1+H$2))</f>
        <v/>
      </c>
      <c r="I6" s="43" t="str">
        <f ca="1">IF(Y6=0,"",OFFSET(Группы!gr_header,Y6+I$1,1+I$2))</f>
        <v/>
      </c>
      <c r="J6" s="43" t="str">
        <f ca="1">IF(Z6=0,"",OFFSET(Группы!gr_header,Z6+J$1,1+J$2))</f>
        <v/>
      </c>
      <c r="K6" s="43" t="str">
        <f ca="1">IF(AA6=0,"",OFFSET(Группы!gr_header,AA6+K$1,1+K$2))</f>
        <v/>
      </c>
      <c r="L6" s="43" t="str">
        <f ca="1">IF(AB6=0,"",OFFSET(Группы!gr_header,AB6+L$1,1+L$2))</f>
        <v/>
      </c>
      <c r="M6" s="43" t="str">
        <f ca="1">IF(AC6=0,"",OFFSET(Группы!gr_header,AC6+M$1,1+M$2))</f>
        <v/>
      </c>
      <c r="N6" s="43" t="str">
        <f ca="1">IF(AD6=0,"",OFFSET(Группы!gr_header,AD6+N$1,1+N$2))</f>
        <v/>
      </c>
      <c r="O6" s="43" t="str">
        <f ca="1">IF(AE6=0,"",OFFSET(Группы!gr_header,AE6+O$1,1+O$2))</f>
        <v/>
      </c>
      <c r="P6" s="43" t="str">
        <f ca="1">IF(AF6=0,"",OFFSET(Группы!gr_header,AF6+P$1,1+P$2))</f>
        <v/>
      </c>
      <c r="Q6" s="43" t="str">
        <f ca="1">IF(AG6=0,"",OFFSET(Группы!gr_header,AG6+Q$1,1+Q$2))</f>
        <v/>
      </c>
      <c r="R6" s="43" t="str">
        <f ca="1">IF(AH6=0,"",OFFSET(Группы!gr_header,AH6+R$1,1+R$2))</f>
        <v/>
      </c>
      <c r="S6" s="44">
        <f ca="1">IF(ISNA(MATCH($B6,OFFSET(Группы!gr_header,C$1+1,C$2+shift4,shift3),0)),0,MATCH($B6,OFFSET(Группы!gr_header,C$1+1,C$2+shift4,shift3),0))</f>
        <v>0</v>
      </c>
      <c r="T6" s="44">
        <f ca="1">IF(ISNA(MATCH($B6,OFFSET(Группы!gr_header,D$1+1,D$2+shift4,shift3),0)),0,MATCH($B6,OFFSET(Группы!gr_header,D$1+1,D$2+shift4,shift3),0))</f>
        <v>0</v>
      </c>
      <c r="U6" s="44">
        <f ca="1">IF(ISNA(MATCH($B6,OFFSET(Группы!gr_header,E$1+1,E$2+shift4,shift3),0)),0,MATCH($B6,OFFSET(Группы!gr_header,E$1+1,E$2+shift4,shift3),0))</f>
        <v>0</v>
      </c>
      <c r="V6" s="44">
        <f ca="1">IF(ISNA(MATCH($B6,OFFSET(Группы!gr_header,F$1+1,F$2+shift4,shift3),0)),0,MATCH($B6,OFFSET(Группы!gr_header,F$1+1,F$2+shift4,shift3),0))</f>
        <v>0</v>
      </c>
      <c r="W6" s="44">
        <f ca="1">IF(ISNA(MATCH($B6,OFFSET(Группы!gr_header,G$1+1,G$2+shift4,shift3),0)),0,MATCH($B6,OFFSET(Группы!gr_header,G$1+1,G$2+shift4,shift3),0))</f>
        <v>0</v>
      </c>
      <c r="X6" s="44">
        <f ca="1">IF(ISNA(MATCH($B6,OFFSET(Группы!gr_header,H$1+1,H$2+shift4,shift3),0)),0,MATCH($B6,OFFSET(Группы!gr_header,H$1+1,H$2+shift4,shift3),0))</f>
        <v>0</v>
      </c>
      <c r="Y6" s="44">
        <f ca="1">IF(ISNA(MATCH($B6,OFFSET(Группы!gr_header,I$1+1,I$2+shift4,shift3),0)),0,MATCH($B6,OFFSET(Группы!gr_header,I$1+1,I$2+shift4,shift3),0))</f>
        <v>0</v>
      </c>
      <c r="Z6" s="44">
        <f ca="1">IF(ISNA(MATCH($B6,OFFSET(Группы!gr_header,J$1+1,J$2+shift4,shift3),0)),0,MATCH($B6,OFFSET(Группы!gr_header,J$1+1,J$2+shift4,shift3),0))</f>
        <v>0</v>
      </c>
      <c r="AA6" s="44">
        <f ca="1">IF(ISNA(MATCH($B6,OFFSET(Группы!gr_header,K$1+1,K$2+shift4,shift3),0)),0,MATCH($B6,OFFSET(Группы!gr_header,K$1+1,K$2+shift4,shift3),0))</f>
        <v>0</v>
      </c>
      <c r="AB6" s="44">
        <f ca="1">IF(ISNA(MATCH($B6,OFFSET(Группы!gr_header,L$1+1,L$2+shift4,shift3),0)),0,MATCH($B6,OFFSET(Группы!gr_header,L$1+1,L$2+shift4,shift3),0))</f>
        <v>0</v>
      </c>
      <c r="AC6" s="44">
        <f ca="1">IF(ISNA(MATCH($B6,OFFSET(Группы!gr_header,M$1+1,M$2+shift4,shift3),0)),0,MATCH($B6,OFFSET(Группы!gr_header,M$1+1,M$2+shift4,shift3),0))</f>
        <v>0</v>
      </c>
      <c r="AD6" s="44">
        <f ca="1">IF(ISNA(MATCH($B6,OFFSET(Группы!gr_header,N$1+1,N$2+shift4,shift3),0)),0,MATCH($B6,OFFSET(Группы!gr_header,N$1+1,N$2+shift4,shift3),0))</f>
        <v>0</v>
      </c>
      <c r="AE6" s="44">
        <f ca="1">IF(ISNA(MATCH($B6,OFFSET(Группы!gr_header,O$1+1,O$2+shift4,shift3),0)),0,MATCH($B6,OFFSET(Группы!gr_header,O$1+1,O$2+shift4,shift3),0))</f>
        <v>0</v>
      </c>
      <c r="AF6" s="44">
        <f ca="1">IF(ISNA(MATCH($B6,OFFSET(Группы!gr_header,P$1+1,P$2+shift4,shift3),0)),0,MATCH($B6,OFFSET(Группы!gr_header,P$1+1,P$2+shift4,shift3),0))</f>
        <v>0</v>
      </c>
      <c r="AG6" s="44">
        <f ca="1">IF(ISNA(MATCH($B6,OFFSET(Группы!gr_header,Q$1+1,Q$2+shift4,shift3),0)),0,MATCH($B6,OFFSET(Группы!gr_header,Q$1+1,Q$2+shift4,shift3),0))</f>
        <v>0</v>
      </c>
      <c r="AH6" s="44">
        <f ca="1">IF(ISNA(MATCH($B6,OFFSET(Группы!gr_header,R$1+1,R$2+shift4,shift3),0)),0,MATCH($B6,OFFSET(Группы!gr_header,R$1+1,R$2+shift4,shift3),0))</f>
        <v>0</v>
      </c>
      <c r="AI6" s="45"/>
      <c r="AK6" s="35" t="s">
        <v>80</v>
      </c>
      <c r="AL6" s="48" t="s">
        <v>57</v>
      </c>
      <c r="AM6" s="49" t="s">
        <v>61</v>
      </c>
      <c r="AN6" s="49" t="s">
        <v>62</v>
      </c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5"/>
      <c r="BW6" s="45"/>
      <c r="BX6" s="45"/>
      <c r="BY6" s="45"/>
      <c r="BZ6" s="45"/>
      <c r="CQ6" s="49"/>
      <c r="CR6" s="49"/>
      <c r="CS6" s="49"/>
      <c r="CT6" s="49"/>
    </row>
    <row r="7" spans="2:98">
      <c r="B7" s="42">
        <v>4</v>
      </c>
      <c r="C7" s="43" t="str">
        <f ca="1">IF(S7=0,"",OFFSET(Группы!gr_header,S7+C$1,1+C$2))</f>
        <v/>
      </c>
      <c r="D7" s="43" t="str">
        <f ca="1">IF(T7=0,"",OFFSET(Группы!gr_header,T7+D$1,1+D$2))</f>
        <v/>
      </c>
      <c r="E7" s="43" t="str">
        <f ca="1">IF(U7=0,"",OFFSET(Группы!gr_header,U7+E$1,1+E$2))</f>
        <v/>
      </c>
      <c r="F7" s="43" t="str">
        <f ca="1">IF(V7=0,"",OFFSET(Группы!gr_header,V7+F$1,1+F$2))</f>
        <v/>
      </c>
      <c r="G7" s="43" t="str">
        <f ca="1">IF(W7=0,"",OFFSET(Группы!gr_header,W7+G$1,1+G$2))</f>
        <v/>
      </c>
      <c r="H7" s="43" t="str">
        <f ca="1">IF(X7=0,"",OFFSET(Группы!gr_header,X7+H$1,1+H$2))</f>
        <v/>
      </c>
      <c r="I7" s="43" t="str">
        <f ca="1">IF(Y7=0,"",OFFSET(Группы!gr_header,Y7+I$1,1+I$2))</f>
        <v/>
      </c>
      <c r="J7" s="43" t="str">
        <f ca="1">IF(Z7=0,"",OFFSET(Группы!gr_header,Z7+J$1,1+J$2))</f>
        <v/>
      </c>
      <c r="K7" s="43" t="str">
        <f ca="1">IF(AA7=0,"",OFFSET(Группы!gr_header,AA7+K$1,1+K$2))</f>
        <v/>
      </c>
      <c r="L7" s="43" t="str">
        <f ca="1">IF(AB7=0,"",OFFSET(Группы!gr_header,AB7+L$1,1+L$2))</f>
        <v/>
      </c>
      <c r="M7" s="43" t="str">
        <f ca="1">IF(AC7=0,"",OFFSET(Группы!gr_header,AC7+M$1,1+M$2))</f>
        <v/>
      </c>
      <c r="N7" s="43" t="str">
        <f ca="1">IF(AD7=0,"",OFFSET(Группы!gr_header,AD7+N$1,1+N$2))</f>
        <v/>
      </c>
      <c r="O7" s="43" t="str">
        <f ca="1">IF(AE7=0,"",OFFSET(Группы!gr_header,AE7+O$1,1+O$2))</f>
        <v/>
      </c>
      <c r="P7" s="43" t="str">
        <f ca="1">IF(AF7=0,"",OFFSET(Группы!gr_header,AF7+P$1,1+P$2))</f>
        <v/>
      </c>
      <c r="Q7" s="43" t="str">
        <f ca="1">IF(AG7=0,"",OFFSET(Группы!gr_header,AG7+Q$1,1+Q$2))</f>
        <v/>
      </c>
      <c r="R7" s="43" t="str">
        <f ca="1">IF(AH7=0,"",OFFSET(Группы!gr_header,AH7+R$1,1+R$2))</f>
        <v/>
      </c>
      <c r="S7" s="44">
        <f ca="1">IF(ISNA(MATCH($B7,OFFSET(Группы!gr_header,C$1+1,C$2+shift4,shift3),0)),0,MATCH($B7,OFFSET(Группы!gr_header,C$1+1,C$2+shift4,shift3),0))</f>
        <v>0</v>
      </c>
      <c r="T7" s="44">
        <f ca="1">IF(ISNA(MATCH($B7,OFFSET(Группы!gr_header,D$1+1,D$2+shift4,shift3),0)),0,MATCH($B7,OFFSET(Группы!gr_header,D$1+1,D$2+shift4,shift3),0))</f>
        <v>0</v>
      </c>
      <c r="U7" s="44">
        <f ca="1">IF(ISNA(MATCH($B7,OFFSET(Группы!gr_header,E$1+1,E$2+shift4,shift3),0)),0,MATCH($B7,OFFSET(Группы!gr_header,E$1+1,E$2+shift4,shift3),0))</f>
        <v>0</v>
      </c>
      <c r="V7" s="44">
        <f ca="1">IF(ISNA(MATCH($B7,OFFSET(Группы!gr_header,F$1+1,F$2+shift4,shift3),0)),0,MATCH($B7,OFFSET(Группы!gr_header,F$1+1,F$2+shift4,shift3),0))</f>
        <v>0</v>
      </c>
      <c r="W7" s="44">
        <f ca="1">IF(ISNA(MATCH($B7,OFFSET(Группы!gr_header,G$1+1,G$2+shift4,shift3),0)),0,MATCH($B7,OFFSET(Группы!gr_header,G$1+1,G$2+shift4,shift3),0))</f>
        <v>0</v>
      </c>
      <c r="X7" s="44">
        <f ca="1">IF(ISNA(MATCH($B7,OFFSET(Группы!gr_header,H$1+1,H$2+shift4,shift3),0)),0,MATCH($B7,OFFSET(Группы!gr_header,H$1+1,H$2+shift4,shift3),0))</f>
        <v>0</v>
      </c>
      <c r="Y7" s="44">
        <f ca="1">IF(ISNA(MATCH($B7,OFFSET(Группы!gr_header,I$1+1,I$2+shift4,shift3),0)),0,MATCH($B7,OFFSET(Группы!gr_header,I$1+1,I$2+shift4,shift3),0))</f>
        <v>0</v>
      </c>
      <c r="Z7" s="44">
        <f ca="1">IF(ISNA(MATCH($B7,OFFSET(Группы!gr_header,J$1+1,J$2+shift4,shift3),0)),0,MATCH($B7,OFFSET(Группы!gr_header,J$1+1,J$2+shift4,shift3),0))</f>
        <v>0</v>
      </c>
      <c r="AA7" s="44">
        <f ca="1">IF(ISNA(MATCH($B7,OFFSET(Группы!gr_header,K$1+1,K$2+shift4,shift3),0)),0,MATCH($B7,OFFSET(Группы!gr_header,K$1+1,K$2+shift4,shift3),0))</f>
        <v>0</v>
      </c>
      <c r="AB7" s="44">
        <f ca="1">IF(ISNA(MATCH($B7,OFFSET(Группы!gr_header,L$1+1,L$2+shift4,shift3),0)),0,MATCH($B7,OFFSET(Группы!gr_header,L$1+1,L$2+shift4,shift3),0))</f>
        <v>0</v>
      </c>
      <c r="AC7" s="44">
        <f ca="1">IF(ISNA(MATCH($B7,OFFSET(Группы!gr_header,M$1+1,M$2+shift4,shift3),0)),0,MATCH($B7,OFFSET(Группы!gr_header,M$1+1,M$2+shift4,shift3),0))</f>
        <v>0</v>
      </c>
      <c r="AD7" s="44">
        <f ca="1">IF(ISNA(MATCH($B7,OFFSET(Группы!gr_header,N$1+1,N$2+shift4,shift3),0)),0,MATCH($B7,OFFSET(Группы!gr_header,N$1+1,N$2+shift4,shift3),0))</f>
        <v>0</v>
      </c>
      <c r="AE7" s="44">
        <f ca="1">IF(ISNA(MATCH($B7,OFFSET(Группы!gr_header,O$1+1,O$2+shift4,shift3),0)),0,MATCH($B7,OFFSET(Группы!gr_header,O$1+1,O$2+shift4,shift3),0))</f>
        <v>0</v>
      </c>
      <c r="AF7" s="44">
        <f ca="1">IF(ISNA(MATCH($B7,OFFSET(Группы!gr_header,P$1+1,P$2+shift4,shift3),0)),0,MATCH($B7,OFFSET(Группы!gr_header,P$1+1,P$2+shift4,shift3),0))</f>
        <v>0</v>
      </c>
      <c r="AG7" s="44">
        <f ca="1">IF(ISNA(MATCH($B7,OFFSET(Группы!gr_header,Q$1+1,Q$2+shift4,shift3),0)),0,MATCH($B7,OFFSET(Группы!gr_header,Q$1+1,Q$2+shift4,shift3),0))</f>
        <v>0</v>
      </c>
      <c r="AH7" s="44">
        <f ca="1">IF(ISNA(MATCH($B7,OFFSET(Группы!gr_header,R$1+1,R$2+shift4,shift3),0)),0,MATCH($B7,OFFSET(Группы!gr_header,R$1+1,R$2+shift4,shift3),0))</f>
        <v>0</v>
      </c>
      <c r="AI7" s="45"/>
      <c r="AK7" s="38" t="s">
        <v>58</v>
      </c>
      <c r="AL7" s="39">
        <f>$AL$3*Заявка!K1</f>
        <v>6</v>
      </c>
      <c r="AM7" s="50">
        <v>1</v>
      </c>
      <c r="AN7" s="50">
        <f>AL38</f>
        <v>6</v>
      </c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45"/>
      <c r="BW7" s="45"/>
      <c r="BX7" s="45"/>
      <c r="BY7" s="45"/>
      <c r="BZ7" s="45"/>
      <c r="CQ7" s="50"/>
      <c r="CR7" s="50"/>
      <c r="CS7" s="50"/>
      <c r="CT7" s="50"/>
    </row>
    <row r="8" spans="2:98">
      <c r="B8" s="42">
        <v>5</v>
      </c>
      <c r="C8" s="43" t="str">
        <f ca="1">IF(S8=0,"",OFFSET(Группы!gr_header,S8+C$1,1+C$2))</f>
        <v/>
      </c>
      <c r="D8" s="43" t="str">
        <f ca="1">IF(T8=0,"",OFFSET(Группы!gr_header,T8+D$1,1+D$2))</f>
        <v/>
      </c>
      <c r="E8" s="43" t="str">
        <f ca="1">IF(U8=0,"",OFFSET(Группы!gr_header,U8+E$1,1+E$2))</f>
        <v/>
      </c>
      <c r="F8" s="43" t="str">
        <f ca="1">IF(V8=0,"",OFFSET(Группы!gr_header,V8+F$1,1+F$2))</f>
        <v/>
      </c>
      <c r="G8" s="43" t="str">
        <f ca="1">IF(W8=0,"",OFFSET(Группы!gr_header,W8+G$1,1+G$2))</f>
        <v/>
      </c>
      <c r="H8" s="43" t="str">
        <f ca="1">IF(X8=0,"",OFFSET(Группы!gr_header,X8+H$1,1+H$2))</f>
        <v/>
      </c>
      <c r="I8" s="43" t="str">
        <f ca="1">IF(Y8=0,"",OFFSET(Группы!gr_header,Y8+I$1,1+I$2))</f>
        <v/>
      </c>
      <c r="J8" s="43" t="str">
        <f ca="1">IF(Z8=0,"",OFFSET(Группы!gr_header,Z8+J$1,1+J$2))</f>
        <v/>
      </c>
      <c r="K8" s="43" t="str">
        <f ca="1">IF(AA8=0,"",OFFSET(Группы!gr_header,AA8+K$1,1+K$2))</f>
        <v/>
      </c>
      <c r="L8" s="43" t="str">
        <f ca="1">IF(AB8=0,"",OFFSET(Группы!gr_header,AB8+L$1,1+L$2))</f>
        <v/>
      </c>
      <c r="M8" s="43" t="str">
        <f ca="1">IF(AC8=0,"",OFFSET(Группы!gr_header,AC8+M$1,1+M$2))</f>
        <v/>
      </c>
      <c r="N8" s="43" t="str">
        <f ca="1">IF(AD8=0,"",OFFSET(Группы!gr_header,AD8+N$1,1+N$2))</f>
        <v/>
      </c>
      <c r="O8" s="43" t="str">
        <f ca="1">IF(AE8=0,"",OFFSET(Группы!gr_header,AE8+O$1,1+O$2))</f>
        <v/>
      </c>
      <c r="P8" s="43" t="str">
        <f ca="1">IF(AF8=0,"",OFFSET(Группы!gr_header,AF8+P$1,1+P$2))</f>
        <v/>
      </c>
      <c r="Q8" s="43" t="str">
        <f ca="1">IF(AG8=0,"",OFFSET(Группы!gr_header,AG8+Q$1,1+Q$2))</f>
        <v/>
      </c>
      <c r="R8" s="43" t="str">
        <f ca="1">IF(AH8=0,"",OFFSET(Группы!gr_header,AH8+R$1,1+R$2))</f>
        <v/>
      </c>
      <c r="S8" s="44">
        <f ca="1">IF(ISNA(MATCH($B8,OFFSET(Группы!gr_header,C$1+1,C$2+shift4,shift3),0)),0,MATCH($B8,OFFSET(Группы!gr_header,C$1+1,C$2+shift4,shift3),0))</f>
        <v>0</v>
      </c>
      <c r="T8" s="44">
        <f ca="1">IF(ISNA(MATCH($B8,OFFSET(Группы!gr_header,D$1+1,D$2+shift4,shift3),0)),0,MATCH($B8,OFFSET(Группы!gr_header,D$1+1,D$2+shift4,shift3),0))</f>
        <v>0</v>
      </c>
      <c r="U8" s="44">
        <f ca="1">IF(ISNA(MATCH($B8,OFFSET(Группы!gr_header,E$1+1,E$2+shift4,shift3),0)),0,MATCH($B8,OFFSET(Группы!gr_header,E$1+1,E$2+shift4,shift3),0))</f>
        <v>0</v>
      </c>
      <c r="V8" s="44">
        <f ca="1">IF(ISNA(MATCH($B8,OFFSET(Группы!gr_header,F$1+1,F$2+shift4,shift3),0)),0,MATCH($B8,OFFSET(Группы!gr_header,F$1+1,F$2+shift4,shift3),0))</f>
        <v>0</v>
      </c>
      <c r="W8" s="44">
        <f ca="1">IF(ISNA(MATCH($B8,OFFSET(Группы!gr_header,G$1+1,G$2+shift4,shift3),0)),0,MATCH($B8,OFFSET(Группы!gr_header,G$1+1,G$2+shift4,shift3),0))</f>
        <v>0</v>
      </c>
      <c r="X8" s="44">
        <f ca="1">IF(ISNA(MATCH($B8,OFFSET(Группы!gr_header,H$1+1,H$2+shift4,shift3),0)),0,MATCH($B8,OFFSET(Группы!gr_header,H$1+1,H$2+shift4,shift3),0))</f>
        <v>0</v>
      </c>
      <c r="Y8" s="44">
        <f ca="1">IF(ISNA(MATCH($B8,OFFSET(Группы!gr_header,I$1+1,I$2+shift4,shift3),0)),0,MATCH($B8,OFFSET(Группы!gr_header,I$1+1,I$2+shift4,shift3),0))</f>
        <v>0</v>
      </c>
      <c r="Z8" s="44">
        <f ca="1">IF(ISNA(MATCH($B8,OFFSET(Группы!gr_header,J$1+1,J$2+shift4,shift3),0)),0,MATCH($B8,OFFSET(Группы!gr_header,J$1+1,J$2+shift4,shift3),0))</f>
        <v>0</v>
      </c>
      <c r="AA8" s="44">
        <f ca="1">IF(ISNA(MATCH($B8,OFFSET(Группы!gr_header,K$1+1,K$2+shift4,shift3),0)),0,MATCH($B8,OFFSET(Группы!gr_header,K$1+1,K$2+shift4,shift3),0))</f>
        <v>0</v>
      </c>
      <c r="AB8" s="44">
        <f ca="1">IF(ISNA(MATCH($B8,OFFSET(Группы!gr_header,L$1+1,L$2+shift4,shift3),0)),0,MATCH($B8,OFFSET(Группы!gr_header,L$1+1,L$2+shift4,shift3),0))</f>
        <v>0</v>
      </c>
      <c r="AC8" s="44">
        <f ca="1">IF(ISNA(MATCH($B8,OFFSET(Группы!gr_header,M$1+1,M$2+shift4,shift3),0)),0,MATCH($B8,OFFSET(Группы!gr_header,M$1+1,M$2+shift4,shift3),0))</f>
        <v>0</v>
      </c>
      <c r="AD8" s="44">
        <f ca="1">IF(ISNA(MATCH($B8,OFFSET(Группы!gr_header,N$1+1,N$2+shift4,shift3),0)),0,MATCH($B8,OFFSET(Группы!gr_header,N$1+1,N$2+shift4,shift3),0))</f>
        <v>0</v>
      </c>
      <c r="AE8" s="44">
        <f ca="1">IF(ISNA(MATCH($B8,OFFSET(Группы!gr_header,O$1+1,O$2+shift4,shift3),0)),0,MATCH($B8,OFFSET(Группы!gr_header,O$1+1,O$2+shift4,shift3),0))</f>
        <v>0</v>
      </c>
      <c r="AF8" s="44">
        <f ca="1">IF(ISNA(MATCH($B8,OFFSET(Группы!gr_header,P$1+1,P$2+shift4,shift3),0)),0,MATCH($B8,OFFSET(Группы!gr_header,P$1+1,P$2+shift4,shift3),0))</f>
        <v>0</v>
      </c>
      <c r="AG8" s="44">
        <f ca="1">IF(ISNA(MATCH($B8,OFFSET(Группы!gr_header,Q$1+1,Q$2+shift4,shift3),0)),0,MATCH($B8,OFFSET(Группы!gr_header,Q$1+1,Q$2+shift4,shift3),0))</f>
        <v>0</v>
      </c>
      <c r="AH8" s="44">
        <f ca="1">IF(ISNA(MATCH($B8,OFFSET(Группы!gr_header,R$1+1,R$2+shift4,shift3),0)),0,MATCH($B8,OFFSET(Группы!gr_header,R$1+1,R$2+shift4,shift3),0))</f>
        <v>0</v>
      </c>
      <c r="AI8" s="45"/>
      <c r="AK8" s="38" t="s">
        <v>59</v>
      </c>
      <c r="AL8" s="39">
        <f>$AL$3*Заявка!K2</f>
        <v>9</v>
      </c>
      <c r="AM8" s="50">
        <f>AL7+AM7</f>
        <v>7</v>
      </c>
      <c r="AN8" s="50">
        <f>AN7+AL44</f>
        <v>15</v>
      </c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45"/>
      <c r="BW8" s="45"/>
      <c r="BX8" s="45"/>
      <c r="BY8" s="45"/>
      <c r="BZ8" s="45"/>
      <c r="CQ8" s="50"/>
      <c r="CR8" s="50"/>
      <c r="CS8" s="50"/>
      <c r="CT8" s="50"/>
    </row>
    <row r="9" spans="2:98" s="47" customFormat="1">
      <c r="B9" s="42">
        <v>6</v>
      </c>
      <c r="C9" s="43" t="str">
        <f ca="1">IF(S9=0,"",OFFSET(Группы!gr_header,S9+C$1,1+C$2))</f>
        <v/>
      </c>
      <c r="D9" s="43" t="str">
        <f ca="1">IF(T9=0,"",OFFSET(Группы!gr_header,T9+D$1,1+D$2))</f>
        <v/>
      </c>
      <c r="E9" s="43" t="str">
        <f ca="1">IF(U9=0,"",OFFSET(Группы!gr_header,U9+E$1,1+E$2))</f>
        <v/>
      </c>
      <c r="F9" s="43" t="str">
        <f ca="1">IF(V9=0,"",OFFSET(Группы!gr_header,V9+F$1,1+F$2))</f>
        <v/>
      </c>
      <c r="G9" s="43" t="str">
        <f ca="1">IF(W9=0,"",OFFSET(Группы!gr_header,W9+G$1,1+G$2))</f>
        <v/>
      </c>
      <c r="H9" s="43" t="str">
        <f ca="1">IF(X9=0,"",OFFSET(Группы!gr_header,X9+H$1,1+H$2))</f>
        <v/>
      </c>
      <c r="I9" s="43" t="str">
        <f ca="1">IF(Y9=0,"",OFFSET(Группы!gr_header,Y9+I$1,1+I$2))</f>
        <v/>
      </c>
      <c r="J9" s="43" t="str">
        <f ca="1">IF(Z9=0,"",OFFSET(Группы!gr_header,Z9+J$1,1+J$2))</f>
        <v/>
      </c>
      <c r="K9" s="43" t="str">
        <f ca="1">IF(AA9=0,"",OFFSET(Группы!gr_header,AA9+K$1,1+K$2))</f>
        <v/>
      </c>
      <c r="L9" s="43" t="str">
        <f ca="1">IF(AB9=0,"",OFFSET(Группы!gr_header,AB9+L$1,1+L$2))</f>
        <v/>
      </c>
      <c r="M9" s="43" t="str">
        <f ca="1">IF(AC9=0,"",OFFSET(Группы!gr_header,AC9+M$1,1+M$2))</f>
        <v/>
      </c>
      <c r="N9" s="43" t="str">
        <f ca="1">IF(AD9=0,"",OFFSET(Группы!gr_header,AD9+N$1,1+N$2))</f>
        <v/>
      </c>
      <c r="O9" s="43" t="str">
        <f ca="1">IF(AE9=0,"",OFFSET(Группы!gr_header,AE9+O$1,1+O$2))</f>
        <v/>
      </c>
      <c r="P9" s="43" t="str">
        <f ca="1">IF(AF9=0,"",OFFSET(Группы!gr_header,AF9+P$1,1+P$2))</f>
        <v/>
      </c>
      <c r="Q9" s="43" t="str">
        <f ca="1">IF(AG9=0,"",OFFSET(Группы!gr_header,AG9+Q$1,1+Q$2))</f>
        <v/>
      </c>
      <c r="R9" s="43" t="str">
        <f ca="1">IF(AH9=0,"",OFFSET(Группы!gr_header,AH9+R$1,1+R$2))</f>
        <v/>
      </c>
      <c r="S9" s="44">
        <f ca="1">IF(ISNA(MATCH($B9,OFFSET(Группы!gr_header,C$1+1,C$2+shift4,shift3),0)),0,MATCH($B9,OFFSET(Группы!gr_header,C$1+1,C$2+shift4,shift3),0))</f>
        <v>0</v>
      </c>
      <c r="T9" s="44">
        <f ca="1">IF(ISNA(MATCH($B9,OFFSET(Группы!gr_header,D$1+1,D$2+shift4,shift3),0)),0,MATCH($B9,OFFSET(Группы!gr_header,D$1+1,D$2+shift4,shift3),0))</f>
        <v>0</v>
      </c>
      <c r="U9" s="44">
        <f ca="1">IF(ISNA(MATCH($B9,OFFSET(Группы!gr_header,E$1+1,E$2+shift4,shift3),0)),0,MATCH($B9,OFFSET(Группы!gr_header,E$1+1,E$2+shift4,shift3),0))</f>
        <v>0</v>
      </c>
      <c r="V9" s="44">
        <f ca="1">IF(ISNA(MATCH($B9,OFFSET(Группы!gr_header,F$1+1,F$2+shift4,shift3),0)),0,MATCH($B9,OFFSET(Группы!gr_header,F$1+1,F$2+shift4,shift3),0))</f>
        <v>0</v>
      </c>
      <c r="W9" s="44">
        <f ca="1">IF(ISNA(MATCH($B9,OFFSET(Группы!gr_header,G$1+1,G$2+shift4,shift3),0)),0,MATCH($B9,OFFSET(Группы!gr_header,G$1+1,G$2+shift4,shift3),0))</f>
        <v>0</v>
      </c>
      <c r="X9" s="44">
        <f ca="1">IF(ISNA(MATCH($B9,OFFSET(Группы!gr_header,H$1+1,H$2+shift4,shift3),0)),0,MATCH($B9,OFFSET(Группы!gr_header,H$1+1,H$2+shift4,shift3),0))</f>
        <v>0</v>
      </c>
      <c r="Y9" s="44">
        <f ca="1">IF(ISNA(MATCH($B9,OFFSET(Группы!gr_header,I$1+1,I$2+shift4,shift3),0)),0,MATCH($B9,OFFSET(Группы!gr_header,I$1+1,I$2+shift4,shift3),0))</f>
        <v>0</v>
      </c>
      <c r="Z9" s="44">
        <f ca="1">IF(ISNA(MATCH($B9,OFFSET(Группы!gr_header,J$1+1,J$2+shift4,shift3),0)),0,MATCH($B9,OFFSET(Группы!gr_header,J$1+1,J$2+shift4,shift3),0))</f>
        <v>0</v>
      </c>
      <c r="AA9" s="44">
        <f ca="1">IF(ISNA(MATCH($B9,OFFSET(Группы!gr_header,K$1+1,K$2+shift4,shift3),0)),0,MATCH($B9,OFFSET(Группы!gr_header,K$1+1,K$2+shift4,shift3),0))</f>
        <v>0</v>
      </c>
      <c r="AB9" s="44">
        <f ca="1">IF(ISNA(MATCH($B9,OFFSET(Группы!gr_header,L$1+1,L$2+shift4,shift3),0)),0,MATCH($B9,OFFSET(Группы!gr_header,L$1+1,L$2+shift4,shift3),0))</f>
        <v>0</v>
      </c>
      <c r="AC9" s="44">
        <f ca="1">IF(ISNA(MATCH($B9,OFFSET(Группы!gr_header,M$1+1,M$2+shift4,shift3),0)),0,MATCH($B9,OFFSET(Группы!gr_header,M$1+1,M$2+shift4,shift3),0))</f>
        <v>0</v>
      </c>
      <c r="AD9" s="44">
        <f ca="1">IF(ISNA(MATCH($B9,OFFSET(Группы!gr_header,N$1+1,N$2+shift4,shift3),0)),0,MATCH($B9,OFFSET(Группы!gr_header,N$1+1,N$2+shift4,shift3),0))</f>
        <v>0</v>
      </c>
      <c r="AE9" s="44">
        <f ca="1">IF(ISNA(MATCH($B9,OFFSET(Группы!gr_header,O$1+1,O$2+shift4,shift3),0)),0,MATCH($B9,OFFSET(Группы!gr_header,O$1+1,O$2+shift4,shift3),0))</f>
        <v>0</v>
      </c>
      <c r="AF9" s="44">
        <f ca="1">IF(ISNA(MATCH($B9,OFFSET(Группы!gr_header,P$1+1,P$2+shift4,shift3),0)),0,MATCH($B9,OFFSET(Группы!gr_header,P$1+1,P$2+shift4,shift3),0))</f>
        <v>0</v>
      </c>
      <c r="AG9" s="44">
        <f ca="1">IF(ISNA(MATCH($B9,OFFSET(Группы!gr_header,Q$1+1,Q$2+shift4,shift3),0)),0,MATCH($B9,OFFSET(Группы!gr_header,Q$1+1,Q$2+shift4,shift3),0))</f>
        <v>0</v>
      </c>
      <c r="AH9" s="44">
        <f ca="1">IF(ISNA(MATCH($B9,OFFSET(Группы!gr_header,R$1+1,R$2+shift4,shift3),0)),0,MATCH($B9,OFFSET(Группы!gr_header,R$1+1,R$2+shift4,shift3),0))</f>
        <v>0</v>
      </c>
      <c r="AI9" s="45"/>
      <c r="AK9" s="38" t="s">
        <v>60</v>
      </c>
      <c r="AL9" s="51">
        <f>AL4-SUM(AL7:AL8)</f>
        <v>-15</v>
      </c>
      <c r="AM9" s="50">
        <f>AL8+AM8</f>
        <v>16</v>
      </c>
      <c r="AN9" s="50">
        <f>AN8+AL50</f>
        <v>0</v>
      </c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45"/>
      <c r="BW9" s="45"/>
      <c r="BX9" s="45"/>
      <c r="BY9" s="45"/>
      <c r="BZ9" s="45"/>
      <c r="CQ9" s="52"/>
      <c r="CR9" s="52"/>
      <c r="CS9" s="52"/>
      <c r="CT9" s="52"/>
    </row>
    <row r="10" spans="2:98" s="47" customFormat="1">
      <c r="B10" s="42">
        <v>7</v>
      </c>
      <c r="C10" s="43" t="str">
        <f ca="1">IF(S10=0,"",OFFSET(Группы!gr_header,S10+C$1,1+C$2))</f>
        <v/>
      </c>
      <c r="D10" s="43" t="str">
        <f ca="1">IF(T10=0,"",OFFSET(Группы!gr_header,T10+D$1,1+D$2))</f>
        <v/>
      </c>
      <c r="E10" s="43" t="str">
        <f ca="1">IF(U10=0,"",OFFSET(Группы!gr_header,U10+E$1,1+E$2))</f>
        <v/>
      </c>
      <c r="F10" s="43" t="str">
        <f ca="1">IF(V10=0,"",OFFSET(Группы!gr_header,V10+F$1,1+F$2))</f>
        <v/>
      </c>
      <c r="G10" s="43" t="str">
        <f ca="1">IF(W10=0,"",OFFSET(Группы!gr_header,W10+G$1,1+G$2))</f>
        <v/>
      </c>
      <c r="H10" s="43" t="str">
        <f ca="1">IF(X10=0,"",OFFSET(Группы!gr_header,X10+H$1,1+H$2))</f>
        <v/>
      </c>
      <c r="I10" s="43" t="str">
        <f ca="1">IF(Y10=0,"",OFFSET(Группы!gr_header,Y10+I$1,1+I$2))</f>
        <v/>
      </c>
      <c r="J10" s="43" t="str">
        <f ca="1">IF(Z10=0,"",OFFSET(Группы!gr_header,Z10+J$1,1+J$2))</f>
        <v/>
      </c>
      <c r="K10" s="43" t="str">
        <f ca="1">IF(AA10=0,"",OFFSET(Группы!gr_header,AA10+K$1,1+K$2))</f>
        <v/>
      </c>
      <c r="L10" s="43" t="str">
        <f ca="1">IF(AB10=0,"",OFFSET(Группы!gr_header,AB10+L$1,1+L$2))</f>
        <v/>
      </c>
      <c r="M10" s="43" t="str">
        <f ca="1">IF(AC10=0,"",OFFSET(Группы!gr_header,AC10+M$1,1+M$2))</f>
        <v/>
      </c>
      <c r="N10" s="43" t="str">
        <f ca="1">IF(AD10=0,"",OFFSET(Группы!gr_header,AD10+N$1,1+N$2))</f>
        <v/>
      </c>
      <c r="O10" s="43" t="str">
        <f ca="1">IF(AE10=0,"",OFFSET(Группы!gr_header,AE10+O$1,1+O$2))</f>
        <v/>
      </c>
      <c r="P10" s="43" t="str">
        <f ca="1">IF(AF10=0,"",OFFSET(Группы!gr_header,AF10+P$1,1+P$2))</f>
        <v/>
      </c>
      <c r="Q10" s="43" t="str">
        <f ca="1">IF(AG10=0,"",OFFSET(Группы!gr_header,AG10+Q$1,1+Q$2))</f>
        <v/>
      </c>
      <c r="R10" s="43" t="str">
        <f ca="1">IF(AH10=0,"",OFFSET(Группы!gr_header,AH10+R$1,1+R$2))</f>
        <v/>
      </c>
      <c r="S10" s="44">
        <f ca="1">IF(ISNA(MATCH($B10,OFFSET(Группы!gr_header,C$1+1,C$2+shift4,shift3),0)),0,MATCH($B10,OFFSET(Группы!gr_header,C$1+1,C$2+shift4,shift3),0))</f>
        <v>0</v>
      </c>
      <c r="T10" s="44">
        <f ca="1">IF(ISNA(MATCH($B10,OFFSET(Группы!gr_header,D$1+1,D$2+shift4,shift3),0)),0,MATCH($B10,OFFSET(Группы!gr_header,D$1+1,D$2+shift4,shift3),0))</f>
        <v>0</v>
      </c>
      <c r="U10" s="44">
        <f ca="1">IF(ISNA(MATCH($B10,OFFSET(Группы!gr_header,E$1+1,E$2+shift4,shift3),0)),0,MATCH($B10,OFFSET(Группы!gr_header,E$1+1,E$2+shift4,shift3),0))</f>
        <v>0</v>
      </c>
      <c r="V10" s="44">
        <f ca="1">IF(ISNA(MATCH($B10,OFFSET(Группы!gr_header,F$1+1,F$2+shift4,shift3),0)),0,MATCH($B10,OFFSET(Группы!gr_header,F$1+1,F$2+shift4,shift3),0))</f>
        <v>0</v>
      </c>
      <c r="W10" s="44">
        <f ca="1">IF(ISNA(MATCH($B10,OFFSET(Группы!gr_header,G$1+1,G$2+shift4,shift3),0)),0,MATCH($B10,OFFSET(Группы!gr_header,G$1+1,G$2+shift4,shift3),0))</f>
        <v>0</v>
      </c>
      <c r="X10" s="44">
        <f ca="1">IF(ISNA(MATCH($B10,OFFSET(Группы!gr_header,H$1+1,H$2+shift4,shift3),0)),0,MATCH($B10,OFFSET(Группы!gr_header,H$1+1,H$2+shift4,shift3),0))</f>
        <v>0</v>
      </c>
      <c r="Y10" s="44">
        <f ca="1">IF(ISNA(MATCH($B10,OFFSET(Группы!gr_header,I$1+1,I$2+shift4,shift3),0)),0,MATCH($B10,OFFSET(Группы!gr_header,I$1+1,I$2+shift4,shift3),0))</f>
        <v>0</v>
      </c>
      <c r="Z10" s="44">
        <f ca="1">IF(ISNA(MATCH($B10,OFFSET(Группы!gr_header,J$1+1,J$2+shift4,shift3),0)),0,MATCH($B10,OFFSET(Группы!gr_header,J$1+1,J$2+shift4,shift3),0))</f>
        <v>0</v>
      </c>
      <c r="AA10" s="44">
        <f ca="1">IF(ISNA(MATCH($B10,OFFSET(Группы!gr_header,K$1+1,K$2+shift4,shift3),0)),0,MATCH($B10,OFFSET(Группы!gr_header,K$1+1,K$2+shift4,shift3),0))</f>
        <v>0</v>
      </c>
      <c r="AB10" s="44">
        <f ca="1">IF(ISNA(MATCH($B10,OFFSET(Группы!gr_header,L$1+1,L$2+shift4,shift3),0)),0,MATCH($B10,OFFSET(Группы!gr_header,L$1+1,L$2+shift4,shift3),0))</f>
        <v>0</v>
      </c>
      <c r="AC10" s="44">
        <f ca="1">IF(ISNA(MATCH($B10,OFFSET(Группы!gr_header,M$1+1,M$2+shift4,shift3),0)),0,MATCH($B10,OFFSET(Группы!gr_header,M$1+1,M$2+shift4,shift3),0))</f>
        <v>0</v>
      </c>
      <c r="AD10" s="44">
        <f ca="1">IF(ISNA(MATCH($B10,OFFSET(Группы!gr_header,N$1+1,N$2+shift4,shift3),0)),0,MATCH($B10,OFFSET(Группы!gr_header,N$1+1,N$2+shift4,shift3),0))</f>
        <v>0</v>
      </c>
      <c r="AE10" s="44">
        <f ca="1">IF(ISNA(MATCH($B10,OFFSET(Группы!gr_header,O$1+1,O$2+shift4,shift3),0)),0,MATCH($B10,OFFSET(Группы!gr_header,O$1+1,O$2+shift4,shift3),0))</f>
        <v>0</v>
      </c>
      <c r="AF10" s="44">
        <f ca="1">IF(ISNA(MATCH($B10,OFFSET(Группы!gr_header,P$1+1,P$2+shift4,shift3),0)),0,MATCH($B10,OFFSET(Группы!gr_header,P$1+1,P$2+shift4,shift3),0))</f>
        <v>0</v>
      </c>
      <c r="AG10" s="44">
        <f ca="1">IF(ISNA(MATCH($B10,OFFSET(Группы!gr_header,Q$1+1,Q$2+shift4,shift3),0)),0,MATCH($B10,OFFSET(Группы!gr_header,Q$1+1,Q$2+shift4,shift3),0))</f>
        <v>0</v>
      </c>
      <c r="AH10" s="44">
        <f ca="1">IF(ISNA(MATCH($B10,OFFSET(Группы!gr_header,R$1+1,R$2+shift4,shift3),0)),0,MATCH($B10,OFFSET(Группы!gr_header,R$1+1,R$2+shift4,shift3),0))</f>
        <v>0</v>
      </c>
      <c r="AI10" s="45"/>
      <c r="AK10" s="53"/>
      <c r="AL10" s="40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45"/>
      <c r="BW10" s="45"/>
      <c r="BX10" s="45"/>
      <c r="BY10" s="45"/>
      <c r="BZ10" s="45"/>
      <c r="CQ10" s="52"/>
      <c r="CR10" s="52"/>
      <c r="CS10" s="52"/>
      <c r="CT10" s="52"/>
    </row>
    <row r="11" spans="2:98" s="47" customFormat="1">
      <c r="B11" s="42">
        <v>8</v>
      </c>
      <c r="C11" s="43" t="str">
        <f ca="1">IF(S11=0,"",OFFSET(Группы!gr_header,S11+C$1,1+C$2))</f>
        <v/>
      </c>
      <c r="D11" s="43" t="str">
        <f ca="1">IF(T11=0,"",OFFSET(Группы!gr_header,T11+D$1,1+D$2))</f>
        <v/>
      </c>
      <c r="E11" s="43" t="str">
        <f ca="1">IF(U11=0,"",OFFSET(Группы!gr_header,U11+E$1,1+E$2))</f>
        <v/>
      </c>
      <c r="F11" s="43" t="str">
        <f ca="1">IF(V11=0,"",OFFSET(Группы!gr_header,V11+F$1,1+F$2))</f>
        <v/>
      </c>
      <c r="G11" s="43" t="str">
        <f ca="1">IF(W11=0,"",OFFSET(Группы!gr_header,W11+G$1,1+G$2))</f>
        <v/>
      </c>
      <c r="H11" s="43" t="str">
        <f ca="1">IF(X11=0,"",OFFSET(Группы!gr_header,X11+H$1,1+H$2))</f>
        <v/>
      </c>
      <c r="I11" s="43" t="str">
        <f ca="1">IF(Y11=0,"",OFFSET(Группы!gr_header,Y11+I$1,1+I$2))</f>
        <v/>
      </c>
      <c r="J11" s="43" t="str">
        <f ca="1">IF(Z11=0,"",OFFSET(Группы!gr_header,Z11+J$1,1+J$2))</f>
        <v/>
      </c>
      <c r="K11" s="43" t="str">
        <f ca="1">IF(AA11=0,"",OFFSET(Группы!gr_header,AA11+K$1,1+K$2))</f>
        <v/>
      </c>
      <c r="L11" s="43" t="str">
        <f ca="1">IF(AB11=0,"",OFFSET(Группы!gr_header,AB11+L$1,1+L$2))</f>
        <v/>
      </c>
      <c r="M11" s="43" t="str">
        <f ca="1">IF(AC11=0,"",OFFSET(Группы!gr_header,AC11+M$1,1+M$2))</f>
        <v/>
      </c>
      <c r="N11" s="43" t="str">
        <f ca="1">IF(AD11=0,"",OFFSET(Группы!gr_header,AD11+N$1,1+N$2))</f>
        <v/>
      </c>
      <c r="O11" s="43" t="str">
        <f ca="1">IF(AE11=0,"",OFFSET(Группы!gr_header,AE11+O$1,1+O$2))</f>
        <v/>
      </c>
      <c r="P11" s="43" t="str">
        <f ca="1">IF(AF11=0,"",OFFSET(Группы!gr_header,AF11+P$1,1+P$2))</f>
        <v/>
      </c>
      <c r="Q11" s="43" t="str">
        <f ca="1">IF(AG11=0,"",OFFSET(Группы!gr_header,AG11+Q$1,1+Q$2))</f>
        <v/>
      </c>
      <c r="R11" s="43" t="str">
        <f ca="1">IF(AH11=0,"",OFFSET(Группы!gr_header,AH11+R$1,1+R$2))</f>
        <v/>
      </c>
      <c r="S11" s="44">
        <f ca="1">IF(ISNA(MATCH($B11,OFFSET(Группы!gr_header,C$1+1,C$2+shift4,shift3),0)),0,MATCH($B11,OFFSET(Группы!gr_header,C$1+1,C$2+shift4,shift3),0))</f>
        <v>0</v>
      </c>
      <c r="T11" s="44">
        <f ca="1">IF(ISNA(MATCH($B11,OFFSET(Группы!gr_header,D$1+1,D$2+shift4,shift3),0)),0,MATCH($B11,OFFSET(Группы!gr_header,D$1+1,D$2+shift4,shift3),0))</f>
        <v>0</v>
      </c>
      <c r="U11" s="44">
        <f ca="1">IF(ISNA(MATCH($B11,OFFSET(Группы!gr_header,E$1+1,E$2+shift4,shift3),0)),0,MATCH($B11,OFFSET(Группы!gr_header,E$1+1,E$2+shift4,shift3),0))</f>
        <v>0</v>
      </c>
      <c r="V11" s="44">
        <f ca="1">IF(ISNA(MATCH($B11,OFFSET(Группы!gr_header,F$1+1,F$2+shift4,shift3),0)),0,MATCH($B11,OFFSET(Группы!gr_header,F$1+1,F$2+shift4,shift3),0))</f>
        <v>0</v>
      </c>
      <c r="W11" s="44">
        <f ca="1">IF(ISNA(MATCH($B11,OFFSET(Группы!gr_header,G$1+1,G$2+shift4,shift3),0)),0,MATCH($B11,OFFSET(Группы!gr_header,G$1+1,G$2+shift4,shift3),0))</f>
        <v>0</v>
      </c>
      <c r="X11" s="44">
        <f ca="1">IF(ISNA(MATCH($B11,OFFSET(Группы!gr_header,H$1+1,H$2+shift4,shift3),0)),0,MATCH($B11,OFFSET(Группы!gr_header,H$1+1,H$2+shift4,shift3),0))</f>
        <v>0</v>
      </c>
      <c r="Y11" s="44">
        <f ca="1">IF(ISNA(MATCH($B11,OFFSET(Группы!gr_header,I$1+1,I$2+shift4,shift3),0)),0,MATCH($B11,OFFSET(Группы!gr_header,I$1+1,I$2+shift4,shift3),0))</f>
        <v>0</v>
      </c>
      <c r="Z11" s="44">
        <f ca="1">IF(ISNA(MATCH($B11,OFFSET(Группы!gr_header,J$1+1,J$2+shift4,shift3),0)),0,MATCH($B11,OFFSET(Группы!gr_header,J$1+1,J$2+shift4,shift3),0))</f>
        <v>0</v>
      </c>
      <c r="AA11" s="44">
        <f ca="1">IF(ISNA(MATCH($B11,OFFSET(Группы!gr_header,K$1+1,K$2+shift4,shift3),0)),0,MATCH($B11,OFFSET(Группы!gr_header,K$1+1,K$2+shift4,shift3),0))</f>
        <v>0</v>
      </c>
      <c r="AB11" s="44">
        <f ca="1">IF(ISNA(MATCH($B11,OFFSET(Группы!gr_header,L$1+1,L$2+shift4,shift3),0)),0,MATCH($B11,OFFSET(Группы!gr_header,L$1+1,L$2+shift4,shift3),0))</f>
        <v>0</v>
      </c>
      <c r="AC11" s="44">
        <f ca="1">IF(ISNA(MATCH($B11,OFFSET(Группы!gr_header,M$1+1,M$2+shift4,shift3),0)),0,MATCH($B11,OFFSET(Группы!gr_header,M$1+1,M$2+shift4,shift3),0))</f>
        <v>0</v>
      </c>
      <c r="AD11" s="44">
        <f ca="1">IF(ISNA(MATCH($B11,OFFSET(Группы!gr_header,N$1+1,N$2+shift4,shift3),0)),0,MATCH($B11,OFFSET(Группы!gr_header,N$1+1,N$2+shift4,shift3),0))</f>
        <v>0</v>
      </c>
      <c r="AE11" s="44">
        <f ca="1">IF(ISNA(MATCH($B11,OFFSET(Группы!gr_header,O$1+1,O$2+shift4,shift3),0)),0,MATCH($B11,OFFSET(Группы!gr_header,O$1+1,O$2+shift4,shift3),0))</f>
        <v>0</v>
      </c>
      <c r="AF11" s="44">
        <f ca="1">IF(ISNA(MATCH($B11,OFFSET(Группы!gr_header,P$1+1,P$2+shift4,shift3),0)),0,MATCH($B11,OFFSET(Группы!gr_header,P$1+1,P$2+shift4,shift3),0))</f>
        <v>0</v>
      </c>
      <c r="AG11" s="44">
        <f ca="1">IF(ISNA(MATCH($B11,OFFSET(Группы!gr_header,Q$1+1,Q$2+shift4,shift3),0)),0,MATCH($B11,OFFSET(Группы!gr_header,Q$1+1,Q$2+shift4,shift3),0))</f>
        <v>0</v>
      </c>
      <c r="AH11" s="44">
        <f ca="1">IF(ISNA(MATCH($B11,OFFSET(Группы!gr_header,R$1+1,R$2+shift4,shift3),0)),0,MATCH($B11,OFFSET(Группы!gr_header,R$1+1,R$2+shift4,shift3),0))</f>
        <v>0</v>
      </c>
      <c r="AI11" s="45"/>
      <c r="AK11" s="54" t="s">
        <v>76</v>
      </c>
      <c r="AL11" s="55">
        <f>COUNT(AL12:AL21)</f>
        <v>0</v>
      </c>
      <c r="AM11" s="56" t="s">
        <v>79</v>
      </c>
      <c r="AN11" s="57" t="s">
        <v>77</v>
      </c>
      <c r="AO11" s="35"/>
      <c r="AP11" s="35"/>
      <c r="AQ11" s="35"/>
      <c r="AR11" s="35"/>
      <c r="AS11" s="52"/>
      <c r="AT11" s="52"/>
      <c r="AU11" s="52"/>
      <c r="AV11" s="52"/>
      <c r="AW11" s="52"/>
      <c r="AX11" s="52"/>
      <c r="AY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45"/>
      <c r="BW11" s="45"/>
      <c r="BX11" s="45"/>
      <c r="BY11" s="45"/>
      <c r="BZ11" s="45"/>
      <c r="CQ11" s="52"/>
      <c r="CR11" s="52"/>
      <c r="CS11" s="52"/>
      <c r="CT11" s="52"/>
    </row>
    <row r="12" spans="2:98" s="47" customFormat="1">
      <c r="B12" s="58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K12" s="60"/>
      <c r="AL12" s="61" t="str">
        <f>IF(OR(ISBLANK(AK12),AM12="!!!"),"",MATCH(AK12,$AK$54:$AK$153,0))</f>
        <v/>
      </c>
      <c r="AM12" s="62" t="str">
        <f>IF(ISBLANK(AK12),"",IF(ISNA(MATCH(AK12,$AK$54:$AK$153,0)),"!!!",""))</f>
        <v/>
      </c>
      <c r="AN12" s="63" t="str">
        <f>IF(OR(ISBLANK(AK12),AM12="!!!"),"",IF(AL12&lt;$AM$8,1,IF(AL12&lt;$AM$9,2,3)))</f>
        <v/>
      </c>
      <c r="AO12" s="35"/>
      <c r="AP12" s="35"/>
      <c r="AQ12" s="35"/>
      <c r="AR12" s="35"/>
      <c r="AS12" s="52"/>
      <c r="AT12" s="52"/>
      <c r="AU12" s="52"/>
      <c r="AV12" s="52"/>
      <c r="AW12" s="52"/>
      <c r="AX12" s="52"/>
      <c r="AY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45"/>
      <c r="BW12" s="45"/>
      <c r="BX12" s="45"/>
      <c r="BY12" s="45"/>
      <c r="BZ12" s="45"/>
      <c r="CQ12" s="52"/>
      <c r="CR12" s="52"/>
      <c r="CS12" s="52"/>
      <c r="CT12" s="52"/>
    </row>
    <row r="13" spans="2:98" s="47" customFormat="1">
      <c r="B13" s="58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K13" s="60"/>
      <c r="AL13" s="64" t="str">
        <f>IF(OR(ISBLANK(AK13),AM13="!!!"),"",MATCH(AK13,$AK$54:$AK$153,0))</f>
        <v/>
      </c>
      <c r="AM13" s="62" t="str">
        <f>IF(ISBLANK(AK13),"",IF(ISNA(MATCH(AK13,$AK$54:$AK$153,0)),"!!!",""))</f>
        <v/>
      </c>
      <c r="AN13" s="63" t="str">
        <f>IF(OR(ISBLANK(AK13),AM13="!!!"),"",IF(AL13&lt;$AM$8,1,IF(AL13&lt;$AM$9,2,3)))</f>
        <v/>
      </c>
      <c r="AO13" s="35"/>
      <c r="AP13" s="35"/>
      <c r="AQ13" s="35"/>
      <c r="AR13" s="35"/>
      <c r="AS13" s="52"/>
      <c r="AT13" s="52"/>
      <c r="AU13" s="52"/>
      <c r="AV13" s="52"/>
      <c r="AW13" s="52"/>
      <c r="AX13" s="52"/>
      <c r="AY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45"/>
      <c r="BW13" s="45"/>
      <c r="BX13" s="45"/>
      <c r="BY13" s="45"/>
      <c r="BZ13" s="45"/>
      <c r="CQ13" s="52"/>
      <c r="CR13" s="52"/>
      <c r="CS13" s="52"/>
      <c r="CT13" s="52"/>
    </row>
    <row r="14" spans="2:98" s="47" customFormat="1">
      <c r="B14" s="58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K14" s="60"/>
      <c r="AL14" s="64" t="str">
        <f>IF(OR(ISBLANK(AK14),AM14="!!!"),"",MATCH(AK14,$AK$54:$AK$153,0))</f>
        <v/>
      </c>
      <c r="AM14" s="62" t="str">
        <f>IF(ISBLANK(AK14),"",IF(ISNA(MATCH(AK14,$AK$54:$AK$153,0)),"!!!",""))</f>
        <v/>
      </c>
      <c r="AN14" s="63" t="str">
        <f>IF(OR(ISBLANK(AK14),AM14="!!!"),"",IF(AL14&lt;$AM$8,1,IF(AL14&lt;$AM$9,2,3)))</f>
        <v/>
      </c>
      <c r="AO14" s="35"/>
      <c r="AP14" s="35"/>
      <c r="AQ14" s="35"/>
      <c r="AR14" s="35"/>
      <c r="AS14" s="52"/>
      <c r="AT14" s="52"/>
      <c r="AU14" s="52"/>
      <c r="AV14" s="52"/>
      <c r="AW14" s="52"/>
      <c r="AX14" s="52"/>
      <c r="AY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45"/>
      <c r="BW14" s="45"/>
      <c r="BX14" s="45"/>
      <c r="BY14" s="45"/>
      <c r="BZ14" s="45"/>
      <c r="CQ14" s="52"/>
      <c r="CR14" s="52"/>
      <c r="CS14" s="52"/>
      <c r="CT14" s="52"/>
    </row>
    <row r="15" spans="2:98" s="47" customFormat="1">
      <c r="B15" s="58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K15" s="60"/>
      <c r="AL15" s="64" t="str">
        <f>IF(OR(ISBLANK(AK15),AM15="!!!"),"",MATCH(AK15,$AK$54:$AK$153,0))</f>
        <v/>
      </c>
      <c r="AM15" s="62" t="str">
        <f>IF(ISBLANK(AK15),"",IF(ISNA(MATCH(AK15,$AK$54:$AK$153,0)),"!!!",""))</f>
        <v/>
      </c>
      <c r="AN15" s="63" t="str">
        <f>IF(OR(ISBLANK(AK15),AM15="!!!"),"",IF(AL15&lt;$AM$8,1,IF(AL15&lt;$AM$9,2,3)))</f>
        <v/>
      </c>
      <c r="AO15" s="35"/>
      <c r="AP15" s="35"/>
      <c r="AQ15" s="35"/>
      <c r="AR15" s="35"/>
      <c r="AS15" s="52"/>
      <c r="AT15" s="52"/>
      <c r="AU15" s="52"/>
      <c r="AV15" s="52"/>
      <c r="AW15" s="52"/>
      <c r="AX15" s="52"/>
      <c r="AY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45"/>
      <c r="BW15" s="45"/>
      <c r="BX15" s="45"/>
      <c r="BY15" s="45"/>
      <c r="BZ15" s="45"/>
      <c r="CQ15" s="52"/>
      <c r="CR15" s="52"/>
      <c r="CS15" s="52"/>
      <c r="CT15" s="52"/>
    </row>
    <row r="16" spans="2:98" s="47" customFormat="1">
      <c r="B16" s="58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K16" s="60"/>
      <c r="AL16" s="64" t="str">
        <f t="shared" ref="AL16:AL21" si="2">IF(OR(ISBLANK(AK16),AM16="!!!"),"",MATCH(AK16,$AK$54:$AK$153,0))</f>
        <v/>
      </c>
      <c r="AM16" s="62" t="str">
        <f t="shared" ref="AM16:AM32" si="3">IF(ISBLANK(AK16),"",IF(ISNA(MATCH(AK16,$AK$54:$AK$153,0)),"!!!",""))</f>
        <v/>
      </c>
      <c r="AN16" s="63" t="str">
        <f t="shared" ref="AN16:AN21" si="4">IF(OR(ISBLANK(AK16),AM16="!!!"),"",IF(AL16&lt;$AM$8,1,IF(AL16&lt;$AM$9,2,3)))</f>
        <v/>
      </c>
      <c r="AO16" s="35"/>
      <c r="AP16" s="35"/>
      <c r="AQ16" s="35"/>
      <c r="AR16" s="35"/>
      <c r="AS16" s="52"/>
      <c r="AT16" s="52"/>
      <c r="AU16" s="52"/>
      <c r="AV16" s="52"/>
      <c r="AW16" s="52"/>
      <c r="AX16" s="52"/>
      <c r="AY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45"/>
      <c r="BW16" s="45"/>
      <c r="BX16" s="45"/>
      <c r="BY16" s="45"/>
      <c r="BZ16" s="45"/>
      <c r="CQ16" s="52"/>
      <c r="CR16" s="52"/>
      <c r="CS16" s="52"/>
      <c r="CT16" s="52"/>
    </row>
    <row r="17" spans="2:98" s="47" customFormat="1">
      <c r="B17" s="58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K17" s="60"/>
      <c r="AL17" s="64" t="str">
        <f t="shared" si="2"/>
        <v/>
      </c>
      <c r="AM17" s="62" t="str">
        <f t="shared" si="3"/>
        <v/>
      </c>
      <c r="AN17" s="63" t="str">
        <f t="shared" si="4"/>
        <v/>
      </c>
      <c r="AO17" s="35"/>
      <c r="AP17" s="35"/>
      <c r="AQ17" s="35"/>
      <c r="AR17" s="35"/>
      <c r="AS17" s="52"/>
      <c r="AT17" s="52"/>
      <c r="AU17" s="52"/>
      <c r="AV17" s="52"/>
      <c r="AW17" s="52"/>
      <c r="AX17" s="52"/>
      <c r="AY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45"/>
      <c r="BW17" s="45"/>
      <c r="BX17" s="45"/>
      <c r="BY17" s="45"/>
      <c r="BZ17" s="45"/>
      <c r="CQ17" s="52"/>
      <c r="CR17" s="52"/>
      <c r="CS17" s="52"/>
      <c r="CT17" s="52"/>
    </row>
    <row r="18" spans="2:98" s="47" customFormat="1">
      <c r="B18" s="58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K18" s="60"/>
      <c r="AL18" s="64" t="str">
        <f t="shared" si="2"/>
        <v/>
      </c>
      <c r="AM18" s="62" t="str">
        <f t="shared" si="3"/>
        <v/>
      </c>
      <c r="AN18" s="63" t="str">
        <f t="shared" si="4"/>
        <v/>
      </c>
      <c r="AO18" s="35"/>
      <c r="AP18" s="35"/>
      <c r="AQ18" s="35"/>
      <c r="AR18" s="35"/>
      <c r="AS18" s="52"/>
      <c r="AT18" s="52"/>
      <c r="AU18" s="52"/>
      <c r="AV18" s="52"/>
      <c r="AW18" s="52"/>
      <c r="AX18" s="52"/>
      <c r="AY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45"/>
      <c r="BW18" s="45"/>
      <c r="BX18" s="45"/>
      <c r="BY18" s="45"/>
      <c r="BZ18" s="45"/>
      <c r="CQ18" s="52"/>
      <c r="CR18" s="52"/>
      <c r="CS18" s="52"/>
      <c r="CT18" s="52"/>
    </row>
    <row r="19" spans="2:98" s="47" customFormat="1">
      <c r="B19" s="58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K19" s="60"/>
      <c r="AL19" s="64" t="str">
        <f t="shared" si="2"/>
        <v/>
      </c>
      <c r="AM19" s="62" t="str">
        <f t="shared" si="3"/>
        <v/>
      </c>
      <c r="AN19" s="63" t="str">
        <f t="shared" si="4"/>
        <v/>
      </c>
      <c r="AO19" s="35"/>
      <c r="AP19" s="35"/>
      <c r="AQ19" s="35"/>
      <c r="AR19" s="35"/>
      <c r="AS19" s="52"/>
      <c r="AT19" s="52"/>
      <c r="AU19" s="52"/>
      <c r="AV19" s="52"/>
      <c r="AW19" s="52"/>
      <c r="AX19" s="52"/>
      <c r="AY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45"/>
      <c r="BW19" s="45"/>
      <c r="BX19" s="45"/>
      <c r="BY19" s="45"/>
      <c r="BZ19" s="45"/>
      <c r="CQ19" s="52"/>
      <c r="CR19" s="52"/>
      <c r="CS19" s="52"/>
      <c r="CT19" s="52"/>
    </row>
    <row r="20" spans="2:98" s="47" customFormat="1">
      <c r="B20" s="58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K20" s="60"/>
      <c r="AL20" s="64" t="str">
        <f t="shared" si="2"/>
        <v/>
      </c>
      <c r="AM20" s="62" t="str">
        <f t="shared" si="3"/>
        <v/>
      </c>
      <c r="AN20" s="63" t="str">
        <f t="shared" si="4"/>
        <v/>
      </c>
      <c r="AO20" s="35"/>
      <c r="AP20" s="35"/>
      <c r="AQ20" s="35"/>
      <c r="AR20" s="35"/>
      <c r="AS20" s="52"/>
      <c r="AT20" s="52"/>
      <c r="AU20" s="52"/>
      <c r="AV20" s="52"/>
      <c r="AW20" s="52"/>
      <c r="AX20" s="52"/>
      <c r="AY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45"/>
      <c r="BW20" s="45"/>
      <c r="BX20" s="45"/>
      <c r="BY20" s="45"/>
      <c r="BZ20" s="45"/>
      <c r="CQ20" s="52"/>
      <c r="CR20" s="52"/>
      <c r="CS20" s="52"/>
      <c r="CT20" s="52"/>
    </row>
    <row r="21" spans="2:98" s="47" customFormat="1">
      <c r="B21" s="58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K21" s="65"/>
      <c r="AL21" s="66" t="str">
        <f t="shared" si="2"/>
        <v/>
      </c>
      <c r="AM21" s="67" t="str">
        <f t="shared" si="3"/>
        <v/>
      </c>
      <c r="AN21" s="68" t="str">
        <f t="shared" si="4"/>
        <v/>
      </c>
      <c r="AO21" s="35"/>
      <c r="AP21" s="35"/>
      <c r="AQ21" s="35"/>
      <c r="AR21" s="35"/>
      <c r="AS21" s="52"/>
      <c r="AT21" s="52"/>
      <c r="AU21" s="52"/>
      <c r="AV21" s="52"/>
      <c r="AW21" s="52"/>
      <c r="AX21" s="52"/>
      <c r="AY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45"/>
      <c r="BW21" s="45"/>
      <c r="BX21" s="45"/>
      <c r="BY21" s="45"/>
      <c r="BZ21" s="45"/>
      <c r="CQ21" s="52"/>
      <c r="CR21" s="52"/>
      <c r="CS21" s="52"/>
      <c r="CT21" s="52"/>
    </row>
    <row r="22" spans="2:98" s="47" customFormat="1">
      <c r="B22" s="58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K22" s="69" t="s">
        <v>78</v>
      </c>
      <c r="AL22" s="70">
        <f>COUNT(AL23:AL32)</f>
        <v>0</v>
      </c>
      <c r="AM22" s="56" t="s">
        <v>79</v>
      </c>
      <c r="AN22" s="71" t="s">
        <v>77</v>
      </c>
      <c r="AO22" s="35"/>
      <c r="AP22" s="35"/>
      <c r="AQ22" s="35"/>
      <c r="AR22" s="35"/>
      <c r="AS22" s="52"/>
      <c r="AT22" s="52"/>
      <c r="AU22" s="52"/>
      <c r="AV22" s="52"/>
      <c r="AW22" s="52"/>
      <c r="AX22" s="52"/>
      <c r="AY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45"/>
      <c r="BW22" s="45"/>
      <c r="BX22" s="45"/>
      <c r="BY22" s="45"/>
      <c r="BZ22" s="45"/>
      <c r="CQ22" s="52"/>
      <c r="CR22" s="52"/>
      <c r="CS22" s="52"/>
      <c r="CT22" s="52"/>
    </row>
    <row r="23" spans="2:98" s="47" customFormat="1">
      <c r="B23" s="58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K23" s="60"/>
      <c r="AL23" s="64" t="str">
        <f>IF(ISBLANK(AK23),"",MATCH(AK23,$AK$54:$AK$153,0))</f>
        <v/>
      </c>
      <c r="AM23" s="72" t="str">
        <f>IF(ISBLANK(AK23),"",IF(ISNA(MATCH(AK23,$AK$54:$AK$153,0)),"!!!",""))</f>
        <v/>
      </c>
      <c r="AN23" s="73" t="str">
        <f>IF(OR(ISBLANK(AK23),AM23="!!!"),"",IF(AL23&lt;$AM$8,1,IF(AL23&lt;$AM$9,2,3)))</f>
        <v/>
      </c>
      <c r="AO23" s="35"/>
      <c r="AP23" s="35"/>
      <c r="AQ23" s="35"/>
      <c r="AR23" s="35"/>
      <c r="AS23" s="52"/>
      <c r="AT23" s="52"/>
      <c r="AU23" s="52"/>
      <c r="AV23" s="52"/>
      <c r="AW23" s="52"/>
      <c r="AX23" s="52"/>
      <c r="AY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45"/>
      <c r="BW23" s="45"/>
      <c r="BX23" s="45"/>
      <c r="BY23" s="45"/>
      <c r="BZ23" s="45"/>
      <c r="CQ23" s="52"/>
      <c r="CR23" s="52"/>
      <c r="CS23" s="52"/>
      <c r="CT23" s="52"/>
    </row>
    <row r="24" spans="2:98" s="47" customFormat="1">
      <c r="B24" s="58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K24" s="60"/>
      <c r="AL24" s="64" t="str">
        <f>IF(ISBLANK(AK24),"",MATCH(AK24,$AK$54:$AK$153,0))</f>
        <v/>
      </c>
      <c r="AM24" s="72" t="str">
        <f>IF(ISBLANK(AK24),"",IF(ISNA(MATCH(AK24,$AK$54:$AK$153,0)),"!!!",""))</f>
        <v/>
      </c>
      <c r="AN24" s="73" t="str">
        <f>IF(OR(ISBLANK(AK24),AM24="!!!"),"",IF(AL24&lt;$AM$8,1,IF(AL24&lt;$AM$9,2,3)))</f>
        <v/>
      </c>
      <c r="AO24" s="35"/>
      <c r="AP24" s="35"/>
      <c r="AQ24" s="35"/>
      <c r="AR24" s="35"/>
      <c r="AS24" s="52"/>
      <c r="AT24" s="52"/>
      <c r="AU24" s="52"/>
      <c r="AV24" s="52"/>
      <c r="AW24" s="52"/>
      <c r="AX24" s="52"/>
      <c r="AY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45"/>
      <c r="BW24" s="45"/>
      <c r="BX24" s="45"/>
      <c r="BY24" s="45"/>
      <c r="BZ24" s="45"/>
      <c r="CQ24" s="52"/>
      <c r="CR24" s="52"/>
      <c r="CS24" s="52"/>
      <c r="CT24" s="52"/>
    </row>
    <row r="25" spans="2:98" s="47" customFormat="1">
      <c r="B25" s="58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K25" s="60"/>
      <c r="AL25" s="64" t="str">
        <f>IF(ISBLANK(AK25),"",MATCH(AK25,$AK$54:$AK$153,0))</f>
        <v/>
      </c>
      <c r="AM25" s="72" t="str">
        <f>IF(ISBLANK(AK25),"",IF(ISNA(MATCH(AK25,$AK$54:$AK$153,0)),"!!!",""))</f>
        <v/>
      </c>
      <c r="AN25" s="73" t="str">
        <f>IF(OR(ISBLANK(AK25),AM25="!!!"),"",IF(AL25&lt;$AM$8,1,IF(AL25&lt;$AM$9,2,3)))</f>
        <v/>
      </c>
      <c r="AO25" s="35"/>
      <c r="AP25" s="35"/>
      <c r="AQ25" s="35"/>
      <c r="AR25" s="35"/>
      <c r="AS25" s="52"/>
      <c r="AT25" s="52"/>
      <c r="AU25" s="52"/>
      <c r="AV25" s="52"/>
      <c r="AW25" s="52"/>
      <c r="AX25" s="52"/>
      <c r="AY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45"/>
      <c r="BW25" s="45"/>
      <c r="BX25" s="45"/>
      <c r="BY25" s="45"/>
      <c r="BZ25" s="45"/>
      <c r="CQ25" s="52"/>
      <c r="CR25" s="52"/>
      <c r="CS25" s="52"/>
      <c r="CT25" s="52"/>
    </row>
    <row r="26" spans="2:98" s="47" customFormat="1">
      <c r="B26" s="58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K26" s="60"/>
      <c r="AL26" s="64" t="str">
        <f t="shared" ref="AL26:AL32" si="5">IF(ISBLANK(AK26),"",MATCH(AK26,$AK$54:$AK$153,0))</f>
        <v/>
      </c>
      <c r="AM26" s="72" t="str">
        <f t="shared" si="3"/>
        <v/>
      </c>
      <c r="AN26" s="73" t="str">
        <f t="shared" ref="AN26:AN32" si="6">IF(OR(ISBLANK(AK26),AM26="!!!"),"",IF(AL26&lt;$AM$8,1,IF(AL26&lt;$AM$9,2,3)))</f>
        <v/>
      </c>
      <c r="AO26" s="35"/>
      <c r="AP26" s="35"/>
      <c r="AQ26" s="35"/>
      <c r="AR26" s="35"/>
      <c r="AS26" s="52"/>
      <c r="AT26" s="52"/>
      <c r="AU26" s="52"/>
      <c r="AV26" s="52"/>
      <c r="AW26" s="52"/>
      <c r="AX26" s="52"/>
      <c r="AY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45"/>
      <c r="BW26" s="45"/>
      <c r="BX26" s="45"/>
      <c r="BY26" s="45"/>
      <c r="BZ26" s="45"/>
      <c r="CQ26" s="52"/>
      <c r="CR26" s="52"/>
      <c r="CS26" s="52"/>
      <c r="CT26" s="52"/>
    </row>
    <row r="27" spans="2:98" s="47" customFormat="1">
      <c r="B27" s="58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K27" s="60"/>
      <c r="AL27" s="64" t="str">
        <f t="shared" si="5"/>
        <v/>
      </c>
      <c r="AM27" s="72" t="str">
        <f t="shared" si="3"/>
        <v/>
      </c>
      <c r="AN27" s="73" t="str">
        <f t="shared" si="6"/>
        <v/>
      </c>
      <c r="AO27" s="35"/>
      <c r="AP27" s="35"/>
      <c r="AQ27" s="35"/>
      <c r="AR27" s="35"/>
      <c r="AS27" s="52"/>
      <c r="AT27" s="52"/>
      <c r="AU27" s="52"/>
      <c r="AV27" s="52"/>
      <c r="AW27" s="52"/>
      <c r="AX27" s="52"/>
      <c r="AY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45"/>
      <c r="BW27" s="45"/>
      <c r="BX27" s="45"/>
      <c r="BY27" s="45"/>
      <c r="BZ27" s="45"/>
      <c r="CQ27" s="52"/>
      <c r="CR27" s="52"/>
      <c r="CS27" s="52"/>
      <c r="CT27" s="52"/>
    </row>
    <row r="28" spans="2:98" s="47" customFormat="1">
      <c r="B28" s="58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K28" s="60"/>
      <c r="AL28" s="64" t="str">
        <f t="shared" si="5"/>
        <v/>
      </c>
      <c r="AM28" s="72" t="str">
        <f t="shared" si="3"/>
        <v/>
      </c>
      <c r="AN28" s="73" t="str">
        <f t="shared" si="6"/>
        <v/>
      </c>
      <c r="AO28" s="35"/>
      <c r="AP28" s="35"/>
      <c r="AQ28" s="35"/>
      <c r="AR28" s="35"/>
      <c r="AS28" s="52"/>
      <c r="AT28" s="52"/>
      <c r="AU28" s="52"/>
      <c r="AV28" s="52"/>
      <c r="AW28" s="52"/>
      <c r="AX28" s="52"/>
      <c r="AY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45"/>
      <c r="BW28" s="45"/>
      <c r="BX28" s="45"/>
      <c r="BY28" s="45"/>
      <c r="BZ28" s="45"/>
      <c r="CQ28" s="52"/>
      <c r="CR28" s="52"/>
      <c r="CS28" s="52"/>
      <c r="CT28" s="52"/>
    </row>
    <row r="29" spans="2:98" s="47" customFormat="1">
      <c r="B29" s="58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K29" s="60"/>
      <c r="AL29" s="64" t="str">
        <f t="shared" si="5"/>
        <v/>
      </c>
      <c r="AM29" s="72" t="str">
        <f t="shared" si="3"/>
        <v/>
      </c>
      <c r="AN29" s="73" t="str">
        <f t="shared" si="6"/>
        <v/>
      </c>
      <c r="AO29" s="35"/>
      <c r="AP29" s="35"/>
      <c r="AQ29" s="35"/>
      <c r="AR29" s="35"/>
      <c r="AS29" s="52"/>
      <c r="AT29" s="52"/>
      <c r="AU29" s="52"/>
      <c r="AV29" s="52"/>
      <c r="AW29" s="52"/>
      <c r="AX29" s="52"/>
      <c r="AY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45"/>
      <c r="BW29" s="45"/>
      <c r="BX29" s="45"/>
      <c r="BY29" s="45"/>
      <c r="BZ29" s="45"/>
      <c r="CQ29" s="52"/>
      <c r="CR29" s="52"/>
      <c r="CS29" s="52"/>
      <c r="CT29" s="52"/>
    </row>
    <row r="30" spans="2:98" s="47" customFormat="1">
      <c r="B30" s="58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K30" s="60"/>
      <c r="AL30" s="64" t="str">
        <f t="shared" si="5"/>
        <v/>
      </c>
      <c r="AM30" s="72" t="str">
        <f t="shared" si="3"/>
        <v/>
      </c>
      <c r="AN30" s="73" t="str">
        <f t="shared" si="6"/>
        <v/>
      </c>
      <c r="AO30" s="35"/>
      <c r="AP30" s="35"/>
      <c r="AQ30" s="35"/>
      <c r="AR30" s="35"/>
      <c r="AS30" s="52"/>
      <c r="AT30" s="52"/>
      <c r="AU30" s="52"/>
      <c r="AV30" s="52"/>
      <c r="AW30" s="52"/>
      <c r="AX30" s="52"/>
      <c r="AY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45"/>
      <c r="BW30" s="45"/>
      <c r="BX30" s="45"/>
      <c r="BY30" s="45"/>
      <c r="BZ30" s="45"/>
      <c r="CQ30" s="52"/>
      <c r="CR30" s="52"/>
      <c r="CS30" s="52"/>
      <c r="CT30" s="52"/>
    </row>
    <row r="31" spans="2:98" s="47" customFormat="1">
      <c r="B31" s="58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K31" s="60"/>
      <c r="AL31" s="64" t="str">
        <f t="shared" si="5"/>
        <v/>
      </c>
      <c r="AM31" s="72" t="str">
        <f t="shared" si="3"/>
        <v/>
      </c>
      <c r="AN31" s="73" t="str">
        <f t="shared" si="6"/>
        <v/>
      </c>
      <c r="AO31" s="35"/>
      <c r="AP31" s="35"/>
      <c r="AQ31" s="35"/>
      <c r="AR31" s="35"/>
      <c r="AS31" s="52"/>
      <c r="AT31" s="52"/>
      <c r="AU31" s="52"/>
      <c r="AV31" s="52"/>
      <c r="AW31" s="52"/>
      <c r="AX31" s="52"/>
      <c r="AY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45"/>
      <c r="BW31" s="45"/>
      <c r="BX31" s="45"/>
      <c r="BY31" s="45"/>
      <c r="BZ31" s="45"/>
      <c r="CQ31" s="52"/>
      <c r="CR31" s="52"/>
      <c r="CS31" s="52"/>
      <c r="CT31" s="52"/>
    </row>
    <row r="32" spans="2:98" s="47" customFormat="1">
      <c r="B32" s="58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K32" s="65"/>
      <c r="AL32" s="66" t="str">
        <f t="shared" si="5"/>
        <v/>
      </c>
      <c r="AM32" s="74" t="str">
        <f t="shared" si="3"/>
        <v/>
      </c>
      <c r="AN32" s="75" t="str">
        <f t="shared" si="6"/>
        <v/>
      </c>
      <c r="AO32" s="35"/>
      <c r="AP32" s="35"/>
      <c r="AQ32" s="35"/>
      <c r="AR32" s="35"/>
      <c r="AS32" s="52"/>
      <c r="AT32" s="52"/>
      <c r="AU32" s="52"/>
      <c r="AV32" s="52"/>
      <c r="AW32" s="52"/>
      <c r="AX32" s="52"/>
      <c r="AY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45"/>
      <c r="BW32" s="45"/>
      <c r="BX32" s="45"/>
      <c r="BY32" s="45"/>
      <c r="BZ32" s="45"/>
      <c r="CQ32" s="52"/>
      <c r="CR32" s="52"/>
      <c r="CS32" s="52"/>
      <c r="CT32" s="52"/>
    </row>
    <row r="33" spans="2:98" s="47" customFormat="1" ht="6" customHeight="1">
      <c r="B33" s="58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K33" s="76"/>
      <c r="AL33" s="77"/>
      <c r="AM33" s="35"/>
      <c r="AN33" s="35"/>
      <c r="AO33" s="35"/>
      <c r="AP33" s="35"/>
      <c r="AQ33" s="35"/>
      <c r="AR33" s="35"/>
      <c r="AS33" s="52"/>
      <c r="AT33" s="52"/>
      <c r="AU33" s="52"/>
      <c r="AV33" s="52"/>
      <c r="AW33" s="52"/>
      <c r="AX33" s="52"/>
      <c r="AY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45"/>
      <c r="BW33" s="45"/>
      <c r="BX33" s="45"/>
      <c r="BY33" s="45"/>
      <c r="BZ33" s="45"/>
      <c r="CQ33" s="52"/>
      <c r="CR33" s="52"/>
      <c r="CS33" s="52"/>
      <c r="CT33" s="52"/>
    </row>
    <row r="34" spans="2:98" s="47" customFormat="1">
      <c r="B34" s="58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K34" s="78" t="str">
        <f>CONCATENATE(AL34," ","Финал ФАКТ")</f>
        <v>1 Финал ФАКТ</v>
      </c>
      <c r="AL34" s="77">
        <v>1</v>
      </c>
      <c r="AM34" s="35"/>
      <c r="AN34" s="35"/>
      <c r="AO34" s="35"/>
      <c r="AP34" s="35"/>
      <c r="AQ34" s="35"/>
      <c r="AR34" s="35"/>
      <c r="AS34" s="52"/>
      <c r="AT34" s="52"/>
      <c r="AU34" s="52"/>
      <c r="AV34" s="52"/>
      <c r="AW34" s="52"/>
      <c r="AX34" s="52"/>
      <c r="AY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45"/>
      <c r="BW34" s="45"/>
      <c r="BX34" s="45"/>
      <c r="BY34" s="45"/>
      <c r="BZ34" s="45"/>
      <c r="CQ34" s="52"/>
      <c r="CR34" s="52"/>
      <c r="CS34" s="52"/>
      <c r="CT34" s="52"/>
    </row>
    <row r="35" spans="2:98" s="47" customFormat="1">
      <c r="B35" s="58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K35" s="79" t="s">
        <v>83</v>
      </c>
      <c r="AL35" s="80">
        <f>AL7</f>
        <v>6</v>
      </c>
      <c r="AM35" s="35"/>
      <c r="AN35" s="35"/>
      <c r="AO35" s="35"/>
      <c r="AP35" s="35"/>
      <c r="AQ35" s="35"/>
      <c r="AR35" s="35"/>
      <c r="AS35" s="52"/>
      <c r="AT35" s="52"/>
      <c r="AU35" s="52"/>
      <c r="AV35" s="52"/>
      <c r="AW35" s="52"/>
      <c r="AX35" s="52"/>
      <c r="AY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45"/>
      <c r="BW35" s="45"/>
      <c r="BX35" s="45"/>
      <c r="BY35" s="45"/>
      <c r="BZ35" s="45"/>
      <c r="CQ35" s="52"/>
      <c r="CR35" s="52"/>
      <c r="CS35" s="52"/>
      <c r="CT35" s="52"/>
    </row>
    <row r="36" spans="2:98" s="47" customFormat="1">
      <c r="B36" s="58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K36" s="79" t="s">
        <v>81</v>
      </c>
      <c r="AL36" s="80">
        <f>-COUNTIF($AN$12:$AN$21,AL34)</f>
        <v>0</v>
      </c>
      <c r="AM36" s="35"/>
      <c r="AN36" s="35"/>
      <c r="AO36" s="35"/>
      <c r="AP36" s="35"/>
      <c r="AQ36" s="35"/>
      <c r="AR36" s="35"/>
      <c r="AS36" s="52"/>
      <c r="AT36" s="52"/>
      <c r="AU36" s="52"/>
      <c r="AV36" s="52"/>
      <c r="AW36" s="52"/>
      <c r="AX36" s="52"/>
      <c r="AY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45"/>
      <c r="BW36" s="45"/>
      <c r="BX36" s="45"/>
      <c r="BY36" s="45"/>
      <c r="BZ36" s="45"/>
      <c r="CQ36" s="52"/>
      <c r="CR36" s="52"/>
      <c r="CS36" s="52"/>
      <c r="CT36" s="52"/>
    </row>
    <row r="37" spans="2:98" s="47" customFormat="1">
      <c r="B37" s="58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K37" s="79" t="s">
        <v>82</v>
      </c>
      <c r="AL37" s="81">
        <f>COUNT(AN23:AN32)</f>
        <v>0</v>
      </c>
      <c r="AM37" s="35"/>
      <c r="AN37" s="35"/>
      <c r="AO37" s="35"/>
      <c r="AP37" s="35"/>
      <c r="AQ37" s="35"/>
      <c r="AR37" s="35"/>
      <c r="AS37" s="52"/>
      <c r="AT37" s="52"/>
      <c r="AU37" s="52"/>
      <c r="AV37" s="52"/>
      <c r="AW37" s="52"/>
      <c r="AX37" s="52"/>
      <c r="AY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45"/>
      <c r="BW37" s="45"/>
      <c r="BX37" s="45"/>
      <c r="BY37" s="45"/>
      <c r="BZ37" s="45"/>
      <c r="CQ37" s="52"/>
      <c r="CR37" s="52"/>
      <c r="CS37" s="52"/>
      <c r="CT37" s="52"/>
    </row>
    <row r="38" spans="2:98" s="47" customFormat="1">
      <c r="B38" s="58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K38" s="82" t="s">
        <v>84</v>
      </c>
      <c r="AL38" s="83">
        <f>SUM(AL35:AL37)</f>
        <v>6</v>
      </c>
      <c r="AM38" s="35"/>
      <c r="AN38" s="35"/>
      <c r="AO38" s="35"/>
      <c r="AP38" s="35"/>
      <c r="AQ38" s="35"/>
      <c r="AR38" s="35"/>
      <c r="AS38" s="52"/>
      <c r="AT38" s="52"/>
      <c r="AU38" s="52"/>
      <c r="AV38" s="52"/>
      <c r="AW38" s="52"/>
      <c r="AX38" s="52"/>
      <c r="AY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45"/>
      <c r="BW38" s="45"/>
      <c r="BX38" s="45"/>
      <c r="BY38" s="45"/>
      <c r="BZ38" s="45"/>
      <c r="CQ38" s="52"/>
      <c r="CR38" s="52"/>
      <c r="CS38" s="52"/>
      <c r="CT38" s="52"/>
    </row>
    <row r="39" spans="2:98" s="47" customFormat="1" ht="6" customHeight="1">
      <c r="B39" s="58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K39" s="76"/>
      <c r="AL39" s="77"/>
      <c r="AM39" s="35"/>
      <c r="AN39" s="35"/>
      <c r="AO39" s="35"/>
      <c r="AP39" s="35"/>
      <c r="AQ39" s="35"/>
      <c r="AR39" s="35"/>
      <c r="AS39" s="52"/>
      <c r="AT39" s="52"/>
      <c r="AU39" s="52"/>
      <c r="AV39" s="52"/>
      <c r="AW39" s="52"/>
      <c r="AX39" s="52"/>
      <c r="AY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45"/>
      <c r="BW39" s="45"/>
      <c r="BX39" s="45"/>
      <c r="BY39" s="45"/>
      <c r="BZ39" s="45"/>
      <c r="CQ39" s="52"/>
      <c r="CR39" s="52"/>
      <c r="CS39" s="52"/>
      <c r="CT39" s="52"/>
    </row>
    <row r="40" spans="2:98" s="47" customFormat="1">
      <c r="B40" s="58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K40" s="78" t="str">
        <f>CONCATENATE(AL40," ","Финал ФАКТ")</f>
        <v>2 Финал ФАКТ</v>
      </c>
      <c r="AL40" s="77">
        <v>2</v>
      </c>
      <c r="AM40" s="35"/>
      <c r="AN40" s="35"/>
      <c r="AO40" s="35"/>
      <c r="AP40" s="35"/>
      <c r="AQ40" s="35"/>
      <c r="AR40" s="35"/>
      <c r="AS40" s="52"/>
      <c r="AT40" s="52"/>
      <c r="AU40" s="52"/>
      <c r="AV40" s="52"/>
      <c r="AW40" s="52"/>
      <c r="AX40" s="52"/>
      <c r="AY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45"/>
      <c r="BW40" s="45"/>
      <c r="BX40" s="45"/>
      <c r="BY40" s="45"/>
      <c r="BZ40" s="45"/>
      <c r="CQ40" s="52"/>
      <c r="CR40" s="52"/>
      <c r="CS40" s="52"/>
      <c r="CT40" s="52"/>
    </row>
    <row r="41" spans="2:98" s="47" customFormat="1">
      <c r="B41" s="58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K41" s="79" t="s">
        <v>83</v>
      </c>
      <c r="AL41" s="80">
        <f>AL8</f>
        <v>9</v>
      </c>
      <c r="AM41" s="35"/>
      <c r="AN41" s="35"/>
      <c r="AO41" s="35"/>
      <c r="AP41" s="35"/>
      <c r="AQ41" s="35"/>
      <c r="AR41" s="35"/>
      <c r="AS41" s="52"/>
      <c r="AT41" s="52"/>
      <c r="AU41" s="52"/>
      <c r="AV41" s="52"/>
      <c r="AW41" s="52"/>
      <c r="AX41" s="52"/>
      <c r="AY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45"/>
      <c r="BW41" s="45"/>
      <c r="BX41" s="45"/>
      <c r="BY41" s="45"/>
      <c r="BZ41" s="45"/>
      <c r="CQ41" s="52"/>
      <c r="CR41" s="52"/>
      <c r="CS41" s="52"/>
      <c r="CT41" s="52"/>
    </row>
    <row r="42" spans="2:98" s="47" customFormat="1">
      <c r="B42" s="58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K42" s="79" t="s">
        <v>81</v>
      </c>
      <c r="AL42" s="80">
        <f>-COUNTIF($AN$12:$AN$21,AL40)</f>
        <v>0</v>
      </c>
      <c r="AM42" s="35"/>
      <c r="AN42" s="35"/>
      <c r="AO42" s="35"/>
      <c r="AP42" s="35"/>
      <c r="AQ42" s="35"/>
      <c r="AR42" s="35"/>
      <c r="AS42" s="52"/>
      <c r="AT42" s="52"/>
      <c r="AU42" s="52"/>
      <c r="AV42" s="52"/>
      <c r="AW42" s="52"/>
      <c r="AX42" s="52"/>
      <c r="AY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45"/>
      <c r="BW42" s="45"/>
      <c r="BX42" s="45"/>
      <c r="BY42" s="45"/>
      <c r="BZ42" s="45"/>
      <c r="CQ42" s="52"/>
      <c r="CR42" s="52"/>
      <c r="CS42" s="52"/>
      <c r="CT42" s="52"/>
    </row>
    <row r="43" spans="2:98" s="47" customFormat="1">
      <c r="B43" s="58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K43" s="79" t="s">
        <v>78</v>
      </c>
      <c r="AL43" s="81">
        <f>-COUNTIF($AN$23:$AN$32,AL40)</f>
        <v>0</v>
      </c>
      <c r="AM43" s="35"/>
      <c r="AN43" s="35"/>
      <c r="AO43" s="35"/>
      <c r="AP43" s="35"/>
      <c r="AQ43" s="35"/>
      <c r="AR43" s="35"/>
      <c r="AS43" s="52"/>
      <c r="AT43" s="52"/>
      <c r="AU43" s="52"/>
      <c r="AV43" s="52"/>
      <c r="AW43" s="52"/>
      <c r="AX43" s="52"/>
      <c r="AY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45"/>
      <c r="BW43" s="45"/>
      <c r="BX43" s="45"/>
      <c r="BY43" s="45"/>
      <c r="BZ43" s="45"/>
      <c r="CQ43" s="52"/>
      <c r="CR43" s="52"/>
      <c r="CS43" s="52"/>
      <c r="CT43" s="52"/>
    </row>
    <row r="44" spans="2:98" s="47" customFormat="1">
      <c r="B44" s="58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K44" s="82" t="s">
        <v>84</v>
      </c>
      <c r="AL44" s="83">
        <f>SUM(AL41:AL43)</f>
        <v>9</v>
      </c>
      <c r="AM44" s="35"/>
      <c r="AN44" s="35"/>
      <c r="AO44" s="35"/>
      <c r="AP44" s="35"/>
      <c r="AQ44" s="35"/>
      <c r="AR44" s="35"/>
      <c r="AS44" s="52"/>
      <c r="AT44" s="52"/>
      <c r="AU44" s="52"/>
      <c r="AV44" s="52"/>
      <c r="AW44" s="52"/>
      <c r="AX44" s="52"/>
      <c r="AY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45"/>
      <c r="BW44" s="45"/>
      <c r="BX44" s="45"/>
      <c r="BY44" s="45"/>
      <c r="BZ44" s="45"/>
      <c r="CQ44" s="52"/>
      <c r="CR44" s="52"/>
      <c r="CS44" s="52"/>
      <c r="CT44" s="52"/>
    </row>
    <row r="45" spans="2:98" s="47" customFormat="1">
      <c r="B45" s="58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K45" s="76"/>
      <c r="AL45" s="77"/>
      <c r="AM45" s="35"/>
      <c r="AN45" s="35"/>
      <c r="AO45" s="35"/>
      <c r="AP45" s="35"/>
      <c r="AQ45" s="35"/>
      <c r="AR45" s="35"/>
      <c r="AS45" s="52"/>
      <c r="AT45" s="52"/>
      <c r="AU45" s="52"/>
      <c r="AV45" s="52"/>
      <c r="AW45" s="52"/>
      <c r="AX45" s="52"/>
      <c r="AY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45"/>
      <c r="BW45" s="45"/>
      <c r="BX45" s="45"/>
      <c r="BY45" s="45"/>
      <c r="BZ45" s="45"/>
      <c r="CQ45" s="52"/>
      <c r="CR45" s="52"/>
      <c r="CS45" s="52"/>
      <c r="CT45" s="52"/>
    </row>
    <row r="46" spans="2:98" s="47" customFormat="1">
      <c r="B46" s="58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K46" s="78" t="str">
        <f>CONCATENATE(AL46," ","Финал ФАКТ")</f>
        <v>3 Финал ФАКТ</v>
      </c>
      <c r="AL46" s="77">
        <v>3</v>
      </c>
      <c r="AM46" s="35"/>
      <c r="AN46" s="35"/>
      <c r="AO46" s="35"/>
      <c r="AP46" s="35"/>
      <c r="AQ46" s="35"/>
      <c r="AR46" s="35"/>
      <c r="AS46" s="52"/>
      <c r="AT46" s="52"/>
      <c r="AU46" s="52"/>
      <c r="AV46" s="52"/>
      <c r="AW46" s="52"/>
      <c r="AX46" s="52"/>
      <c r="AY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45"/>
      <c r="BW46" s="45"/>
      <c r="BX46" s="45"/>
      <c r="BY46" s="45"/>
      <c r="BZ46" s="45"/>
      <c r="CQ46" s="52"/>
      <c r="CR46" s="52"/>
      <c r="CS46" s="52"/>
      <c r="CT46" s="52"/>
    </row>
    <row r="47" spans="2:98" s="47" customFormat="1">
      <c r="B47" s="58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K47" s="79" t="s">
        <v>83</v>
      </c>
      <c r="AL47" s="80">
        <f>AL9</f>
        <v>-15</v>
      </c>
      <c r="AM47" s="35"/>
      <c r="AN47" s="35"/>
      <c r="AO47" s="35"/>
      <c r="AP47" s="35"/>
      <c r="AQ47" s="35"/>
      <c r="AR47" s="35"/>
      <c r="AS47" s="52"/>
      <c r="AT47" s="52"/>
      <c r="AU47" s="52"/>
      <c r="AV47" s="52"/>
      <c r="AW47" s="52"/>
      <c r="AX47" s="52"/>
      <c r="AY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45"/>
      <c r="BW47" s="45"/>
      <c r="BX47" s="45"/>
      <c r="BY47" s="45"/>
      <c r="BZ47" s="45"/>
      <c r="CQ47" s="52"/>
      <c r="CR47" s="52"/>
      <c r="CS47" s="52"/>
      <c r="CT47" s="52"/>
    </row>
    <row r="48" spans="2:98" s="47" customFormat="1">
      <c r="B48" s="58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K48" s="79" t="s">
        <v>81</v>
      </c>
      <c r="AL48" s="80">
        <f>-COUNTIF($AN$12:$AN$21,AL46)</f>
        <v>0</v>
      </c>
      <c r="AM48" s="35"/>
      <c r="AN48" s="35"/>
      <c r="AO48" s="35"/>
      <c r="AP48" s="35"/>
      <c r="AQ48" s="35"/>
      <c r="AR48" s="35"/>
      <c r="AS48" s="52"/>
      <c r="AT48" s="52"/>
      <c r="AU48" s="52"/>
      <c r="AV48" s="52"/>
      <c r="AW48" s="52"/>
      <c r="AX48" s="52"/>
      <c r="AY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45"/>
      <c r="BW48" s="45"/>
      <c r="BX48" s="45"/>
      <c r="BY48" s="45"/>
      <c r="BZ48" s="45"/>
      <c r="CQ48" s="52"/>
      <c r="CR48" s="52"/>
      <c r="CS48" s="52"/>
      <c r="CT48" s="52"/>
    </row>
    <row r="49" spans="2:98" s="47" customFormat="1">
      <c r="B49" s="58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K49" s="79" t="s">
        <v>78</v>
      </c>
      <c r="AL49" s="81">
        <f>-COUNTIF($AN$23:$AN$32,AL46)</f>
        <v>0</v>
      </c>
      <c r="AM49" s="35"/>
      <c r="AN49" s="35"/>
      <c r="AO49" s="35"/>
      <c r="AP49" s="35"/>
      <c r="AQ49" s="35"/>
      <c r="AR49" s="35"/>
      <c r="AS49" s="52"/>
      <c r="AT49" s="52"/>
      <c r="AU49" s="52"/>
      <c r="AV49" s="52"/>
      <c r="AW49" s="52"/>
      <c r="AX49" s="52"/>
      <c r="AY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45"/>
      <c r="BW49" s="45"/>
      <c r="BX49" s="45"/>
      <c r="BY49" s="45"/>
      <c r="BZ49" s="45"/>
      <c r="CQ49" s="52"/>
      <c r="CR49" s="52"/>
      <c r="CS49" s="52"/>
      <c r="CT49" s="52"/>
    </row>
    <row r="50" spans="2:98" s="47" customFormat="1">
      <c r="B50" s="58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K50" s="82" t="s">
        <v>84</v>
      </c>
      <c r="AL50" s="83">
        <f>SUM(AL47:AL49)</f>
        <v>-15</v>
      </c>
      <c r="AM50" s="35"/>
      <c r="AN50" s="35"/>
      <c r="AO50" s="35"/>
      <c r="AP50" s="35"/>
      <c r="AQ50" s="35"/>
      <c r="AR50" s="35"/>
      <c r="AS50" s="52"/>
      <c r="AT50" s="52"/>
      <c r="AU50" s="52"/>
      <c r="AV50" s="52"/>
      <c r="AW50" s="52"/>
      <c r="AX50" s="52"/>
      <c r="AY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45"/>
      <c r="BW50" s="45"/>
      <c r="BX50" s="45"/>
      <c r="BY50" s="45"/>
      <c r="BZ50" s="45"/>
      <c r="CQ50" s="52"/>
      <c r="CR50" s="52"/>
      <c r="CS50" s="52"/>
      <c r="CT50" s="52"/>
    </row>
    <row r="51" spans="2:98">
      <c r="AK51" s="84"/>
      <c r="BA51" s="50"/>
      <c r="BB51" s="50"/>
      <c r="BC51" s="50"/>
      <c r="BD51" s="50"/>
      <c r="BE51" s="50"/>
      <c r="BF51" s="50"/>
      <c r="BG51" s="50"/>
      <c r="BH51" s="76">
        <f>AY53/2</f>
        <v>4</v>
      </c>
      <c r="BI51" s="76"/>
      <c r="BK51" s="50"/>
      <c r="BL51" s="50"/>
      <c r="BM51" s="50"/>
      <c r="BN51" s="50"/>
      <c r="BO51" s="50"/>
      <c r="BP51" s="50"/>
      <c r="BQ51" s="50"/>
      <c r="BR51" s="50"/>
      <c r="BS51" s="76">
        <f>BJ53/2</f>
        <v>8</v>
      </c>
      <c r="BT51" s="76"/>
      <c r="BV51" s="50"/>
      <c r="BW51" s="50"/>
      <c r="BX51" s="50"/>
      <c r="BY51" s="50"/>
      <c r="BZ51" s="50"/>
      <c r="CA51" s="50"/>
      <c r="CB51" s="50"/>
      <c r="CC51" s="50"/>
      <c r="CD51" s="76" t="e">
        <f>BU53/2</f>
        <v>#NUM!</v>
      </c>
      <c r="CE51" s="76"/>
    </row>
    <row r="52" spans="2:98">
      <c r="R52" s="114" t="str">
        <f>Заявка!T29</f>
        <v>ЗМЕЙКОЙ</v>
      </c>
      <c r="AY52" s="76">
        <f>1+3*(LOG(AY53,2)-3)</f>
        <v>1</v>
      </c>
      <c r="BH52" s="76">
        <f>AY52+2</f>
        <v>3</v>
      </c>
      <c r="BI52" s="76"/>
      <c r="BJ52" s="76">
        <f>1+3*(LOG(BJ53,2)-3)</f>
        <v>4</v>
      </c>
      <c r="BS52" s="76">
        <f>BJ52+2</f>
        <v>6</v>
      </c>
      <c r="BT52" s="76"/>
      <c r="BU52" s="76" t="e">
        <f>1+3*(LOG(BU53,2)-3)</f>
        <v>#NUM!</v>
      </c>
      <c r="CD52" s="76" t="e">
        <f>BU52+2</f>
        <v>#NUM!</v>
      </c>
      <c r="CE52" s="76"/>
      <c r="CR52" s="76"/>
      <c r="CS52" s="76"/>
      <c r="CT52" s="76"/>
    </row>
    <row r="53" spans="2:98" ht="14.25" thickBot="1">
      <c r="N53" s="35" t="s">
        <v>1</v>
      </c>
      <c r="O53" s="113" t="s">
        <v>0</v>
      </c>
      <c r="P53" s="35" t="s">
        <v>2</v>
      </c>
      <c r="Q53" s="35" t="s">
        <v>3</v>
      </c>
      <c r="R53" s="113" t="s">
        <v>4</v>
      </c>
      <c r="AJ53" s="85" t="s">
        <v>18</v>
      </c>
      <c r="AK53" s="86" t="s">
        <v>45</v>
      </c>
      <c r="AL53" s="85" t="s">
        <v>26</v>
      </c>
      <c r="AM53" s="85"/>
      <c r="AN53" s="85"/>
      <c r="AO53" s="87"/>
      <c r="AP53" s="87"/>
      <c r="AQ53" s="87"/>
      <c r="AR53" s="88">
        <v>1</v>
      </c>
      <c r="AS53" s="88">
        <v>2</v>
      </c>
      <c r="AT53" s="88">
        <v>3</v>
      </c>
      <c r="AU53" s="89" t="s">
        <v>85</v>
      </c>
      <c r="AV53" s="90" t="s">
        <v>86</v>
      </c>
      <c r="AW53" s="91" t="s">
        <v>87</v>
      </c>
      <c r="AX53" s="85"/>
      <c r="AY53" s="89">
        <f>2^ROUNDUP(LOG(AL38,2),0)</f>
        <v>8</v>
      </c>
      <c r="AZ53" s="89" t="s">
        <v>46</v>
      </c>
      <c r="BA53" s="89" t="s">
        <v>26</v>
      </c>
      <c r="BB53" s="92" t="s">
        <v>63</v>
      </c>
      <c r="BC53" s="93" t="s">
        <v>64</v>
      </c>
      <c r="BD53" s="92" t="s">
        <v>65</v>
      </c>
      <c r="BE53" s="92" t="s">
        <v>66</v>
      </c>
      <c r="BF53" s="93" t="s">
        <v>67</v>
      </c>
      <c r="BG53" s="92" t="s">
        <v>68</v>
      </c>
      <c r="BH53" s="92" t="s">
        <v>69</v>
      </c>
      <c r="BI53" s="94" t="s">
        <v>70</v>
      </c>
      <c r="BJ53" s="90">
        <f>2^ROUNDUP(LOG(AL44,2),0)</f>
        <v>16</v>
      </c>
      <c r="BK53" s="90" t="s">
        <v>47</v>
      </c>
      <c r="BL53" s="90" t="s">
        <v>26</v>
      </c>
      <c r="BM53" s="95" t="s">
        <v>63</v>
      </c>
      <c r="BN53" s="96" t="s">
        <v>64</v>
      </c>
      <c r="BO53" s="95" t="s">
        <v>65</v>
      </c>
      <c r="BP53" s="95" t="s">
        <v>66</v>
      </c>
      <c r="BQ53" s="96" t="s">
        <v>67</v>
      </c>
      <c r="BR53" s="95" t="s">
        <v>68</v>
      </c>
      <c r="BS53" s="95" t="s">
        <v>69</v>
      </c>
      <c r="BT53" s="97" t="s">
        <v>70</v>
      </c>
      <c r="BU53" s="91" t="e">
        <f>2^ROUNDUP(LOG(AL50,2),0)</f>
        <v>#NUM!</v>
      </c>
      <c r="BV53" s="91" t="s">
        <v>56</v>
      </c>
      <c r="BW53" s="91" t="s">
        <v>26</v>
      </c>
      <c r="BX53" s="98" t="s">
        <v>63</v>
      </c>
      <c r="BY53" s="99" t="s">
        <v>64</v>
      </c>
      <c r="BZ53" s="98" t="s">
        <v>65</v>
      </c>
      <c r="CA53" s="98" t="s">
        <v>66</v>
      </c>
      <c r="CB53" s="99" t="s">
        <v>67</v>
      </c>
      <c r="CC53" s="98" t="s">
        <v>68</v>
      </c>
      <c r="CD53" s="98" t="s">
        <v>69</v>
      </c>
      <c r="CE53" s="100" t="s">
        <v>70</v>
      </c>
      <c r="CG53" s="101" t="s">
        <v>18</v>
      </c>
      <c r="CH53" s="102">
        <v>8</v>
      </c>
      <c r="CI53" s="103"/>
      <c r="CJ53" s="103"/>
      <c r="CK53" s="104">
        <v>16</v>
      </c>
      <c r="CL53" s="105"/>
      <c r="CM53" s="105"/>
      <c r="CN53" s="106">
        <v>32</v>
      </c>
      <c r="CO53" s="107"/>
      <c r="CP53" s="107"/>
    </row>
    <row r="54" spans="2:98">
      <c r="N54" s="35">
        <f>MOD(O54,2)</f>
        <v>1</v>
      </c>
      <c r="O54" s="35">
        <f t="shared" ref="O54:O85" si="7">INT((AJ54-1)/$AL$3)+1</f>
        <v>1</v>
      </c>
      <c r="P54" s="35">
        <f>IF(N54=1,Q54,($AL$3-Q54)+1)</f>
        <v>1</v>
      </c>
      <c r="Q54" s="35">
        <f t="shared" ref="Q54:Q85" si="8">MOD(AJ54-1,$AL$3)+1</f>
        <v>1</v>
      </c>
      <c r="R54" s="35">
        <f>IF($R$52=$P$53,P54,Q54)</f>
        <v>1</v>
      </c>
      <c r="AJ54" s="76">
        <v>1</v>
      </c>
      <c r="AK54" s="76" t="str">
        <f ca="1">IF(AJ54&gt;$AL$4,"",OFFSET($B$3,O54,R54))</f>
        <v/>
      </c>
      <c r="AL54" s="76" t="str">
        <f ca="1">IF(AJ54&gt;$AL$4,"",OFFSET($B$3,0,R54))</f>
        <v/>
      </c>
      <c r="AM54" s="76"/>
      <c r="AN54" s="76"/>
      <c r="AO54" s="76" t="str">
        <f t="shared" ref="AO54:AO85" ca="1" si="9">IF(AK54="","",IF(AJ54&lt;=$AL$7,1,IF(AJ54&lt;=$AL$7+$AL$8,2,3)))</f>
        <v/>
      </c>
      <c r="AP54" s="76" t="str">
        <f t="shared" ref="AP54:AP85" ca="1" si="10">IF(AK54="","",IF(ISNA(MATCH(AK54,$AK$12:$AK$21,0)),1,0))</f>
        <v/>
      </c>
      <c r="AQ54" s="76" t="str">
        <f t="shared" ref="AQ54:AQ85" ca="1" si="11">IF(AK54="","",IF(ISNA(MATCH(AK54,$AK$23:$AK$32,0)),AO54*AP54,1))</f>
        <v/>
      </c>
      <c r="AR54" s="76">
        <f ca="1">COUNTIF($AQ$54:$AQ54,AR$53)</f>
        <v>0</v>
      </c>
      <c r="AS54" s="76">
        <f ca="1">COUNTIF($AQ$54:$AQ54,AS$53)</f>
        <v>0</v>
      </c>
      <c r="AT54" s="76">
        <f ca="1">COUNTIF($AQ$54:$AQ54,AT$53)</f>
        <v>0</v>
      </c>
      <c r="AU54" s="76" t="str">
        <f t="shared" ref="AU54:AU85" ca="1" si="12">IF(ISNA(MATCH(AY54,$AR$54:$AR$153,0)),"",MATCH(AY54,$AR$54:$AR$153,0))</f>
        <v/>
      </c>
      <c r="AV54" s="76" t="str">
        <f t="shared" ref="AV54:AV85" ca="1" si="13">IF(ISNA(MATCH(BJ54,$AS$54:$AS$153,0)),"",MATCH(BJ54,$AS$54:$AS$153,0))</f>
        <v/>
      </c>
      <c r="AW54" s="76" t="str">
        <f t="shared" ref="AW54:AW85" ca="1" si="14">IF(ISNA(MATCH(BU54,$AT$54:$AT$153,0)),"",MATCH(BU54,$AT$54:$AT$153,0))</f>
        <v/>
      </c>
      <c r="AX54" s="76"/>
      <c r="AY54" s="76">
        <f t="shared" ref="AY54:AY85" si="15">AJ54</f>
        <v>1</v>
      </c>
      <c r="AZ54" s="76" t="str">
        <f t="shared" ref="AZ54:AZ85" ca="1" si="16">IF($AU54="","",OFFSET(AK$53,$AU54,0))</f>
        <v/>
      </c>
      <c r="BA54" s="76" t="str">
        <f t="shared" ref="BA54:BA85" ca="1" si="17">IF($AU54="","",OFFSET(AL$53,$AU54,0))</f>
        <v/>
      </c>
      <c r="BB54" s="76" t="str">
        <f ca="1">IF(AZ54="","",COUNTIF(BA$53:BA53,BA54))</f>
        <v/>
      </c>
      <c r="BC54" s="76" t="str">
        <f t="shared" ref="BC54:BC85" ca="1" si="18">IF(AZ54="","",IF(BB54=1,1,0))</f>
        <v/>
      </c>
      <c r="BD54" s="76" t="str">
        <f ca="1">IF(AZ54="","",IF(BC54=0,0,MATCH(BA54,BA$54:BA54,0)))</f>
        <v/>
      </c>
      <c r="BE54" s="76" t="str">
        <f t="shared" ref="BE54:BE85" ca="1" si="19">IF(AZ54="","",OFFSET($CG$53,MATCH(AY54,OFFSET($CG$53,1,AY$52,AY$53),0),1+AY$52))</f>
        <v/>
      </c>
      <c r="BF54" s="76" t="str">
        <f t="shared" ref="BF54:BF85" ca="1" si="20">IF(AZ54="","",IF(BC54=0,BE54,1-OFFSET(BE$53,BD54,0)))</f>
        <v/>
      </c>
      <c r="BG54" s="76" t="str">
        <f ca="1">IF(AZ54="","",COUNTIF(BF$54:BF54,BF54))</f>
        <v/>
      </c>
      <c r="BH54" s="76" t="str">
        <f t="shared" ref="BH54:BH85" ca="1" si="21">IF(AZ54="","",MATCH(BG54,OFFSET($CG$53,1+BF54*BH$51,BH$52,BH$51),0))</f>
        <v/>
      </c>
      <c r="BI54" s="108" t="str">
        <f t="shared" ref="BI54:BI59" ca="1" si="22">IF(AZ54="","",OFFSET($CG$53,BH54+BF54*BH$51,AY$52))</f>
        <v/>
      </c>
      <c r="BJ54" s="76">
        <f>AJ54</f>
        <v>1</v>
      </c>
      <c r="BK54" s="76" t="str">
        <f t="shared" ref="BK54:BK85" ca="1" si="23">IF($AV54="","",OFFSET(AK$53,$AV54,0))</f>
        <v/>
      </c>
      <c r="BL54" s="76" t="str">
        <f t="shared" ref="BL54:BL85" ca="1" si="24">IF($AV54="","",OFFSET(AL$53,$AV54,0))</f>
        <v/>
      </c>
      <c r="BM54" s="76" t="str">
        <f ca="1">IF(BK54="","",COUNTIF(BL$53:BL53,BL54))</f>
        <v/>
      </c>
      <c r="BN54" s="76" t="str">
        <f t="shared" ref="BN54:BN85" ca="1" si="25">IF(BK54="","",IF(BM54=1,1,0))</f>
        <v/>
      </c>
      <c r="BO54" s="76" t="str">
        <f ca="1">IF(BK54="","",IF(BN54=0,0,MATCH(BL54,BL$54:BL54,0)))</f>
        <v/>
      </c>
      <c r="BP54" s="76" t="str">
        <f t="shared" ref="BP54:BP85" ca="1" si="26">IF(BK54="","",OFFSET($CG$53,MATCH(BJ54,OFFSET($CG$53,1,BJ$52,BJ$53),0),1+BJ$52))</f>
        <v/>
      </c>
      <c r="BQ54" s="76" t="str">
        <f t="shared" ref="BQ54:BQ85" ca="1" si="27">IF(BK54="","",IF(BN54=0,BP54,1-OFFSET(BP$53,BO54,0)))</f>
        <v/>
      </c>
      <c r="BR54" s="76" t="str">
        <f ca="1">IF(BK54="","",COUNTIF(BQ$54:BQ54,BQ54))</f>
        <v/>
      </c>
      <c r="BS54" s="76" t="str">
        <f t="shared" ref="BS54:BS85" ca="1" si="28">IF(BK54="","",MATCH(BR54,OFFSET($CG$53,1+BQ54*BS$51,BS$52,BS$51),0))</f>
        <v/>
      </c>
      <c r="BT54" s="108" t="str">
        <f t="shared" ref="BT54:BT85" ca="1" si="29">IF(BK54="","",OFFSET($CG$53,BS54+BQ54*BS$51,BJ$52))</f>
        <v/>
      </c>
      <c r="BU54" s="76">
        <f>AJ54</f>
        <v>1</v>
      </c>
      <c r="BV54" s="76" t="str">
        <f t="shared" ref="BV54:BV85" ca="1" si="30">IF($AW54="","",OFFSET(AK$53,$AW54,0))</f>
        <v/>
      </c>
      <c r="BW54" s="76" t="str">
        <f t="shared" ref="BW54:BW85" ca="1" si="31">IF($AW54="","",OFFSET(AL$53,$AW54,0))</f>
        <v/>
      </c>
      <c r="BX54" s="76" t="str">
        <f ca="1">IF(BV54="","",COUNTIF(BW$53:BW53,BW54))</f>
        <v/>
      </c>
      <c r="BY54" s="76" t="str">
        <f t="shared" ref="BY54:BY85" ca="1" si="32">IF(BV54="","",IF(BX54=1,1,0))</f>
        <v/>
      </c>
      <c r="BZ54" s="76" t="str">
        <f ca="1">IF(BV54="","",IF(BY54=0,0,MATCH(BW54,BW$54:BW54,0)))</f>
        <v/>
      </c>
      <c r="CA54" s="76" t="str">
        <f t="shared" ref="CA54:CA85" ca="1" si="33">IF(BV54="","",OFFSET($CG$53,MATCH(BU54,OFFSET($CG$53,1,BU$52,BU$53),0),1+BU$52))</f>
        <v/>
      </c>
      <c r="CB54" s="76" t="str">
        <f t="shared" ref="CB54:CB85" ca="1" si="34">IF(BV54="","",IF(BY54=0,CA54,1-OFFSET(CA$53,BZ54,0)))</f>
        <v/>
      </c>
      <c r="CC54" s="76" t="str">
        <f ca="1">IF(BV54="","",COUNTIF(CB$54:CB54,CB54))</f>
        <v/>
      </c>
      <c r="CD54" s="76" t="str">
        <f t="shared" ref="CD54:CD85" ca="1" si="35">IF(BV54="","",MATCH(CC54,OFFSET($CG$53,1+CB54*CD$51,CD$52,CD$51),0))</f>
        <v/>
      </c>
      <c r="CE54" s="108" t="str">
        <f t="shared" ref="CE54:CE85" ca="1" si="36">IF(BV54="","",OFFSET($CG$53,CD54+CB54*CD$51,BU$52))</f>
        <v/>
      </c>
      <c r="CG54" s="109">
        <v>1</v>
      </c>
      <c r="CH54" s="110">
        <v>1</v>
      </c>
      <c r="CI54" s="110">
        <f t="shared" ref="CI54:CI61" si="37">IF($CG54&gt;CH$53/2,1,0)</f>
        <v>0</v>
      </c>
      <c r="CJ54" s="110">
        <f t="shared" ref="CJ54:CJ61" ca="1" si="38">RANK(CH54,OFFSET(CH$53,1+CI54*CH$53/2,0,CH$53/2),1)</f>
        <v>1</v>
      </c>
      <c r="CK54" s="111">
        <v>1</v>
      </c>
      <c r="CL54" s="111">
        <f>IF($CG54&gt;CK$53/2,1,0)</f>
        <v>0</v>
      </c>
      <c r="CM54" s="111">
        <f t="shared" ref="CM54:CM69" ca="1" si="39">RANK(CK54,OFFSET(CK$53,1+CL54*CK$53/2,0,CK$53/2),1)</f>
        <v>1</v>
      </c>
      <c r="CN54" s="112">
        <v>1</v>
      </c>
      <c r="CO54" s="112">
        <f t="shared" ref="CO54:CO85" si="40">IF($CG54&gt;CN$53/2,1,0)</f>
        <v>0</v>
      </c>
      <c r="CP54" s="112">
        <f t="shared" ref="CP54:CP85" ca="1" si="41">RANK(CN54,OFFSET(CN$53,1+CO54*CN$53/2,0,CN$53/2),1)</f>
        <v>1</v>
      </c>
    </row>
    <row r="55" spans="2:98">
      <c r="N55" s="35">
        <f t="shared" ref="N55:N118" si="42">MOD(O55,2)</f>
        <v>1</v>
      </c>
      <c r="O55" s="35">
        <f t="shared" si="7"/>
        <v>1</v>
      </c>
      <c r="P55" s="35">
        <f t="shared" ref="P55:P118" si="43">IF(N55=1,Q55,($AL$3-Q55)+1)</f>
        <v>2</v>
      </c>
      <c r="Q55" s="35">
        <f t="shared" si="8"/>
        <v>2</v>
      </c>
      <c r="R55" s="35">
        <f t="shared" ref="R55:R118" si="44">IF($R$52=$P$53,P55,Q55)</f>
        <v>2</v>
      </c>
      <c r="AJ55" s="76">
        <v>2</v>
      </c>
      <c r="AK55" s="76" t="str">
        <f t="shared" ref="AK55:AK118" ca="1" si="45">IF(AJ55&gt;$AL$4,"",OFFSET($B$3,O55,R55))</f>
        <v/>
      </c>
      <c r="AL55" s="76" t="str">
        <f t="shared" ref="AL55:AL118" ca="1" si="46">IF(AJ55&gt;$AL$4,"",OFFSET($B$3,0,R55))</f>
        <v/>
      </c>
      <c r="AM55" s="76"/>
      <c r="AN55" s="76"/>
      <c r="AO55" s="76" t="str">
        <f t="shared" ca="1" si="9"/>
        <v/>
      </c>
      <c r="AP55" s="76" t="str">
        <f t="shared" ca="1" si="10"/>
        <v/>
      </c>
      <c r="AQ55" s="76" t="str">
        <f t="shared" ca="1" si="11"/>
        <v/>
      </c>
      <c r="AR55" s="76">
        <f ca="1">COUNTIF($AQ$54:$AQ55,AR$53)</f>
        <v>0</v>
      </c>
      <c r="AS55" s="76">
        <f ca="1">COUNTIF($AQ$54:$AQ55,AS$53)</f>
        <v>0</v>
      </c>
      <c r="AT55" s="76">
        <f ca="1">COUNTIF($AQ$54:$AQ55,AT$53)</f>
        <v>0</v>
      </c>
      <c r="AU55" s="76" t="str">
        <f t="shared" ca="1" si="12"/>
        <v/>
      </c>
      <c r="AV55" s="76" t="str">
        <f t="shared" ca="1" si="13"/>
        <v/>
      </c>
      <c r="AW55" s="76" t="str">
        <f t="shared" ca="1" si="14"/>
        <v/>
      </c>
      <c r="AX55" s="76"/>
      <c r="AY55" s="76">
        <f t="shared" si="15"/>
        <v>2</v>
      </c>
      <c r="AZ55" s="76" t="str">
        <f t="shared" ca="1" si="16"/>
        <v/>
      </c>
      <c r="BA55" s="76" t="str">
        <f t="shared" ca="1" si="17"/>
        <v/>
      </c>
      <c r="BB55" s="76" t="str">
        <f ca="1">IF(AZ55="","",COUNTIF(BA$53:BA54,BA55))</f>
        <v/>
      </c>
      <c r="BC55" s="76" t="str">
        <f t="shared" ca="1" si="18"/>
        <v/>
      </c>
      <c r="BD55" s="76" t="str">
        <f ca="1">IF(AZ55="","",IF(BC55=0,0,MATCH(BA55,BA$54:BA55,0)))</f>
        <v/>
      </c>
      <c r="BE55" s="76" t="str">
        <f t="shared" ca="1" si="19"/>
        <v/>
      </c>
      <c r="BF55" s="76" t="str">
        <f t="shared" ca="1" si="20"/>
        <v/>
      </c>
      <c r="BG55" s="76" t="str">
        <f ca="1">IF(AZ55="","",COUNTIF(BF$54:BF55,BF55))</f>
        <v/>
      </c>
      <c r="BH55" s="76" t="str">
        <f t="shared" ca="1" si="21"/>
        <v/>
      </c>
      <c r="BI55" s="108" t="str">
        <f t="shared" ca="1" si="22"/>
        <v/>
      </c>
      <c r="BJ55" s="76">
        <f t="shared" ref="BJ55:BJ79" si="47">AJ55</f>
        <v>2</v>
      </c>
      <c r="BK55" s="76" t="str">
        <f t="shared" ca="1" si="23"/>
        <v/>
      </c>
      <c r="BL55" s="76" t="str">
        <f t="shared" ca="1" si="24"/>
        <v/>
      </c>
      <c r="BM55" s="76" t="str">
        <f ca="1">IF(BK55="","",COUNTIF(BL$53:BL54,BL55))</f>
        <v/>
      </c>
      <c r="BN55" s="76" t="str">
        <f t="shared" ca="1" si="25"/>
        <v/>
      </c>
      <c r="BO55" s="76" t="str">
        <f ca="1">IF(BK55="","",IF(BN55=0,0,MATCH(BL55,BL$54:BL55,0)))</f>
        <v/>
      </c>
      <c r="BP55" s="76" t="str">
        <f t="shared" ca="1" si="26"/>
        <v/>
      </c>
      <c r="BQ55" s="76" t="str">
        <f t="shared" ca="1" si="27"/>
        <v/>
      </c>
      <c r="BR55" s="76" t="str">
        <f ca="1">IF(BK55="","",COUNTIF(BQ$54:BQ55,BQ55))</f>
        <v/>
      </c>
      <c r="BS55" s="76" t="str">
        <f t="shared" ca="1" si="28"/>
        <v/>
      </c>
      <c r="BT55" s="108" t="str">
        <f t="shared" ca="1" si="29"/>
        <v/>
      </c>
      <c r="BU55" s="76">
        <f t="shared" ref="BU55:BU79" si="48">AJ55</f>
        <v>2</v>
      </c>
      <c r="BV55" s="76" t="str">
        <f t="shared" ca="1" si="30"/>
        <v/>
      </c>
      <c r="BW55" s="76" t="str">
        <f t="shared" ca="1" si="31"/>
        <v/>
      </c>
      <c r="BX55" s="76" t="str">
        <f ca="1">IF(BV55="","",COUNTIF(BW$53:BW54,BW55))</f>
        <v/>
      </c>
      <c r="BY55" s="76" t="str">
        <f t="shared" ca="1" si="32"/>
        <v/>
      </c>
      <c r="BZ55" s="76" t="str">
        <f ca="1">IF(BV55="","",IF(BY55=0,0,MATCH(BW55,BW$54:BW55,0)))</f>
        <v/>
      </c>
      <c r="CA55" s="76" t="str">
        <f t="shared" ca="1" si="33"/>
        <v/>
      </c>
      <c r="CB55" s="76" t="str">
        <f t="shared" ca="1" si="34"/>
        <v/>
      </c>
      <c r="CC55" s="76" t="str">
        <f ca="1">IF(BV55="","",COUNTIF(CB$54:CB55,CB55))</f>
        <v/>
      </c>
      <c r="CD55" s="76" t="str">
        <f t="shared" ca="1" si="35"/>
        <v/>
      </c>
      <c r="CE55" s="108" t="str">
        <f t="shared" ca="1" si="36"/>
        <v/>
      </c>
      <c r="CG55" s="109">
        <v>2</v>
      </c>
      <c r="CH55" s="110">
        <v>8</v>
      </c>
      <c r="CI55" s="110">
        <f t="shared" si="37"/>
        <v>0</v>
      </c>
      <c r="CJ55" s="110">
        <f t="shared" ca="1" si="38"/>
        <v>4</v>
      </c>
      <c r="CK55" s="111">
        <v>16</v>
      </c>
      <c r="CL55" s="111">
        <f t="shared" ref="CL55:CL69" si="49">IF($CG55&gt;CK$53/2,1,0)</f>
        <v>0</v>
      </c>
      <c r="CM55" s="111">
        <f t="shared" ca="1" si="39"/>
        <v>8</v>
      </c>
      <c r="CN55" s="112">
        <v>32</v>
      </c>
      <c r="CO55" s="112">
        <f t="shared" si="40"/>
        <v>0</v>
      </c>
      <c r="CP55" s="112">
        <f t="shared" ca="1" si="41"/>
        <v>16</v>
      </c>
    </row>
    <row r="56" spans="2:98">
      <c r="N56" s="35">
        <f t="shared" si="42"/>
        <v>1</v>
      </c>
      <c r="O56" s="35">
        <f t="shared" si="7"/>
        <v>1</v>
      </c>
      <c r="P56" s="35">
        <f t="shared" si="43"/>
        <v>3</v>
      </c>
      <c r="Q56" s="35">
        <f t="shared" si="8"/>
        <v>3</v>
      </c>
      <c r="R56" s="35">
        <f t="shared" si="44"/>
        <v>3</v>
      </c>
      <c r="AJ56" s="76">
        <v>3</v>
      </c>
      <c r="AK56" s="76" t="str">
        <f t="shared" ca="1" si="45"/>
        <v/>
      </c>
      <c r="AL56" s="76" t="str">
        <f t="shared" ca="1" si="46"/>
        <v/>
      </c>
      <c r="AM56" s="76"/>
      <c r="AN56" s="76"/>
      <c r="AO56" s="76" t="str">
        <f t="shared" ca="1" si="9"/>
        <v/>
      </c>
      <c r="AP56" s="76" t="str">
        <f t="shared" ca="1" si="10"/>
        <v/>
      </c>
      <c r="AQ56" s="76" t="str">
        <f t="shared" ca="1" si="11"/>
        <v/>
      </c>
      <c r="AR56" s="76">
        <f ca="1">COUNTIF($AQ$54:$AQ56,AR$53)</f>
        <v>0</v>
      </c>
      <c r="AS56" s="76">
        <f ca="1">COUNTIF($AQ$54:$AQ56,AS$53)</f>
        <v>0</v>
      </c>
      <c r="AT56" s="76">
        <f ca="1">COUNTIF($AQ$54:$AQ56,AT$53)</f>
        <v>0</v>
      </c>
      <c r="AU56" s="76" t="str">
        <f t="shared" ca="1" si="12"/>
        <v/>
      </c>
      <c r="AV56" s="76" t="str">
        <f t="shared" ca="1" si="13"/>
        <v/>
      </c>
      <c r="AW56" s="76" t="str">
        <f t="shared" ca="1" si="14"/>
        <v/>
      </c>
      <c r="AX56" s="76"/>
      <c r="AY56" s="76">
        <f t="shared" si="15"/>
        <v>3</v>
      </c>
      <c r="AZ56" s="76" t="str">
        <f t="shared" ca="1" si="16"/>
        <v/>
      </c>
      <c r="BA56" s="76" t="str">
        <f t="shared" ca="1" si="17"/>
        <v/>
      </c>
      <c r="BB56" s="76" t="str">
        <f ca="1">IF(AZ56="","",COUNTIF(BA$53:BA55,BA56))</f>
        <v/>
      </c>
      <c r="BC56" s="76" t="str">
        <f t="shared" ca="1" si="18"/>
        <v/>
      </c>
      <c r="BD56" s="76" t="str">
        <f ca="1">IF(AZ56="","",IF(BC56=0,0,MATCH(BA56,BA$54:BA56,0)))</f>
        <v/>
      </c>
      <c r="BE56" s="76" t="str">
        <f t="shared" ca="1" si="19"/>
        <v/>
      </c>
      <c r="BF56" s="76" t="str">
        <f t="shared" ca="1" si="20"/>
        <v/>
      </c>
      <c r="BG56" s="76" t="str">
        <f ca="1">IF(AZ56="","",COUNTIF(BF$54:BF56,BF56))</f>
        <v/>
      </c>
      <c r="BH56" s="76" t="str">
        <f t="shared" ca="1" si="21"/>
        <v/>
      </c>
      <c r="BI56" s="108" t="str">
        <f t="shared" ca="1" si="22"/>
        <v/>
      </c>
      <c r="BJ56" s="76">
        <f t="shared" si="47"/>
        <v>3</v>
      </c>
      <c r="BK56" s="76" t="str">
        <f t="shared" ca="1" si="23"/>
        <v/>
      </c>
      <c r="BL56" s="76" t="str">
        <f t="shared" ca="1" si="24"/>
        <v/>
      </c>
      <c r="BM56" s="76" t="str">
        <f ca="1">IF(BK56="","",COUNTIF(BL$53:BL55,BL56))</f>
        <v/>
      </c>
      <c r="BN56" s="76" t="str">
        <f t="shared" ca="1" si="25"/>
        <v/>
      </c>
      <c r="BO56" s="76" t="str">
        <f ca="1">IF(BK56="","",IF(BN56=0,0,MATCH(BL56,BL$54:BL56,0)))</f>
        <v/>
      </c>
      <c r="BP56" s="76" t="str">
        <f t="shared" ca="1" si="26"/>
        <v/>
      </c>
      <c r="BQ56" s="76" t="str">
        <f t="shared" ca="1" si="27"/>
        <v/>
      </c>
      <c r="BR56" s="76" t="str">
        <f ca="1">IF(BK56="","",COUNTIF(BQ$54:BQ56,BQ56))</f>
        <v/>
      </c>
      <c r="BS56" s="76" t="str">
        <f t="shared" ca="1" si="28"/>
        <v/>
      </c>
      <c r="BT56" s="108" t="str">
        <f t="shared" ca="1" si="29"/>
        <v/>
      </c>
      <c r="BU56" s="76">
        <f t="shared" si="48"/>
        <v>3</v>
      </c>
      <c r="BV56" s="76" t="str">
        <f t="shared" ca="1" si="30"/>
        <v/>
      </c>
      <c r="BW56" s="76" t="str">
        <f t="shared" ca="1" si="31"/>
        <v/>
      </c>
      <c r="BX56" s="76" t="str">
        <f ca="1">IF(BV56="","",COUNTIF(BW$53:BW55,BW56))</f>
        <v/>
      </c>
      <c r="BY56" s="76" t="str">
        <f t="shared" ca="1" si="32"/>
        <v/>
      </c>
      <c r="BZ56" s="76" t="str">
        <f ca="1">IF(BV56="","",IF(BY56=0,0,MATCH(BW56,BW$54:BW56,0)))</f>
        <v/>
      </c>
      <c r="CA56" s="76" t="str">
        <f t="shared" ca="1" si="33"/>
        <v/>
      </c>
      <c r="CB56" s="76" t="str">
        <f t="shared" ca="1" si="34"/>
        <v/>
      </c>
      <c r="CC56" s="76" t="str">
        <f ca="1">IF(BV56="","",COUNTIF(CB$54:CB56,CB56))</f>
        <v/>
      </c>
      <c r="CD56" s="76" t="str">
        <f t="shared" ca="1" si="35"/>
        <v/>
      </c>
      <c r="CE56" s="108" t="str">
        <f t="shared" ca="1" si="36"/>
        <v/>
      </c>
      <c r="CG56" s="109">
        <v>3</v>
      </c>
      <c r="CH56" s="110">
        <v>5</v>
      </c>
      <c r="CI56" s="110">
        <f t="shared" si="37"/>
        <v>0</v>
      </c>
      <c r="CJ56" s="110">
        <f t="shared" ca="1" si="38"/>
        <v>3</v>
      </c>
      <c r="CK56" s="111">
        <v>9</v>
      </c>
      <c r="CL56" s="111">
        <f t="shared" si="49"/>
        <v>0</v>
      </c>
      <c r="CM56" s="111">
        <f t="shared" ca="1" si="39"/>
        <v>5</v>
      </c>
      <c r="CN56" s="112">
        <v>17</v>
      </c>
      <c r="CO56" s="112">
        <f t="shared" si="40"/>
        <v>0</v>
      </c>
      <c r="CP56" s="112">
        <f t="shared" ca="1" si="41"/>
        <v>9</v>
      </c>
    </row>
    <row r="57" spans="2:98">
      <c r="N57" s="35">
        <f t="shared" si="42"/>
        <v>0</v>
      </c>
      <c r="O57" s="35">
        <f t="shared" si="7"/>
        <v>2</v>
      </c>
      <c r="P57" s="35">
        <f t="shared" si="43"/>
        <v>3</v>
      </c>
      <c r="Q57" s="35">
        <f t="shared" si="8"/>
        <v>1</v>
      </c>
      <c r="R57" s="35">
        <f t="shared" si="44"/>
        <v>3</v>
      </c>
      <c r="AJ57" s="76">
        <v>4</v>
      </c>
      <c r="AK57" s="76" t="str">
        <f t="shared" ca="1" si="45"/>
        <v/>
      </c>
      <c r="AL57" s="76" t="str">
        <f t="shared" ca="1" si="46"/>
        <v/>
      </c>
      <c r="AM57" s="76"/>
      <c r="AN57" s="76"/>
      <c r="AO57" s="76" t="str">
        <f t="shared" ca="1" si="9"/>
        <v/>
      </c>
      <c r="AP57" s="76" t="str">
        <f t="shared" ca="1" si="10"/>
        <v/>
      </c>
      <c r="AQ57" s="76" t="str">
        <f t="shared" ca="1" si="11"/>
        <v/>
      </c>
      <c r="AR57" s="76">
        <f ca="1">COUNTIF($AQ$54:$AQ57,AR$53)</f>
        <v>0</v>
      </c>
      <c r="AS57" s="76">
        <f ca="1">COUNTIF($AQ$54:$AQ57,AS$53)</f>
        <v>0</v>
      </c>
      <c r="AT57" s="76">
        <f ca="1">COUNTIF($AQ$54:$AQ57,AT$53)</f>
        <v>0</v>
      </c>
      <c r="AU57" s="76" t="str">
        <f t="shared" ca="1" si="12"/>
        <v/>
      </c>
      <c r="AV57" s="76" t="str">
        <f t="shared" ca="1" si="13"/>
        <v/>
      </c>
      <c r="AW57" s="76" t="str">
        <f t="shared" ca="1" si="14"/>
        <v/>
      </c>
      <c r="AX57" s="76"/>
      <c r="AY57" s="76">
        <f t="shared" si="15"/>
        <v>4</v>
      </c>
      <c r="AZ57" s="76" t="str">
        <f t="shared" ca="1" si="16"/>
        <v/>
      </c>
      <c r="BA57" s="76" t="str">
        <f t="shared" ca="1" si="17"/>
        <v/>
      </c>
      <c r="BB57" s="76" t="str">
        <f ca="1">IF(AZ57="","",COUNTIF(BA$53:BA56,BA57))</f>
        <v/>
      </c>
      <c r="BC57" s="76" t="str">
        <f t="shared" ca="1" si="18"/>
        <v/>
      </c>
      <c r="BD57" s="76" t="str">
        <f ca="1">IF(AZ57="","",IF(BC57=0,0,MATCH(BA57,BA$54:BA57,0)))</f>
        <v/>
      </c>
      <c r="BE57" s="76" t="str">
        <f t="shared" ca="1" si="19"/>
        <v/>
      </c>
      <c r="BF57" s="76" t="str">
        <f t="shared" ca="1" si="20"/>
        <v/>
      </c>
      <c r="BG57" s="76" t="str">
        <f ca="1">IF(AZ57="","",COUNTIF(BF$54:BF57,BF57))</f>
        <v/>
      </c>
      <c r="BH57" s="76" t="str">
        <f t="shared" ca="1" si="21"/>
        <v/>
      </c>
      <c r="BI57" s="108" t="str">
        <f t="shared" ca="1" si="22"/>
        <v/>
      </c>
      <c r="BJ57" s="76">
        <f t="shared" si="47"/>
        <v>4</v>
      </c>
      <c r="BK57" s="76" t="str">
        <f t="shared" ca="1" si="23"/>
        <v/>
      </c>
      <c r="BL57" s="76" t="str">
        <f t="shared" ca="1" si="24"/>
        <v/>
      </c>
      <c r="BM57" s="76" t="str">
        <f ca="1">IF(BK57="","",COUNTIF(BL$53:BL56,BL57))</f>
        <v/>
      </c>
      <c r="BN57" s="76" t="str">
        <f t="shared" ca="1" si="25"/>
        <v/>
      </c>
      <c r="BO57" s="76" t="str">
        <f ca="1">IF(BK57="","",IF(BN57=0,0,MATCH(BL57,BL$54:BL57,0)))</f>
        <v/>
      </c>
      <c r="BP57" s="76" t="str">
        <f t="shared" ca="1" si="26"/>
        <v/>
      </c>
      <c r="BQ57" s="76" t="str">
        <f t="shared" ca="1" si="27"/>
        <v/>
      </c>
      <c r="BR57" s="76" t="str">
        <f ca="1">IF(BK57="","",COUNTIF(BQ$54:BQ57,BQ57))</f>
        <v/>
      </c>
      <c r="BS57" s="76" t="str">
        <f t="shared" ca="1" si="28"/>
        <v/>
      </c>
      <c r="BT57" s="108" t="str">
        <f t="shared" ca="1" si="29"/>
        <v/>
      </c>
      <c r="BU57" s="76">
        <f t="shared" si="48"/>
        <v>4</v>
      </c>
      <c r="BV57" s="76" t="str">
        <f t="shared" ca="1" si="30"/>
        <v/>
      </c>
      <c r="BW57" s="76" t="str">
        <f t="shared" ca="1" si="31"/>
        <v/>
      </c>
      <c r="BX57" s="76" t="str">
        <f ca="1">IF(BV57="","",COUNTIF(BW$53:BW56,BW57))</f>
        <v/>
      </c>
      <c r="BY57" s="76" t="str">
        <f t="shared" ca="1" si="32"/>
        <v/>
      </c>
      <c r="BZ57" s="76" t="str">
        <f ca="1">IF(BV57="","",IF(BY57=0,0,MATCH(BW57,BW$54:BW57,0)))</f>
        <v/>
      </c>
      <c r="CA57" s="76" t="str">
        <f t="shared" ca="1" si="33"/>
        <v/>
      </c>
      <c r="CB57" s="76" t="str">
        <f t="shared" ca="1" si="34"/>
        <v/>
      </c>
      <c r="CC57" s="76" t="str">
        <f ca="1">IF(BV57="","",COUNTIF(CB$54:CB57,CB57))</f>
        <v/>
      </c>
      <c r="CD57" s="76" t="str">
        <f t="shared" ca="1" si="35"/>
        <v/>
      </c>
      <c r="CE57" s="108" t="str">
        <f t="shared" ca="1" si="36"/>
        <v/>
      </c>
      <c r="CG57" s="109">
        <v>4</v>
      </c>
      <c r="CH57" s="110">
        <v>4</v>
      </c>
      <c r="CI57" s="110">
        <f t="shared" si="37"/>
        <v>0</v>
      </c>
      <c r="CJ57" s="110">
        <f t="shared" ca="1" si="38"/>
        <v>2</v>
      </c>
      <c r="CK57" s="111">
        <v>8</v>
      </c>
      <c r="CL57" s="111">
        <f t="shared" si="49"/>
        <v>0</v>
      </c>
      <c r="CM57" s="111">
        <f t="shared" ca="1" si="39"/>
        <v>4</v>
      </c>
      <c r="CN57" s="112">
        <v>16</v>
      </c>
      <c r="CO57" s="112">
        <f t="shared" si="40"/>
        <v>0</v>
      </c>
      <c r="CP57" s="112">
        <f t="shared" ca="1" si="41"/>
        <v>8</v>
      </c>
    </row>
    <row r="58" spans="2:98">
      <c r="N58" s="35">
        <f t="shared" si="42"/>
        <v>0</v>
      </c>
      <c r="O58" s="35">
        <f t="shared" si="7"/>
        <v>2</v>
      </c>
      <c r="P58" s="35">
        <f t="shared" si="43"/>
        <v>2</v>
      </c>
      <c r="Q58" s="35">
        <f t="shared" si="8"/>
        <v>2</v>
      </c>
      <c r="R58" s="35">
        <f t="shared" si="44"/>
        <v>2</v>
      </c>
      <c r="AJ58" s="76">
        <v>5</v>
      </c>
      <c r="AK58" s="76" t="str">
        <f t="shared" ca="1" si="45"/>
        <v/>
      </c>
      <c r="AL58" s="76" t="str">
        <f t="shared" ca="1" si="46"/>
        <v/>
      </c>
      <c r="AM58" s="76"/>
      <c r="AN58" s="76"/>
      <c r="AO58" s="76" t="str">
        <f t="shared" ca="1" si="9"/>
        <v/>
      </c>
      <c r="AP58" s="76" t="str">
        <f t="shared" ca="1" si="10"/>
        <v/>
      </c>
      <c r="AQ58" s="76" t="str">
        <f t="shared" ca="1" si="11"/>
        <v/>
      </c>
      <c r="AR58" s="76">
        <f ca="1">COUNTIF($AQ$54:$AQ58,AR$53)</f>
        <v>0</v>
      </c>
      <c r="AS58" s="76">
        <f ca="1">COUNTIF($AQ$54:$AQ58,AS$53)</f>
        <v>0</v>
      </c>
      <c r="AT58" s="76">
        <f ca="1">COUNTIF($AQ$54:$AQ58,AT$53)</f>
        <v>0</v>
      </c>
      <c r="AU58" s="76" t="str">
        <f t="shared" ca="1" si="12"/>
        <v/>
      </c>
      <c r="AV58" s="76" t="str">
        <f t="shared" ca="1" si="13"/>
        <v/>
      </c>
      <c r="AW58" s="76" t="str">
        <f t="shared" ca="1" si="14"/>
        <v/>
      </c>
      <c r="AX58" s="76"/>
      <c r="AY58" s="76">
        <f t="shared" si="15"/>
        <v>5</v>
      </c>
      <c r="AZ58" s="76" t="str">
        <f t="shared" ca="1" si="16"/>
        <v/>
      </c>
      <c r="BA58" s="76" t="str">
        <f t="shared" ca="1" si="17"/>
        <v/>
      </c>
      <c r="BB58" s="76" t="str">
        <f ca="1">IF(AZ58="","",COUNTIF(BA$53:BA57,BA58))</f>
        <v/>
      </c>
      <c r="BC58" s="76" t="str">
        <f t="shared" ca="1" si="18"/>
        <v/>
      </c>
      <c r="BD58" s="76" t="str">
        <f ca="1">IF(AZ58="","",IF(BC58=0,0,MATCH(BA58,BA$54:BA58,0)))</f>
        <v/>
      </c>
      <c r="BE58" s="76" t="str">
        <f t="shared" ca="1" si="19"/>
        <v/>
      </c>
      <c r="BF58" s="76" t="str">
        <f t="shared" ca="1" si="20"/>
        <v/>
      </c>
      <c r="BG58" s="76" t="str">
        <f ca="1">IF(AZ58="","",COUNTIF(BF$54:BF58,BF58))</f>
        <v/>
      </c>
      <c r="BH58" s="76" t="str">
        <f t="shared" ca="1" si="21"/>
        <v/>
      </c>
      <c r="BI58" s="108" t="str">
        <f t="shared" ca="1" si="22"/>
        <v/>
      </c>
      <c r="BJ58" s="76">
        <f t="shared" si="47"/>
        <v>5</v>
      </c>
      <c r="BK58" s="76" t="str">
        <f t="shared" ca="1" si="23"/>
        <v/>
      </c>
      <c r="BL58" s="76" t="str">
        <f t="shared" ca="1" si="24"/>
        <v/>
      </c>
      <c r="BM58" s="76" t="str">
        <f ca="1">IF(BK58="","",COUNTIF(BL$53:BL57,BL58))</f>
        <v/>
      </c>
      <c r="BN58" s="76" t="str">
        <f t="shared" ca="1" si="25"/>
        <v/>
      </c>
      <c r="BO58" s="76" t="str">
        <f ca="1">IF(BK58="","",IF(BN58=0,0,MATCH(BL58,BL$54:BL58,0)))</f>
        <v/>
      </c>
      <c r="BP58" s="76" t="str">
        <f t="shared" ca="1" si="26"/>
        <v/>
      </c>
      <c r="BQ58" s="76" t="str">
        <f t="shared" ca="1" si="27"/>
        <v/>
      </c>
      <c r="BR58" s="76" t="str">
        <f ca="1">IF(BK58="","",COUNTIF(BQ$54:BQ58,BQ58))</f>
        <v/>
      </c>
      <c r="BS58" s="76" t="str">
        <f t="shared" ca="1" si="28"/>
        <v/>
      </c>
      <c r="BT58" s="108" t="str">
        <f t="shared" ca="1" si="29"/>
        <v/>
      </c>
      <c r="BU58" s="76">
        <f t="shared" si="48"/>
        <v>5</v>
      </c>
      <c r="BV58" s="76" t="str">
        <f t="shared" ca="1" si="30"/>
        <v/>
      </c>
      <c r="BW58" s="76" t="str">
        <f t="shared" ca="1" si="31"/>
        <v/>
      </c>
      <c r="BX58" s="76" t="str">
        <f ca="1">IF(BV58="","",COUNTIF(BW$53:BW57,BW58))</f>
        <v/>
      </c>
      <c r="BY58" s="76" t="str">
        <f t="shared" ca="1" si="32"/>
        <v/>
      </c>
      <c r="BZ58" s="76" t="str">
        <f ca="1">IF(BV58="","",IF(BY58=0,0,MATCH(BW58,BW$54:BW58,0)))</f>
        <v/>
      </c>
      <c r="CA58" s="76" t="str">
        <f t="shared" ca="1" si="33"/>
        <v/>
      </c>
      <c r="CB58" s="76" t="str">
        <f t="shared" ca="1" si="34"/>
        <v/>
      </c>
      <c r="CC58" s="76" t="str">
        <f ca="1">IF(BV58="","",COUNTIF(CB$54:CB58,CB58))</f>
        <v/>
      </c>
      <c r="CD58" s="76" t="str">
        <f t="shared" ca="1" si="35"/>
        <v/>
      </c>
      <c r="CE58" s="108" t="str">
        <f t="shared" ca="1" si="36"/>
        <v/>
      </c>
      <c r="CG58" s="109">
        <v>5</v>
      </c>
      <c r="CH58" s="110">
        <v>3</v>
      </c>
      <c r="CI58" s="110">
        <f t="shared" si="37"/>
        <v>1</v>
      </c>
      <c r="CJ58" s="110">
        <f t="shared" ca="1" si="38"/>
        <v>2</v>
      </c>
      <c r="CK58" s="111">
        <v>5</v>
      </c>
      <c r="CL58" s="111">
        <f t="shared" si="49"/>
        <v>0</v>
      </c>
      <c r="CM58" s="111">
        <f t="shared" ca="1" si="39"/>
        <v>3</v>
      </c>
      <c r="CN58" s="112">
        <v>9</v>
      </c>
      <c r="CO58" s="112">
        <f t="shared" si="40"/>
        <v>0</v>
      </c>
      <c r="CP58" s="112">
        <f t="shared" ca="1" si="41"/>
        <v>5</v>
      </c>
    </row>
    <row r="59" spans="2:98">
      <c r="N59" s="35">
        <f t="shared" si="42"/>
        <v>0</v>
      </c>
      <c r="O59" s="35">
        <f t="shared" si="7"/>
        <v>2</v>
      </c>
      <c r="P59" s="35">
        <f t="shared" si="43"/>
        <v>1</v>
      </c>
      <c r="Q59" s="35">
        <f t="shared" si="8"/>
        <v>3</v>
      </c>
      <c r="R59" s="35">
        <f t="shared" si="44"/>
        <v>1</v>
      </c>
      <c r="AJ59" s="76">
        <v>6</v>
      </c>
      <c r="AK59" s="76" t="str">
        <f t="shared" ca="1" si="45"/>
        <v/>
      </c>
      <c r="AL59" s="76" t="str">
        <f t="shared" ca="1" si="46"/>
        <v/>
      </c>
      <c r="AM59" s="76"/>
      <c r="AN59" s="76"/>
      <c r="AO59" s="76" t="str">
        <f t="shared" ca="1" si="9"/>
        <v/>
      </c>
      <c r="AP59" s="76" t="str">
        <f t="shared" ca="1" si="10"/>
        <v/>
      </c>
      <c r="AQ59" s="76" t="str">
        <f t="shared" ca="1" si="11"/>
        <v/>
      </c>
      <c r="AR59" s="76">
        <f ca="1">COUNTIF($AQ$54:$AQ59,AR$53)</f>
        <v>0</v>
      </c>
      <c r="AS59" s="76">
        <f ca="1">COUNTIF($AQ$54:$AQ59,AS$53)</f>
        <v>0</v>
      </c>
      <c r="AT59" s="76">
        <f ca="1">COUNTIF($AQ$54:$AQ59,AT$53)</f>
        <v>0</v>
      </c>
      <c r="AU59" s="76" t="str">
        <f t="shared" ca="1" si="12"/>
        <v/>
      </c>
      <c r="AV59" s="76" t="str">
        <f t="shared" ca="1" si="13"/>
        <v/>
      </c>
      <c r="AW59" s="76" t="str">
        <f t="shared" ca="1" si="14"/>
        <v/>
      </c>
      <c r="AX59" s="76"/>
      <c r="AY59" s="76">
        <f t="shared" si="15"/>
        <v>6</v>
      </c>
      <c r="AZ59" s="76" t="str">
        <f t="shared" ca="1" si="16"/>
        <v/>
      </c>
      <c r="BA59" s="76" t="str">
        <f t="shared" ca="1" si="17"/>
        <v/>
      </c>
      <c r="BB59" s="76" t="str">
        <f ca="1">IF(AZ59="","",COUNTIF(BA$53:BA58,BA59))</f>
        <v/>
      </c>
      <c r="BC59" s="76" t="str">
        <f t="shared" ca="1" si="18"/>
        <v/>
      </c>
      <c r="BD59" s="76" t="str">
        <f ca="1">IF(AZ59="","",IF(BC59=0,0,MATCH(BA59,BA$54:BA59,0)))</f>
        <v/>
      </c>
      <c r="BE59" s="76" t="str">
        <f t="shared" ca="1" si="19"/>
        <v/>
      </c>
      <c r="BF59" s="76" t="str">
        <f t="shared" ca="1" si="20"/>
        <v/>
      </c>
      <c r="BG59" s="76" t="str">
        <f ca="1">IF(AZ59="","",COUNTIF(BF$54:BF59,BF59))</f>
        <v/>
      </c>
      <c r="BH59" s="76" t="str">
        <f t="shared" ca="1" si="21"/>
        <v/>
      </c>
      <c r="BI59" s="108" t="str">
        <f t="shared" ca="1" si="22"/>
        <v/>
      </c>
      <c r="BJ59" s="76">
        <f t="shared" si="47"/>
        <v>6</v>
      </c>
      <c r="BK59" s="76" t="str">
        <f t="shared" ca="1" si="23"/>
        <v/>
      </c>
      <c r="BL59" s="76" t="str">
        <f t="shared" ca="1" si="24"/>
        <v/>
      </c>
      <c r="BM59" s="76" t="str">
        <f ca="1">IF(BK59="","",COUNTIF(BL$53:BL58,BL59))</f>
        <v/>
      </c>
      <c r="BN59" s="76" t="str">
        <f t="shared" ca="1" si="25"/>
        <v/>
      </c>
      <c r="BO59" s="76" t="str">
        <f ca="1">IF(BK59="","",IF(BN59=0,0,MATCH(BL59,BL$54:BL59,0)))</f>
        <v/>
      </c>
      <c r="BP59" s="76" t="str">
        <f t="shared" ca="1" si="26"/>
        <v/>
      </c>
      <c r="BQ59" s="76" t="str">
        <f t="shared" ca="1" si="27"/>
        <v/>
      </c>
      <c r="BR59" s="76" t="str">
        <f ca="1">IF(BK59="","",COUNTIF(BQ$54:BQ59,BQ59))</f>
        <v/>
      </c>
      <c r="BS59" s="76" t="str">
        <f t="shared" ca="1" si="28"/>
        <v/>
      </c>
      <c r="BT59" s="108" t="str">
        <f t="shared" ca="1" si="29"/>
        <v/>
      </c>
      <c r="BU59" s="76">
        <f t="shared" si="48"/>
        <v>6</v>
      </c>
      <c r="BV59" s="76" t="str">
        <f t="shared" ca="1" si="30"/>
        <v/>
      </c>
      <c r="BW59" s="76" t="str">
        <f t="shared" ca="1" si="31"/>
        <v/>
      </c>
      <c r="BX59" s="76" t="str">
        <f ca="1">IF(BV59="","",COUNTIF(BW$53:BW58,BW59))</f>
        <v/>
      </c>
      <c r="BY59" s="76" t="str">
        <f t="shared" ca="1" si="32"/>
        <v/>
      </c>
      <c r="BZ59" s="76" t="str">
        <f ca="1">IF(BV59="","",IF(BY59=0,0,MATCH(BW59,BW$54:BW59,0)))</f>
        <v/>
      </c>
      <c r="CA59" s="76" t="str">
        <f t="shared" ca="1" si="33"/>
        <v/>
      </c>
      <c r="CB59" s="76" t="str">
        <f t="shared" ca="1" si="34"/>
        <v/>
      </c>
      <c r="CC59" s="76" t="str">
        <f ca="1">IF(BV59="","",COUNTIF(CB$54:CB59,CB59))</f>
        <v/>
      </c>
      <c r="CD59" s="76" t="str">
        <f t="shared" ca="1" si="35"/>
        <v/>
      </c>
      <c r="CE59" s="108" t="str">
        <f t="shared" ca="1" si="36"/>
        <v/>
      </c>
      <c r="CG59" s="109">
        <v>6</v>
      </c>
      <c r="CH59" s="110">
        <v>6</v>
      </c>
      <c r="CI59" s="110">
        <f t="shared" si="37"/>
        <v>1</v>
      </c>
      <c r="CJ59" s="110">
        <f t="shared" ca="1" si="38"/>
        <v>3</v>
      </c>
      <c r="CK59" s="111">
        <v>12</v>
      </c>
      <c r="CL59" s="111">
        <f t="shared" si="49"/>
        <v>0</v>
      </c>
      <c r="CM59" s="111">
        <f t="shared" ca="1" si="39"/>
        <v>6</v>
      </c>
      <c r="CN59" s="112">
        <v>24</v>
      </c>
      <c r="CO59" s="112">
        <f t="shared" si="40"/>
        <v>0</v>
      </c>
      <c r="CP59" s="112">
        <f t="shared" ca="1" si="41"/>
        <v>12</v>
      </c>
    </row>
    <row r="60" spans="2:98">
      <c r="N60" s="35">
        <f t="shared" si="42"/>
        <v>1</v>
      </c>
      <c r="O60" s="35">
        <f t="shared" si="7"/>
        <v>3</v>
      </c>
      <c r="P60" s="35">
        <f t="shared" si="43"/>
        <v>1</v>
      </c>
      <c r="Q60" s="35">
        <f t="shared" si="8"/>
        <v>1</v>
      </c>
      <c r="R60" s="35">
        <f t="shared" si="44"/>
        <v>1</v>
      </c>
      <c r="AJ60" s="76">
        <v>7</v>
      </c>
      <c r="AK60" s="76" t="str">
        <f t="shared" ca="1" si="45"/>
        <v/>
      </c>
      <c r="AL60" s="76" t="str">
        <f t="shared" ca="1" si="46"/>
        <v/>
      </c>
      <c r="AM60" s="76"/>
      <c r="AN60" s="76"/>
      <c r="AO60" s="76" t="str">
        <f t="shared" ca="1" si="9"/>
        <v/>
      </c>
      <c r="AP60" s="76" t="str">
        <f t="shared" ca="1" si="10"/>
        <v/>
      </c>
      <c r="AQ60" s="76" t="str">
        <f t="shared" ca="1" si="11"/>
        <v/>
      </c>
      <c r="AR60" s="76">
        <f ca="1">COUNTIF($AQ$54:$AQ60,AR$53)</f>
        <v>0</v>
      </c>
      <c r="AS60" s="76">
        <f ca="1">COUNTIF($AQ$54:$AQ60,AS$53)</f>
        <v>0</v>
      </c>
      <c r="AT60" s="76">
        <f ca="1">COUNTIF($AQ$54:$AQ60,AT$53)</f>
        <v>0</v>
      </c>
      <c r="AU60" s="76" t="str">
        <f t="shared" ca="1" si="12"/>
        <v/>
      </c>
      <c r="AV60" s="76" t="str">
        <f t="shared" ca="1" si="13"/>
        <v/>
      </c>
      <c r="AW60" s="76" t="str">
        <f t="shared" ca="1" si="14"/>
        <v/>
      </c>
      <c r="AX60" s="76"/>
      <c r="AY60" s="76">
        <f t="shared" si="15"/>
        <v>7</v>
      </c>
      <c r="AZ60" s="76" t="str">
        <f t="shared" ca="1" si="16"/>
        <v/>
      </c>
      <c r="BA60" s="76" t="str">
        <f t="shared" ca="1" si="17"/>
        <v/>
      </c>
      <c r="BB60" s="76" t="str">
        <f ca="1">IF(AZ60="","",COUNTIF(BA$53:BA59,BA60))</f>
        <v/>
      </c>
      <c r="BC60" s="76" t="str">
        <f t="shared" ca="1" si="18"/>
        <v/>
      </c>
      <c r="BD60" s="76" t="str">
        <f ca="1">IF(AZ60="","",IF(BC60=0,0,MATCH(BA60,BA$54:BA60,0)))</f>
        <v/>
      </c>
      <c r="BE60" s="76" t="str">
        <f t="shared" ca="1" si="19"/>
        <v/>
      </c>
      <c r="BF60" s="76" t="str">
        <f t="shared" ca="1" si="20"/>
        <v/>
      </c>
      <c r="BG60" s="76" t="str">
        <f ca="1">IF(AZ60="","",COUNTIF(BF$54:BF60,BF60))</f>
        <v/>
      </c>
      <c r="BH60" s="76" t="str">
        <f t="shared" ca="1" si="21"/>
        <v/>
      </c>
      <c r="BI60" s="108" t="str">
        <f t="shared" ref="BI60:BI85" ca="1" si="50">IF(AZ60="","",OFFSET($CG$53,BH60+BF60*BH$51,AY$52))</f>
        <v/>
      </c>
      <c r="BJ60" s="76">
        <f t="shared" si="47"/>
        <v>7</v>
      </c>
      <c r="BK60" s="76" t="str">
        <f t="shared" ca="1" si="23"/>
        <v/>
      </c>
      <c r="BL60" s="76" t="str">
        <f t="shared" ca="1" si="24"/>
        <v/>
      </c>
      <c r="BM60" s="76" t="str">
        <f ca="1">IF(BK60="","",COUNTIF(BL$53:BL59,BL60))</f>
        <v/>
      </c>
      <c r="BN60" s="76" t="str">
        <f t="shared" ca="1" si="25"/>
        <v/>
      </c>
      <c r="BO60" s="76" t="str">
        <f ca="1">IF(BK60="","",IF(BN60=0,0,MATCH(BL60,BL$54:BL60,0)))</f>
        <v/>
      </c>
      <c r="BP60" s="76" t="str">
        <f t="shared" ca="1" si="26"/>
        <v/>
      </c>
      <c r="BQ60" s="76" t="str">
        <f t="shared" ca="1" si="27"/>
        <v/>
      </c>
      <c r="BR60" s="76" t="str">
        <f ca="1">IF(BK60="","",COUNTIF(BQ$54:BQ60,BQ60))</f>
        <v/>
      </c>
      <c r="BS60" s="76" t="str">
        <f t="shared" ca="1" si="28"/>
        <v/>
      </c>
      <c r="BT60" s="108" t="str">
        <f t="shared" ca="1" si="29"/>
        <v/>
      </c>
      <c r="BU60" s="76">
        <f t="shared" si="48"/>
        <v>7</v>
      </c>
      <c r="BV60" s="76" t="str">
        <f t="shared" ca="1" si="30"/>
        <v/>
      </c>
      <c r="BW60" s="76" t="str">
        <f t="shared" ca="1" si="31"/>
        <v/>
      </c>
      <c r="BX60" s="76" t="str">
        <f ca="1">IF(BV60="","",COUNTIF(BW$53:BW59,BW60))</f>
        <v/>
      </c>
      <c r="BY60" s="76" t="str">
        <f t="shared" ca="1" si="32"/>
        <v/>
      </c>
      <c r="BZ60" s="76" t="str">
        <f ca="1">IF(BV60="","",IF(BY60=0,0,MATCH(BW60,BW$54:BW60,0)))</f>
        <v/>
      </c>
      <c r="CA60" s="76" t="str">
        <f t="shared" ca="1" si="33"/>
        <v/>
      </c>
      <c r="CB60" s="76" t="str">
        <f t="shared" ca="1" si="34"/>
        <v/>
      </c>
      <c r="CC60" s="76" t="str">
        <f ca="1">IF(BV60="","",COUNTIF(CB$54:CB60,CB60))</f>
        <v/>
      </c>
      <c r="CD60" s="76" t="str">
        <f t="shared" ca="1" si="35"/>
        <v/>
      </c>
      <c r="CE60" s="108" t="str">
        <f t="shared" ca="1" si="36"/>
        <v/>
      </c>
      <c r="CG60" s="109">
        <v>7</v>
      </c>
      <c r="CH60" s="110">
        <v>7</v>
      </c>
      <c r="CI60" s="110">
        <f t="shared" si="37"/>
        <v>1</v>
      </c>
      <c r="CJ60" s="110">
        <f t="shared" ca="1" si="38"/>
        <v>4</v>
      </c>
      <c r="CK60" s="111">
        <v>13</v>
      </c>
      <c r="CL60" s="111">
        <f t="shared" si="49"/>
        <v>0</v>
      </c>
      <c r="CM60" s="111">
        <f t="shared" ca="1" si="39"/>
        <v>7</v>
      </c>
      <c r="CN60" s="112">
        <v>25</v>
      </c>
      <c r="CO60" s="112">
        <f t="shared" si="40"/>
        <v>0</v>
      </c>
      <c r="CP60" s="112">
        <f t="shared" ca="1" si="41"/>
        <v>13</v>
      </c>
    </row>
    <row r="61" spans="2:98">
      <c r="N61" s="35">
        <f t="shared" si="42"/>
        <v>1</v>
      </c>
      <c r="O61" s="35">
        <f t="shared" si="7"/>
        <v>3</v>
      </c>
      <c r="P61" s="35">
        <f t="shared" si="43"/>
        <v>2</v>
      </c>
      <c r="Q61" s="35">
        <f t="shared" si="8"/>
        <v>2</v>
      </c>
      <c r="R61" s="35">
        <f t="shared" si="44"/>
        <v>2</v>
      </c>
      <c r="AJ61" s="76">
        <v>8</v>
      </c>
      <c r="AK61" s="76" t="str">
        <f t="shared" ca="1" si="45"/>
        <v/>
      </c>
      <c r="AL61" s="76" t="str">
        <f t="shared" ca="1" si="46"/>
        <v/>
      </c>
      <c r="AM61" s="76"/>
      <c r="AN61" s="76"/>
      <c r="AO61" s="76" t="str">
        <f t="shared" ca="1" si="9"/>
        <v/>
      </c>
      <c r="AP61" s="76" t="str">
        <f t="shared" ca="1" si="10"/>
        <v/>
      </c>
      <c r="AQ61" s="76" t="str">
        <f t="shared" ca="1" si="11"/>
        <v/>
      </c>
      <c r="AR61" s="76">
        <f ca="1">COUNTIF($AQ$54:$AQ61,AR$53)</f>
        <v>0</v>
      </c>
      <c r="AS61" s="76">
        <f ca="1">COUNTIF($AQ$54:$AQ61,AS$53)</f>
        <v>0</v>
      </c>
      <c r="AT61" s="76">
        <f ca="1">COUNTIF($AQ$54:$AQ61,AT$53)</f>
        <v>0</v>
      </c>
      <c r="AU61" s="76" t="str">
        <f t="shared" ca="1" si="12"/>
        <v/>
      </c>
      <c r="AV61" s="76" t="str">
        <f t="shared" ca="1" si="13"/>
        <v/>
      </c>
      <c r="AW61" s="76" t="str">
        <f t="shared" ca="1" si="14"/>
        <v/>
      </c>
      <c r="AX61" s="76"/>
      <c r="AY61" s="76">
        <f t="shared" si="15"/>
        <v>8</v>
      </c>
      <c r="AZ61" s="76" t="str">
        <f t="shared" ca="1" si="16"/>
        <v/>
      </c>
      <c r="BA61" s="76" t="str">
        <f t="shared" ca="1" si="17"/>
        <v/>
      </c>
      <c r="BB61" s="76" t="str">
        <f ca="1">IF(AZ61="","",COUNTIF(BA$53:BA60,BA61))</f>
        <v/>
      </c>
      <c r="BC61" s="76" t="str">
        <f t="shared" ca="1" si="18"/>
        <v/>
      </c>
      <c r="BD61" s="76" t="str">
        <f ca="1">IF(AZ61="","",IF(BC61=0,0,MATCH(BA61,BA$54:BA61,0)))</f>
        <v/>
      </c>
      <c r="BE61" s="76" t="str">
        <f t="shared" ca="1" si="19"/>
        <v/>
      </c>
      <c r="BF61" s="76" t="str">
        <f t="shared" ca="1" si="20"/>
        <v/>
      </c>
      <c r="BG61" s="76" t="str">
        <f ca="1">IF(AZ61="","",COUNTIF(BF$54:BF61,BF61))</f>
        <v/>
      </c>
      <c r="BH61" s="76" t="str">
        <f t="shared" ca="1" si="21"/>
        <v/>
      </c>
      <c r="BI61" s="108" t="str">
        <f t="shared" ca="1" si="50"/>
        <v/>
      </c>
      <c r="BJ61" s="76">
        <f t="shared" si="47"/>
        <v>8</v>
      </c>
      <c r="BK61" s="76" t="str">
        <f t="shared" ca="1" si="23"/>
        <v/>
      </c>
      <c r="BL61" s="76" t="str">
        <f t="shared" ca="1" si="24"/>
        <v/>
      </c>
      <c r="BM61" s="76" t="str">
        <f ca="1">IF(BK61="","",COUNTIF(BL$53:BL60,BL61))</f>
        <v/>
      </c>
      <c r="BN61" s="76" t="str">
        <f t="shared" ca="1" si="25"/>
        <v/>
      </c>
      <c r="BO61" s="76" t="str">
        <f ca="1">IF(BK61="","",IF(BN61=0,0,MATCH(BL61,BL$54:BL61,0)))</f>
        <v/>
      </c>
      <c r="BP61" s="76" t="str">
        <f t="shared" ca="1" si="26"/>
        <v/>
      </c>
      <c r="BQ61" s="76" t="str">
        <f t="shared" ca="1" si="27"/>
        <v/>
      </c>
      <c r="BR61" s="76" t="str">
        <f ca="1">IF(BK61="","",COUNTIF(BQ$54:BQ61,BQ61))</f>
        <v/>
      </c>
      <c r="BS61" s="76" t="str">
        <f t="shared" ca="1" si="28"/>
        <v/>
      </c>
      <c r="BT61" s="108" t="str">
        <f t="shared" ca="1" si="29"/>
        <v/>
      </c>
      <c r="BU61" s="76">
        <f t="shared" si="48"/>
        <v>8</v>
      </c>
      <c r="BV61" s="76" t="str">
        <f t="shared" ca="1" si="30"/>
        <v/>
      </c>
      <c r="BW61" s="76" t="str">
        <f t="shared" ca="1" si="31"/>
        <v/>
      </c>
      <c r="BX61" s="76" t="str">
        <f ca="1">IF(BV61="","",COUNTIF(BW$53:BW60,BW61))</f>
        <v/>
      </c>
      <c r="BY61" s="76" t="str">
        <f t="shared" ca="1" si="32"/>
        <v/>
      </c>
      <c r="BZ61" s="76" t="str">
        <f ca="1">IF(BV61="","",IF(BY61=0,0,MATCH(BW61,BW$54:BW61,0)))</f>
        <v/>
      </c>
      <c r="CA61" s="76" t="str">
        <f t="shared" ca="1" si="33"/>
        <v/>
      </c>
      <c r="CB61" s="76" t="str">
        <f t="shared" ca="1" si="34"/>
        <v/>
      </c>
      <c r="CC61" s="76" t="str">
        <f ca="1">IF(BV61="","",COUNTIF(CB$54:CB61,CB61))</f>
        <v/>
      </c>
      <c r="CD61" s="76" t="str">
        <f t="shared" ca="1" si="35"/>
        <v/>
      </c>
      <c r="CE61" s="108" t="str">
        <f t="shared" ca="1" si="36"/>
        <v/>
      </c>
      <c r="CG61" s="109">
        <v>8</v>
      </c>
      <c r="CH61" s="110">
        <v>2</v>
      </c>
      <c r="CI61" s="110">
        <f t="shared" si="37"/>
        <v>1</v>
      </c>
      <c r="CJ61" s="110">
        <f t="shared" ca="1" si="38"/>
        <v>1</v>
      </c>
      <c r="CK61" s="111">
        <v>4</v>
      </c>
      <c r="CL61" s="111">
        <f t="shared" si="49"/>
        <v>0</v>
      </c>
      <c r="CM61" s="111">
        <f t="shared" ca="1" si="39"/>
        <v>2</v>
      </c>
      <c r="CN61" s="112">
        <v>8</v>
      </c>
      <c r="CO61" s="112">
        <f t="shared" si="40"/>
        <v>0</v>
      </c>
      <c r="CP61" s="112">
        <f t="shared" ca="1" si="41"/>
        <v>4</v>
      </c>
    </row>
    <row r="62" spans="2:98">
      <c r="N62" s="35">
        <f t="shared" si="42"/>
        <v>1</v>
      </c>
      <c r="O62" s="35">
        <f t="shared" si="7"/>
        <v>3</v>
      </c>
      <c r="P62" s="35">
        <f t="shared" si="43"/>
        <v>3</v>
      </c>
      <c r="Q62" s="35">
        <f t="shared" si="8"/>
        <v>3</v>
      </c>
      <c r="R62" s="35">
        <f t="shared" si="44"/>
        <v>3</v>
      </c>
      <c r="AJ62" s="76">
        <v>9</v>
      </c>
      <c r="AK62" s="76" t="str">
        <f t="shared" ca="1" si="45"/>
        <v/>
      </c>
      <c r="AL62" s="76" t="str">
        <f t="shared" ca="1" si="46"/>
        <v/>
      </c>
      <c r="AM62" s="76"/>
      <c r="AN62" s="76"/>
      <c r="AO62" s="76" t="str">
        <f t="shared" ca="1" si="9"/>
        <v/>
      </c>
      <c r="AP62" s="76" t="str">
        <f t="shared" ca="1" si="10"/>
        <v/>
      </c>
      <c r="AQ62" s="76" t="str">
        <f t="shared" ca="1" si="11"/>
        <v/>
      </c>
      <c r="AR62" s="76">
        <f ca="1">COUNTIF($AQ$54:$AQ62,AR$53)</f>
        <v>0</v>
      </c>
      <c r="AS62" s="76">
        <f ca="1">COUNTIF($AQ$54:$AQ62,AS$53)</f>
        <v>0</v>
      </c>
      <c r="AT62" s="76">
        <f ca="1">COUNTIF($AQ$54:$AQ62,AT$53)</f>
        <v>0</v>
      </c>
      <c r="AU62" s="76" t="str">
        <f t="shared" ca="1" si="12"/>
        <v/>
      </c>
      <c r="AV62" s="76" t="str">
        <f t="shared" ca="1" si="13"/>
        <v/>
      </c>
      <c r="AW62" s="76" t="str">
        <f t="shared" ca="1" si="14"/>
        <v/>
      </c>
      <c r="AX62" s="76"/>
      <c r="AY62" s="76">
        <f t="shared" si="15"/>
        <v>9</v>
      </c>
      <c r="AZ62" s="76" t="str">
        <f t="shared" ca="1" si="16"/>
        <v/>
      </c>
      <c r="BA62" s="76" t="str">
        <f t="shared" ca="1" si="17"/>
        <v/>
      </c>
      <c r="BB62" s="76" t="str">
        <f ca="1">IF(AZ62="","",COUNTIF(BA$53:BA61,BA62))</f>
        <v/>
      </c>
      <c r="BC62" s="76" t="str">
        <f t="shared" ca="1" si="18"/>
        <v/>
      </c>
      <c r="BD62" s="76" t="str">
        <f ca="1">IF(AZ62="","",IF(BC62=0,0,MATCH(BA62,BA$54:BA62,0)))</f>
        <v/>
      </c>
      <c r="BE62" s="76" t="str">
        <f t="shared" ca="1" si="19"/>
        <v/>
      </c>
      <c r="BF62" s="76" t="str">
        <f t="shared" ca="1" si="20"/>
        <v/>
      </c>
      <c r="BG62" s="76" t="str">
        <f ca="1">IF(AZ62="","",COUNTIF(BF$54:BF62,BF62))</f>
        <v/>
      </c>
      <c r="BH62" s="76" t="str">
        <f t="shared" ca="1" si="21"/>
        <v/>
      </c>
      <c r="BI62" s="108" t="str">
        <f t="shared" ca="1" si="50"/>
        <v/>
      </c>
      <c r="BJ62" s="76">
        <f t="shared" si="47"/>
        <v>9</v>
      </c>
      <c r="BK62" s="76" t="str">
        <f t="shared" ca="1" si="23"/>
        <v/>
      </c>
      <c r="BL62" s="76" t="str">
        <f t="shared" ca="1" si="24"/>
        <v/>
      </c>
      <c r="BM62" s="76" t="str">
        <f ca="1">IF(BK62="","",COUNTIF(BL$53:BL61,BL62))</f>
        <v/>
      </c>
      <c r="BN62" s="76" t="str">
        <f t="shared" ca="1" si="25"/>
        <v/>
      </c>
      <c r="BO62" s="76" t="str">
        <f ca="1">IF(BK62="","",IF(BN62=0,0,MATCH(BL62,BL$54:BL62,0)))</f>
        <v/>
      </c>
      <c r="BP62" s="76" t="str">
        <f t="shared" ca="1" si="26"/>
        <v/>
      </c>
      <c r="BQ62" s="76" t="str">
        <f t="shared" ca="1" si="27"/>
        <v/>
      </c>
      <c r="BR62" s="76" t="str">
        <f ca="1">IF(BK62="","",COUNTIF(BQ$54:BQ62,BQ62))</f>
        <v/>
      </c>
      <c r="BS62" s="76" t="str">
        <f t="shared" ca="1" si="28"/>
        <v/>
      </c>
      <c r="BT62" s="108" t="str">
        <f t="shared" ca="1" si="29"/>
        <v/>
      </c>
      <c r="BU62" s="76">
        <f t="shared" si="48"/>
        <v>9</v>
      </c>
      <c r="BV62" s="76" t="str">
        <f t="shared" ca="1" si="30"/>
        <v/>
      </c>
      <c r="BW62" s="76" t="str">
        <f t="shared" ca="1" si="31"/>
        <v/>
      </c>
      <c r="BX62" s="76" t="str">
        <f ca="1">IF(BV62="","",COUNTIF(BW$53:BW61,BW62))</f>
        <v/>
      </c>
      <c r="BY62" s="76" t="str">
        <f t="shared" ca="1" si="32"/>
        <v/>
      </c>
      <c r="BZ62" s="76" t="str">
        <f ca="1">IF(BV62="","",IF(BY62=0,0,MATCH(BW62,BW$54:BW62,0)))</f>
        <v/>
      </c>
      <c r="CA62" s="76" t="str">
        <f t="shared" ca="1" si="33"/>
        <v/>
      </c>
      <c r="CB62" s="76" t="str">
        <f t="shared" ca="1" si="34"/>
        <v/>
      </c>
      <c r="CC62" s="76" t="str">
        <f ca="1">IF(BV62="","",COUNTIF(CB$54:CB62,CB62))</f>
        <v/>
      </c>
      <c r="CD62" s="76" t="str">
        <f t="shared" ca="1" si="35"/>
        <v/>
      </c>
      <c r="CE62" s="108" t="str">
        <f t="shared" ca="1" si="36"/>
        <v/>
      </c>
      <c r="CG62" s="109">
        <v>9</v>
      </c>
      <c r="CK62" s="111">
        <v>3</v>
      </c>
      <c r="CL62" s="111">
        <f t="shared" si="49"/>
        <v>1</v>
      </c>
      <c r="CM62" s="111">
        <f t="shared" ca="1" si="39"/>
        <v>2</v>
      </c>
      <c r="CN62" s="112">
        <v>5</v>
      </c>
      <c r="CO62" s="112">
        <f t="shared" si="40"/>
        <v>0</v>
      </c>
      <c r="CP62" s="112">
        <f t="shared" ca="1" si="41"/>
        <v>3</v>
      </c>
    </row>
    <row r="63" spans="2:98">
      <c r="N63" s="35">
        <f t="shared" si="42"/>
        <v>0</v>
      </c>
      <c r="O63" s="35">
        <f t="shared" si="7"/>
        <v>4</v>
      </c>
      <c r="P63" s="35">
        <f t="shared" si="43"/>
        <v>3</v>
      </c>
      <c r="Q63" s="35">
        <f t="shared" si="8"/>
        <v>1</v>
      </c>
      <c r="R63" s="35">
        <f t="shared" si="44"/>
        <v>3</v>
      </c>
      <c r="AJ63" s="76">
        <v>10</v>
      </c>
      <c r="AK63" s="76" t="str">
        <f t="shared" ca="1" si="45"/>
        <v/>
      </c>
      <c r="AL63" s="76" t="str">
        <f t="shared" ca="1" si="46"/>
        <v/>
      </c>
      <c r="AM63" s="76"/>
      <c r="AN63" s="76"/>
      <c r="AO63" s="76" t="str">
        <f t="shared" ca="1" si="9"/>
        <v/>
      </c>
      <c r="AP63" s="76" t="str">
        <f t="shared" ca="1" si="10"/>
        <v/>
      </c>
      <c r="AQ63" s="76" t="str">
        <f t="shared" ca="1" si="11"/>
        <v/>
      </c>
      <c r="AR63" s="76">
        <f ca="1">COUNTIF($AQ$54:$AQ63,AR$53)</f>
        <v>0</v>
      </c>
      <c r="AS63" s="76">
        <f ca="1">COUNTIF($AQ$54:$AQ63,AS$53)</f>
        <v>0</v>
      </c>
      <c r="AT63" s="76">
        <f ca="1">COUNTIF($AQ$54:$AQ63,AT$53)</f>
        <v>0</v>
      </c>
      <c r="AU63" s="76" t="str">
        <f t="shared" ca="1" si="12"/>
        <v/>
      </c>
      <c r="AV63" s="76" t="str">
        <f t="shared" ca="1" si="13"/>
        <v/>
      </c>
      <c r="AW63" s="76" t="str">
        <f t="shared" ca="1" si="14"/>
        <v/>
      </c>
      <c r="AX63" s="76"/>
      <c r="AY63" s="76">
        <f t="shared" si="15"/>
        <v>10</v>
      </c>
      <c r="AZ63" s="76" t="str">
        <f t="shared" ca="1" si="16"/>
        <v/>
      </c>
      <c r="BA63" s="76" t="str">
        <f t="shared" ca="1" si="17"/>
        <v/>
      </c>
      <c r="BB63" s="76" t="str">
        <f ca="1">IF(AZ63="","",COUNTIF(BA$53:BA62,BA63))</f>
        <v/>
      </c>
      <c r="BC63" s="76" t="str">
        <f t="shared" ca="1" si="18"/>
        <v/>
      </c>
      <c r="BD63" s="76" t="str">
        <f ca="1">IF(AZ63="","",IF(BC63=0,0,MATCH(BA63,BA$54:BA63,0)))</f>
        <v/>
      </c>
      <c r="BE63" s="76" t="str">
        <f t="shared" ca="1" si="19"/>
        <v/>
      </c>
      <c r="BF63" s="76" t="str">
        <f t="shared" ca="1" si="20"/>
        <v/>
      </c>
      <c r="BG63" s="76" t="str">
        <f ca="1">IF(AZ63="","",COUNTIF(BF$54:BF63,BF63))</f>
        <v/>
      </c>
      <c r="BH63" s="76" t="str">
        <f t="shared" ca="1" si="21"/>
        <v/>
      </c>
      <c r="BI63" s="108" t="str">
        <f t="shared" ca="1" si="50"/>
        <v/>
      </c>
      <c r="BJ63" s="76">
        <f t="shared" si="47"/>
        <v>10</v>
      </c>
      <c r="BK63" s="76" t="str">
        <f t="shared" ca="1" si="23"/>
        <v/>
      </c>
      <c r="BL63" s="76" t="str">
        <f t="shared" ca="1" si="24"/>
        <v/>
      </c>
      <c r="BM63" s="76" t="str">
        <f ca="1">IF(BK63="","",COUNTIF(BL$53:BL62,BL63))</f>
        <v/>
      </c>
      <c r="BN63" s="76" t="str">
        <f t="shared" ca="1" si="25"/>
        <v/>
      </c>
      <c r="BO63" s="76" t="str">
        <f ca="1">IF(BK63="","",IF(BN63=0,0,MATCH(BL63,BL$54:BL63,0)))</f>
        <v/>
      </c>
      <c r="BP63" s="76" t="str">
        <f t="shared" ca="1" si="26"/>
        <v/>
      </c>
      <c r="BQ63" s="76" t="str">
        <f t="shared" ca="1" si="27"/>
        <v/>
      </c>
      <c r="BR63" s="76" t="str">
        <f ca="1">IF(BK63="","",COUNTIF(BQ$54:BQ63,BQ63))</f>
        <v/>
      </c>
      <c r="BS63" s="76" t="str">
        <f t="shared" ca="1" si="28"/>
        <v/>
      </c>
      <c r="BT63" s="108" t="str">
        <f t="shared" ca="1" si="29"/>
        <v/>
      </c>
      <c r="BU63" s="76">
        <f t="shared" si="48"/>
        <v>10</v>
      </c>
      <c r="BV63" s="76" t="str">
        <f t="shared" ca="1" si="30"/>
        <v/>
      </c>
      <c r="BW63" s="76" t="str">
        <f t="shared" ca="1" si="31"/>
        <v/>
      </c>
      <c r="BX63" s="76" t="str">
        <f ca="1">IF(BV63="","",COUNTIF(BW$53:BW62,BW63))</f>
        <v/>
      </c>
      <c r="BY63" s="76" t="str">
        <f t="shared" ca="1" si="32"/>
        <v/>
      </c>
      <c r="BZ63" s="76" t="str">
        <f ca="1">IF(BV63="","",IF(BY63=0,0,MATCH(BW63,BW$54:BW63,0)))</f>
        <v/>
      </c>
      <c r="CA63" s="76" t="str">
        <f t="shared" ca="1" si="33"/>
        <v/>
      </c>
      <c r="CB63" s="76" t="str">
        <f t="shared" ca="1" si="34"/>
        <v/>
      </c>
      <c r="CC63" s="76" t="str">
        <f ca="1">IF(BV63="","",COUNTIF(CB$54:CB63,CB63))</f>
        <v/>
      </c>
      <c r="CD63" s="76" t="str">
        <f t="shared" ca="1" si="35"/>
        <v/>
      </c>
      <c r="CE63" s="108" t="str">
        <f t="shared" ca="1" si="36"/>
        <v/>
      </c>
      <c r="CG63" s="109">
        <v>10</v>
      </c>
      <c r="CK63" s="111">
        <v>14</v>
      </c>
      <c r="CL63" s="111">
        <f t="shared" si="49"/>
        <v>1</v>
      </c>
      <c r="CM63" s="111">
        <f t="shared" ca="1" si="39"/>
        <v>7</v>
      </c>
      <c r="CN63" s="112">
        <v>28</v>
      </c>
      <c r="CO63" s="112">
        <f t="shared" si="40"/>
        <v>0</v>
      </c>
      <c r="CP63" s="112">
        <f t="shared" ca="1" si="41"/>
        <v>14</v>
      </c>
    </row>
    <row r="64" spans="2:98">
      <c r="N64" s="35">
        <f t="shared" si="42"/>
        <v>0</v>
      </c>
      <c r="O64" s="35">
        <f t="shared" si="7"/>
        <v>4</v>
      </c>
      <c r="P64" s="35">
        <f t="shared" si="43"/>
        <v>2</v>
      </c>
      <c r="Q64" s="35">
        <f t="shared" si="8"/>
        <v>2</v>
      </c>
      <c r="R64" s="35">
        <f t="shared" si="44"/>
        <v>2</v>
      </c>
      <c r="AJ64" s="76">
        <v>11</v>
      </c>
      <c r="AK64" s="76" t="str">
        <f t="shared" ca="1" si="45"/>
        <v/>
      </c>
      <c r="AL64" s="76" t="str">
        <f t="shared" ca="1" si="46"/>
        <v/>
      </c>
      <c r="AM64" s="76"/>
      <c r="AN64" s="76"/>
      <c r="AO64" s="76" t="str">
        <f t="shared" ca="1" si="9"/>
        <v/>
      </c>
      <c r="AP64" s="76" t="str">
        <f t="shared" ca="1" si="10"/>
        <v/>
      </c>
      <c r="AQ64" s="76" t="str">
        <f t="shared" ca="1" si="11"/>
        <v/>
      </c>
      <c r="AR64" s="76">
        <f ca="1">COUNTIF($AQ$54:$AQ64,AR$53)</f>
        <v>0</v>
      </c>
      <c r="AS64" s="76">
        <f ca="1">COUNTIF($AQ$54:$AQ64,AS$53)</f>
        <v>0</v>
      </c>
      <c r="AT64" s="76">
        <f ca="1">COUNTIF($AQ$54:$AQ64,AT$53)</f>
        <v>0</v>
      </c>
      <c r="AU64" s="76" t="str">
        <f t="shared" ca="1" si="12"/>
        <v/>
      </c>
      <c r="AV64" s="76" t="str">
        <f t="shared" ca="1" si="13"/>
        <v/>
      </c>
      <c r="AW64" s="76" t="str">
        <f t="shared" ca="1" si="14"/>
        <v/>
      </c>
      <c r="AX64" s="76"/>
      <c r="AY64" s="76">
        <f t="shared" si="15"/>
        <v>11</v>
      </c>
      <c r="AZ64" s="76" t="str">
        <f t="shared" ca="1" si="16"/>
        <v/>
      </c>
      <c r="BA64" s="76" t="str">
        <f t="shared" ca="1" si="17"/>
        <v/>
      </c>
      <c r="BB64" s="76" t="str">
        <f ca="1">IF(AZ64="","",COUNTIF(BA$53:BA63,BA64))</f>
        <v/>
      </c>
      <c r="BC64" s="76" t="str">
        <f t="shared" ca="1" si="18"/>
        <v/>
      </c>
      <c r="BD64" s="76" t="str">
        <f ca="1">IF(AZ64="","",IF(BC64=0,0,MATCH(BA64,BA$54:BA64,0)))</f>
        <v/>
      </c>
      <c r="BE64" s="76" t="str">
        <f t="shared" ca="1" si="19"/>
        <v/>
      </c>
      <c r="BF64" s="76" t="str">
        <f t="shared" ca="1" si="20"/>
        <v/>
      </c>
      <c r="BG64" s="76" t="str">
        <f ca="1">IF(AZ64="","",COUNTIF(BF$54:BF64,BF64))</f>
        <v/>
      </c>
      <c r="BH64" s="76" t="str">
        <f t="shared" ca="1" si="21"/>
        <v/>
      </c>
      <c r="BI64" s="108" t="str">
        <f t="shared" ca="1" si="50"/>
        <v/>
      </c>
      <c r="BJ64" s="76">
        <f t="shared" si="47"/>
        <v>11</v>
      </c>
      <c r="BK64" s="76" t="str">
        <f t="shared" ca="1" si="23"/>
        <v/>
      </c>
      <c r="BL64" s="76" t="str">
        <f t="shared" ca="1" si="24"/>
        <v/>
      </c>
      <c r="BM64" s="76" t="str">
        <f ca="1">IF(BK64="","",COUNTIF(BL$53:BL63,BL64))</f>
        <v/>
      </c>
      <c r="BN64" s="76" t="str">
        <f t="shared" ca="1" si="25"/>
        <v/>
      </c>
      <c r="BO64" s="76" t="str">
        <f ca="1">IF(BK64="","",IF(BN64=0,0,MATCH(BL64,BL$54:BL64,0)))</f>
        <v/>
      </c>
      <c r="BP64" s="76" t="str">
        <f t="shared" ca="1" si="26"/>
        <v/>
      </c>
      <c r="BQ64" s="76" t="str">
        <f t="shared" ca="1" si="27"/>
        <v/>
      </c>
      <c r="BR64" s="76" t="str">
        <f ca="1">IF(BK64="","",COUNTIF(BQ$54:BQ64,BQ64))</f>
        <v/>
      </c>
      <c r="BS64" s="76" t="str">
        <f t="shared" ca="1" si="28"/>
        <v/>
      </c>
      <c r="BT64" s="108" t="str">
        <f t="shared" ca="1" si="29"/>
        <v/>
      </c>
      <c r="BU64" s="76">
        <f t="shared" si="48"/>
        <v>11</v>
      </c>
      <c r="BV64" s="76" t="str">
        <f t="shared" ca="1" si="30"/>
        <v/>
      </c>
      <c r="BW64" s="76" t="str">
        <f t="shared" ca="1" si="31"/>
        <v/>
      </c>
      <c r="BX64" s="76" t="str">
        <f ca="1">IF(BV64="","",COUNTIF(BW$53:BW63,BW64))</f>
        <v/>
      </c>
      <c r="BY64" s="76" t="str">
        <f t="shared" ca="1" si="32"/>
        <v/>
      </c>
      <c r="BZ64" s="76" t="str">
        <f ca="1">IF(BV64="","",IF(BY64=0,0,MATCH(BW64,BW$54:BW64,0)))</f>
        <v/>
      </c>
      <c r="CA64" s="76" t="str">
        <f t="shared" ca="1" si="33"/>
        <v/>
      </c>
      <c r="CB64" s="76" t="str">
        <f t="shared" ca="1" si="34"/>
        <v/>
      </c>
      <c r="CC64" s="76" t="str">
        <f ca="1">IF(BV64="","",COUNTIF(CB$54:CB64,CB64))</f>
        <v/>
      </c>
      <c r="CD64" s="76" t="str">
        <f t="shared" ca="1" si="35"/>
        <v/>
      </c>
      <c r="CE64" s="108" t="str">
        <f t="shared" ca="1" si="36"/>
        <v/>
      </c>
      <c r="CG64" s="109">
        <v>11</v>
      </c>
      <c r="CK64" s="111">
        <v>11</v>
      </c>
      <c r="CL64" s="111">
        <f t="shared" si="49"/>
        <v>1</v>
      </c>
      <c r="CM64" s="111">
        <f t="shared" ca="1" si="39"/>
        <v>6</v>
      </c>
      <c r="CN64" s="112">
        <v>21</v>
      </c>
      <c r="CO64" s="112">
        <f t="shared" si="40"/>
        <v>0</v>
      </c>
      <c r="CP64" s="112">
        <f t="shared" ca="1" si="41"/>
        <v>11</v>
      </c>
    </row>
    <row r="65" spans="14:94">
      <c r="N65" s="35">
        <f t="shared" si="42"/>
        <v>0</v>
      </c>
      <c r="O65" s="35">
        <f t="shared" si="7"/>
        <v>4</v>
      </c>
      <c r="P65" s="35">
        <f>IF(N65=1,Q65,($AL$3-Q65)+1)</f>
        <v>1</v>
      </c>
      <c r="Q65" s="35">
        <f t="shared" si="8"/>
        <v>3</v>
      </c>
      <c r="R65" s="35">
        <f t="shared" si="44"/>
        <v>1</v>
      </c>
      <c r="AJ65" s="76">
        <v>12</v>
      </c>
      <c r="AK65" s="76" t="str">
        <f t="shared" ca="1" si="45"/>
        <v/>
      </c>
      <c r="AL65" s="76" t="str">
        <f t="shared" ca="1" si="46"/>
        <v/>
      </c>
      <c r="AM65" s="76"/>
      <c r="AN65" s="76"/>
      <c r="AO65" s="76" t="str">
        <f t="shared" ca="1" si="9"/>
        <v/>
      </c>
      <c r="AP65" s="76" t="str">
        <f t="shared" ca="1" si="10"/>
        <v/>
      </c>
      <c r="AQ65" s="76" t="str">
        <f t="shared" ca="1" si="11"/>
        <v/>
      </c>
      <c r="AR65" s="76">
        <f ca="1">COUNTIF($AQ$54:$AQ65,AR$53)</f>
        <v>0</v>
      </c>
      <c r="AS65" s="76">
        <f ca="1">COUNTIF($AQ$54:$AQ65,AS$53)</f>
        <v>0</v>
      </c>
      <c r="AT65" s="76">
        <f ca="1">COUNTIF($AQ$54:$AQ65,AT$53)</f>
        <v>0</v>
      </c>
      <c r="AU65" s="76" t="str">
        <f t="shared" ca="1" si="12"/>
        <v/>
      </c>
      <c r="AV65" s="76" t="str">
        <f t="shared" ca="1" si="13"/>
        <v/>
      </c>
      <c r="AW65" s="76" t="str">
        <f t="shared" ca="1" si="14"/>
        <v/>
      </c>
      <c r="AX65" s="76"/>
      <c r="AY65" s="76">
        <f t="shared" si="15"/>
        <v>12</v>
      </c>
      <c r="AZ65" s="76" t="str">
        <f t="shared" ca="1" si="16"/>
        <v/>
      </c>
      <c r="BA65" s="76" t="str">
        <f t="shared" ca="1" si="17"/>
        <v/>
      </c>
      <c r="BB65" s="76" t="str">
        <f ca="1">IF(AZ65="","",COUNTIF(BA$53:BA64,BA65))</f>
        <v/>
      </c>
      <c r="BC65" s="76" t="str">
        <f t="shared" ca="1" si="18"/>
        <v/>
      </c>
      <c r="BD65" s="76" t="str">
        <f ca="1">IF(AZ65="","",IF(BC65=0,0,MATCH(BA65,BA$54:BA65,0)))</f>
        <v/>
      </c>
      <c r="BE65" s="76" t="str">
        <f t="shared" ca="1" si="19"/>
        <v/>
      </c>
      <c r="BF65" s="76" t="str">
        <f t="shared" ca="1" si="20"/>
        <v/>
      </c>
      <c r="BG65" s="76" t="str">
        <f ca="1">IF(AZ65="","",COUNTIF(BF$54:BF65,BF65))</f>
        <v/>
      </c>
      <c r="BH65" s="76" t="str">
        <f t="shared" ca="1" si="21"/>
        <v/>
      </c>
      <c r="BI65" s="108" t="str">
        <f t="shared" ca="1" si="50"/>
        <v/>
      </c>
      <c r="BJ65" s="76">
        <f t="shared" si="47"/>
        <v>12</v>
      </c>
      <c r="BK65" s="76" t="str">
        <f t="shared" ca="1" si="23"/>
        <v/>
      </c>
      <c r="BL65" s="76" t="str">
        <f t="shared" ca="1" si="24"/>
        <v/>
      </c>
      <c r="BM65" s="76" t="str">
        <f ca="1">IF(BK65="","",COUNTIF(BL$53:BL64,BL65))</f>
        <v/>
      </c>
      <c r="BN65" s="76" t="str">
        <f t="shared" ca="1" si="25"/>
        <v/>
      </c>
      <c r="BO65" s="76" t="str">
        <f ca="1">IF(BK65="","",IF(BN65=0,0,MATCH(BL65,BL$54:BL65,0)))</f>
        <v/>
      </c>
      <c r="BP65" s="76" t="str">
        <f t="shared" ca="1" si="26"/>
        <v/>
      </c>
      <c r="BQ65" s="76" t="str">
        <f t="shared" ca="1" si="27"/>
        <v/>
      </c>
      <c r="BR65" s="76" t="str">
        <f ca="1">IF(BK65="","",COUNTIF(BQ$54:BQ65,BQ65))</f>
        <v/>
      </c>
      <c r="BS65" s="76" t="str">
        <f t="shared" ca="1" si="28"/>
        <v/>
      </c>
      <c r="BT65" s="108" t="str">
        <f t="shared" ca="1" si="29"/>
        <v/>
      </c>
      <c r="BU65" s="76">
        <f t="shared" si="48"/>
        <v>12</v>
      </c>
      <c r="BV65" s="76" t="str">
        <f t="shared" ca="1" si="30"/>
        <v/>
      </c>
      <c r="BW65" s="76" t="str">
        <f t="shared" ca="1" si="31"/>
        <v/>
      </c>
      <c r="BX65" s="76" t="str">
        <f ca="1">IF(BV65="","",COUNTIF(BW$53:BW64,BW65))</f>
        <v/>
      </c>
      <c r="BY65" s="76" t="str">
        <f t="shared" ca="1" si="32"/>
        <v/>
      </c>
      <c r="BZ65" s="76" t="str">
        <f ca="1">IF(BV65="","",IF(BY65=0,0,MATCH(BW65,BW$54:BW65,0)))</f>
        <v/>
      </c>
      <c r="CA65" s="76" t="str">
        <f t="shared" ca="1" si="33"/>
        <v/>
      </c>
      <c r="CB65" s="76" t="str">
        <f t="shared" ca="1" si="34"/>
        <v/>
      </c>
      <c r="CC65" s="76" t="str">
        <f ca="1">IF(BV65="","",COUNTIF(CB$54:CB65,CB65))</f>
        <v/>
      </c>
      <c r="CD65" s="76" t="str">
        <f t="shared" ca="1" si="35"/>
        <v/>
      </c>
      <c r="CE65" s="108" t="str">
        <f t="shared" ca="1" si="36"/>
        <v/>
      </c>
      <c r="CG65" s="109">
        <v>12</v>
      </c>
      <c r="CK65" s="111">
        <v>6</v>
      </c>
      <c r="CL65" s="111">
        <f t="shared" si="49"/>
        <v>1</v>
      </c>
      <c r="CM65" s="111">
        <f t="shared" ca="1" si="39"/>
        <v>3</v>
      </c>
      <c r="CN65" s="112">
        <v>12</v>
      </c>
      <c r="CO65" s="112">
        <f t="shared" si="40"/>
        <v>0</v>
      </c>
      <c r="CP65" s="112">
        <f t="shared" ca="1" si="41"/>
        <v>6</v>
      </c>
    </row>
    <row r="66" spans="14:94">
      <c r="N66" s="35">
        <f t="shared" si="42"/>
        <v>1</v>
      </c>
      <c r="O66" s="35">
        <f t="shared" si="7"/>
        <v>5</v>
      </c>
      <c r="P66" s="35">
        <f t="shared" si="43"/>
        <v>1</v>
      </c>
      <c r="Q66" s="35">
        <f t="shared" si="8"/>
        <v>1</v>
      </c>
      <c r="R66" s="35">
        <f t="shared" si="44"/>
        <v>1</v>
      </c>
      <c r="AJ66" s="76">
        <v>13</v>
      </c>
      <c r="AK66" s="76" t="str">
        <f t="shared" ca="1" si="45"/>
        <v/>
      </c>
      <c r="AL66" s="76" t="str">
        <f t="shared" ca="1" si="46"/>
        <v/>
      </c>
      <c r="AM66" s="76"/>
      <c r="AN66" s="76"/>
      <c r="AO66" s="76" t="str">
        <f t="shared" ca="1" si="9"/>
        <v/>
      </c>
      <c r="AP66" s="76" t="str">
        <f t="shared" ca="1" si="10"/>
        <v/>
      </c>
      <c r="AQ66" s="76" t="str">
        <f t="shared" ca="1" si="11"/>
        <v/>
      </c>
      <c r="AR66" s="76">
        <f ca="1">COUNTIF($AQ$54:$AQ66,AR$53)</f>
        <v>0</v>
      </c>
      <c r="AS66" s="76">
        <f ca="1">COUNTIF($AQ$54:$AQ66,AS$53)</f>
        <v>0</v>
      </c>
      <c r="AT66" s="76">
        <f ca="1">COUNTIF($AQ$54:$AQ66,AT$53)</f>
        <v>0</v>
      </c>
      <c r="AU66" s="76" t="str">
        <f t="shared" ca="1" si="12"/>
        <v/>
      </c>
      <c r="AV66" s="76" t="str">
        <f t="shared" ca="1" si="13"/>
        <v/>
      </c>
      <c r="AW66" s="76" t="str">
        <f t="shared" ca="1" si="14"/>
        <v/>
      </c>
      <c r="AX66" s="76"/>
      <c r="AY66" s="76">
        <f t="shared" si="15"/>
        <v>13</v>
      </c>
      <c r="AZ66" s="76" t="str">
        <f t="shared" ca="1" si="16"/>
        <v/>
      </c>
      <c r="BA66" s="76" t="str">
        <f t="shared" ca="1" si="17"/>
        <v/>
      </c>
      <c r="BB66" s="76" t="str">
        <f ca="1">IF(AZ66="","",COUNTIF(BA$53:BA65,BA66))</f>
        <v/>
      </c>
      <c r="BC66" s="76" t="str">
        <f t="shared" ca="1" si="18"/>
        <v/>
      </c>
      <c r="BD66" s="76" t="str">
        <f ca="1">IF(AZ66="","",IF(BC66=0,0,MATCH(BA66,BA$54:BA66,0)))</f>
        <v/>
      </c>
      <c r="BE66" s="76" t="str">
        <f t="shared" ca="1" si="19"/>
        <v/>
      </c>
      <c r="BF66" s="76" t="str">
        <f t="shared" ca="1" si="20"/>
        <v/>
      </c>
      <c r="BG66" s="76" t="str">
        <f ca="1">IF(AZ66="","",COUNTIF(BF$54:BF66,BF66))</f>
        <v/>
      </c>
      <c r="BH66" s="76" t="str">
        <f t="shared" ca="1" si="21"/>
        <v/>
      </c>
      <c r="BI66" s="108" t="str">
        <f t="shared" ca="1" si="50"/>
        <v/>
      </c>
      <c r="BJ66" s="76">
        <f t="shared" si="47"/>
        <v>13</v>
      </c>
      <c r="BK66" s="76" t="str">
        <f t="shared" ca="1" si="23"/>
        <v/>
      </c>
      <c r="BL66" s="76" t="str">
        <f t="shared" ca="1" si="24"/>
        <v/>
      </c>
      <c r="BM66" s="76" t="str">
        <f ca="1">IF(BK66="","",COUNTIF(BL$53:BL65,BL66))</f>
        <v/>
      </c>
      <c r="BN66" s="76" t="str">
        <f t="shared" ca="1" si="25"/>
        <v/>
      </c>
      <c r="BO66" s="76" t="str">
        <f ca="1">IF(BK66="","",IF(BN66=0,0,MATCH(BL66,BL$54:BL66,0)))</f>
        <v/>
      </c>
      <c r="BP66" s="76" t="str">
        <f t="shared" ca="1" si="26"/>
        <v/>
      </c>
      <c r="BQ66" s="76" t="str">
        <f t="shared" ca="1" si="27"/>
        <v/>
      </c>
      <c r="BR66" s="76" t="str">
        <f ca="1">IF(BK66="","",COUNTIF(BQ$54:BQ66,BQ66))</f>
        <v/>
      </c>
      <c r="BS66" s="76" t="str">
        <f t="shared" ca="1" si="28"/>
        <v/>
      </c>
      <c r="BT66" s="108" t="str">
        <f t="shared" ca="1" si="29"/>
        <v/>
      </c>
      <c r="BU66" s="76">
        <f t="shared" si="48"/>
        <v>13</v>
      </c>
      <c r="BV66" s="76" t="str">
        <f t="shared" ca="1" si="30"/>
        <v/>
      </c>
      <c r="BW66" s="76" t="str">
        <f t="shared" ca="1" si="31"/>
        <v/>
      </c>
      <c r="BX66" s="76" t="str">
        <f ca="1">IF(BV66="","",COUNTIF(BW$53:BW65,BW66))</f>
        <v/>
      </c>
      <c r="BY66" s="76" t="str">
        <f t="shared" ca="1" si="32"/>
        <v/>
      </c>
      <c r="BZ66" s="76" t="str">
        <f ca="1">IF(BV66="","",IF(BY66=0,0,MATCH(BW66,BW$54:BW66,0)))</f>
        <v/>
      </c>
      <c r="CA66" s="76" t="str">
        <f t="shared" ca="1" si="33"/>
        <v/>
      </c>
      <c r="CB66" s="76" t="str">
        <f t="shared" ca="1" si="34"/>
        <v/>
      </c>
      <c r="CC66" s="76" t="str">
        <f ca="1">IF(BV66="","",COUNTIF(CB$54:CB66,CB66))</f>
        <v/>
      </c>
      <c r="CD66" s="76" t="str">
        <f t="shared" ca="1" si="35"/>
        <v/>
      </c>
      <c r="CE66" s="108" t="str">
        <f t="shared" ca="1" si="36"/>
        <v/>
      </c>
      <c r="CG66" s="109">
        <v>13</v>
      </c>
      <c r="CK66" s="111">
        <v>7</v>
      </c>
      <c r="CL66" s="111">
        <f t="shared" si="49"/>
        <v>1</v>
      </c>
      <c r="CM66" s="111">
        <f t="shared" ca="1" si="39"/>
        <v>4</v>
      </c>
      <c r="CN66" s="112">
        <v>13</v>
      </c>
      <c r="CO66" s="112">
        <f t="shared" si="40"/>
        <v>0</v>
      </c>
      <c r="CP66" s="112">
        <f t="shared" ca="1" si="41"/>
        <v>7</v>
      </c>
    </row>
    <row r="67" spans="14:94">
      <c r="N67" s="35">
        <f t="shared" si="42"/>
        <v>1</v>
      </c>
      <c r="O67" s="35">
        <f t="shared" si="7"/>
        <v>5</v>
      </c>
      <c r="P67" s="35">
        <f t="shared" si="43"/>
        <v>2</v>
      </c>
      <c r="Q67" s="35">
        <f t="shared" si="8"/>
        <v>2</v>
      </c>
      <c r="R67" s="35">
        <f t="shared" si="44"/>
        <v>2</v>
      </c>
      <c r="AJ67" s="76">
        <v>14</v>
      </c>
      <c r="AK67" s="76" t="str">
        <f t="shared" ca="1" si="45"/>
        <v/>
      </c>
      <c r="AL67" s="76" t="str">
        <f t="shared" ca="1" si="46"/>
        <v/>
      </c>
      <c r="AM67" s="76"/>
      <c r="AN67" s="76"/>
      <c r="AO67" s="76" t="str">
        <f t="shared" ca="1" si="9"/>
        <v/>
      </c>
      <c r="AP67" s="76" t="str">
        <f t="shared" ca="1" si="10"/>
        <v/>
      </c>
      <c r="AQ67" s="76" t="str">
        <f t="shared" ca="1" si="11"/>
        <v/>
      </c>
      <c r="AR67" s="76">
        <f ca="1">COUNTIF($AQ$54:$AQ67,AR$53)</f>
        <v>0</v>
      </c>
      <c r="AS67" s="76">
        <f ca="1">COUNTIF($AQ$54:$AQ67,AS$53)</f>
        <v>0</v>
      </c>
      <c r="AT67" s="76">
        <f ca="1">COUNTIF($AQ$54:$AQ67,AT$53)</f>
        <v>0</v>
      </c>
      <c r="AU67" s="76" t="str">
        <f t="shared" ca="1" si="12"/>
        <v/>
      </c>
      <c r="AV67" s="76" t="str">
        <f t="shared" ca="1" si="13"/>
        <v/>
      </c>
      <c r="AW67" s="76" t="str">
        <f t="shared" ca="1" si="14"/>
        <v/>
      </c>
      <c r="AX67" s="76"/>
      <c r="AY67" s="76">
        <f t="shared" si="15"/>
        <v>14</v>
      </c>
      <c r="AZ67" s="76" t="str">
        <f t="shared" ca="1" si="16"/>
        <v/>
      </c>
      <c r="BA67" s="76" t="str">
        <f t="shared" ca="1" si="17"/>
        <v/>
      </c>
      <c r="BB67" s="76" t="str">
        <f ca="1">IF(AZ67="","",COUNTIF(BA$53:BA66,BA67))</f>
        <v/>
      </c>
      <c r="BC67" s="76" t="str">
        <f t="shared" ca="1" si="18"/>
        <v/>
      </c>
      <c r="BD67" s="76" t="str">
        <f ca="1">IF(AZ67="","",IF(BC67=0,0,MATCH(BA67,BA$54:BA67,0)))</f>
        <v/>
      </c>
      <c r="BE67" s="76" t="str">
        <f t="shared" ca="1" si="19"/>
        <v/>
      </c>
      <c r="BF67" s="76" t="str">
        <f t="shared" ca="1" si="20"/>
        <v/>
      </c>
      <c r="BG67" s="76" t="str">
        <f ca="1">IF(AZ67="","",COUNTIF(BF$54:BF67,BF67))</f>
        <v/>
      </c>
      <c r="BH67" s="76" t="str">
        <f t="shared" ca="1" si="21"/>
        <v/>
      </c>
      <c r="BI67" s="108" t="str">
        <f t="shared" ca="1" si="50"/>
        <v/>
      </c>
      <c r="BJ67" s="76">
        <f t="shared" si="47"/>
        <v>14</v>
      </c>
      <c r="BK67" s="76" t="str">
        <f t="shared" ca="1" si="23"/>
        <v/>
      </c>
      <c r="BL67" s="76" t="str">
        <f t="shared" ca="1" si="24"/>
        <v/>
      </c>
      <c r="BM67" s="76" t="str">
        <f ca="1">IF(BK67="","",COUNTIF(BL$53:BL66,BL67))</f>
        <v/>
      </c>
      <c r="BN67" s="76" t="str">
        <f t="shared" ca="1" si="25"/>
        <v/>
      </c>
      <c r="BO67" s="76" t="str">
        <f ca="1">IF(BK67="","",IF(BN67=0,0,MATCH(BL67,BL$54:BL67,0)))</f>
        <v/>
      </c>
      <c r="BP67" s="76" t="str">
        <f t="shared" ca="1" si="26"/>
        <v/>
      </c>
      <c r="BQ67" s="76" t="str">
        <f t="shared" ca="1" si="27"/>
        <v/>
      </c>
      <c r="BR67" s="76" t="str">
        <f ca="1">IF(BK67="","",COUNTIF(BQ$54:BQ67,BQ67))</f>
        <v/>
      </c>
      <c r="BS67" s="76" t="str">
        <f t="shared" ca="1" si="28"/>
        <v/>
      </c>
      <c r="BT67" s="108" t="str">
        <f t="shared" ca="1" si="29"/>
        <v/>
      </c>
      <c r="BU67" s="76">
        <f t="shared" si="48"/>
        <v>14</v>
      </c>
      <c r="BV67" s="76" t="str">
        <f t="shared" ca="1" si="30"/>
        <v/>
      </c>
      <c r="BW67" s="76" t="str">
        <f t="shared" ca="1" si="31"/>
        <v/>
      </c>
      <c r="BX67" s="76" t="str">
        <f ca="1">IF(BV67="","",COUNTIF(BW$53:BW66,BW67))</f>
        <v/>
      </c>
      <c r="BY67" s="76" t="str">
        <f t="shared" ca="1" si="32"/>
        <v/>
      </c>
      <c r="BZ67" s="76" t="str">
        <f ca="1">IF(BV67="","",IF(BY67=0,0,MATCH(BW67,BW$54:BW67,0)))</f>
        <v/>
      </c>
      <c r="CA67" s="76" t="str">
        <f t="shared" ca="1" si="33"/>
        <v/>
      </c>
      <c r="CB67" s="76" t="str">
        <f t="shared" ca="1" si="34"/>
        <v/>
      </c>
      <c r="CC67" s="76" t="str">
        <f ca="1">IF(BV67="","",COUNTIF(CB$54:CB67,CB67))</f>
        <v/>
      </c>
      <c r="CD67" s="76" t="str">
        <f t="shared" ca="1" si="35"/>
        <v/>
      </c>
      <c r="CE67" s="108" t="str">
        <f t="shared" ca="1" si="36"/>
        <v/>
      </c>
      <c r="CG67" s="109">
        <v>14</v>
      </c>
      <c r="CK67" s="111">
        <v>10</v>
      </c>
      <c r="CL67" s="111">
        <f t="shared" si="49"/>
        <v>1</v>
      </c>
      <c r="CM67" s="111">
        <f t="shared" ca="1" si="39"/>
        <v>5</v>
      </c>
      <c r="CN67" s="112">
        <v>20</v>
      </c>
      <c r="CO67" s="112">
        <f t="shared" si="40"/>
        <v>0</v>
      </c>
      <c r="CP67" s="112">
        <f t="shared" ca="1" si="41"/>
        <v>10</v>
      </c>
    </row>
    <row r="68" spans="14:94">
      <c r="N68" s="35">
        <f t="shared" si="42"/>
        <v>1</v>
      </c>
      <c r="O68" s="35">
        <f t="shared" si="7"/>
        <v>5</v>
      </c>
      <c r="P68" s="35">
        <f t="shared" si="43"/>
        <v>3</v>
      </c>
      <c r="Q68" s="35">
        <f t="shared" si="8"/>
        <v>3</v>
      </c>
      <c r="R68" s="35">
        <f t="shared" si="44"/>
        <v>3</v>
      </c>
      <c r="AJ68" s="76">
        <v>15</v>
      </c>
      <c r="AK68" s="76" t="str">
        <f t="shared" ca="1" si="45"/>
        <v/>
      </c>
      <c r="AL68" s="76" t="str">
        <f t="shared" ca="1" si="46"/>
        <v/>
      </c>
      <c r="AM68" s="76"/>
      <c r="AN68" s="76"/>
      <c r="AO68" s="76" t="str">
        <f t="shared" ca="1" si="9"/>
        <v/>
      </c>
      <c r="AP68" s="76" t="str">
        <f t="shared" ca="1" si="10"/>
        <v/>
      </c>
      <c r="AQ68" s="76" t="str">
        <f t="shared" ca="1" si="11"/>
        <v/>
      </c>
      <c r="AR68" s="76">
        <f ca="1">COUNTIF($AQ$54:$AQ68,AR$53)</f>
        <v>0</v>
      </c>
      <c r="AS68" s="76">
        <f ca="1">COUNTIF($AQ$54:$AQ68,AS$53)</f>
        <v>0</v>
      </c>
      <c r="AT68" s="76">
        <f ca="1">COUNTIF($AQ$54:$AQ68,AT$53)</f>
        <v>0</v>
      </c>
      <c r="AU68" s="76" t="str">
        <f t="shared" ca="1" si="12"/>
        <v/>
      </c>
      <c r="AV68" s="76" t="str">
        <f t="shared" ca="1" si="13"/>
        <v/>
      </c>
      <c r="AW68" s="76" t="str">
        <f t="shared" ca="1" si="14"/>
        <v/>
      </c>
      <c r="AX68" s="76"/>
      <c r="AY68" s="76">
        <f t="shared" si="15"/>
        <v>15</v>
      </c>
      <c r="AZ68" s="76" t="str">
        <f t="shared" ca="1" si="16"/>
        <v/>
      </c>
      <c r="BA68" s="76" t="str">
        <f t="shared" ca="1" si="17"/>
        <v/>
      </c>
      <c r="BB68" s="76" t="str">
        <f ca="1">IF(AZ68="","",COUNTIF(BA$53:BA67,BA68))</f>
        <v/>
      </c>
      <c r="BC68" s="76" t="str">
        <f t="shared" ca="1" si="18"/>
        <v/>
      </c>
      <c r="BD68" s="76" t="str">
        <f ca="1">IF(AZ68="","",IF(BC68=0,0,MATCH(BA68,BA$54:BA68,0)))</f>
        <v/>
      </c>
      <c r="BE68" s="76" t="str">
        <f t="shared" ca="1" si="19"/>
        <v/>
      </c>
      <c r="BF68" s="76" t="str">
        <f t="shared" ca="1" si="20"/>
        <v/>
      </c>
      <c r="BG68" s="76" t="str">
        <f ca="1">IF(AZ68="","",COUNTIF(BF$54:BF68,BF68))</f>
        <v/>
      </c>
      <c r="BH68" s="76" t="str">
        <f t="shared" ca="1" si="21"/>
        <v/>
      </c>
      <c r="BI68" s="108" t="str">
        <f t="shared" ca="1" si="50"/>
        <v/>
      </c>
      <c r="BJ68" s="76">
        <f t="shared" si="47"/>
        <v>15</v>
      </c>
      <c r="BK68" s="76" t="str">
        <f t="shared" ca="1" si="23"/>
        <v/>
      </c>
      <c r="BL68" s="76" t="str">
        <f t="shared" ca="1" si="24"/>
        <v/>
      </c>
      <c r="BM68" s="76" t="str">
        <f ca="1">IF(BK68="","",COUNTIF(BL$53:BL67,BL68))</f>
        <v/>
      </c>
      <c r="BN68" s="76" t="str">
        <f t="shared" ca="1" si="25"/>
        <v/>
      </c>
      <c r="BO68" s="76" t="str">
        <f ca="1">IF(BK68="","",IF(BN68=0,0,MATCH(BL68,BL$54:BL68,0)))</f>
        <v/>
      </c>
      <c r="BP68" s="76" t="str">
        <f t="shared" ca="1" si="26"/>
        <v/>
      </c>
      <c r="BQ68" s="76" t="str">
        <f t="shared" ca="1" si="27"/>
        <v/>
      </c>
      <c r="BR68" s="76" t="str">
        <f ca="1">IF(BK68="","",COUNTIF(BQ$54:BQ68,BQ68))</f>
        <v/>
      </c>
      <c r="BS68" s="76" t="str">
        <f t="shared" ca="1" si="28"/>
        <v/>
      </c>
      <c r="BT68" s="108" t="str">
        <f t="shared" ca="1" si="29"/>
        <v/>
      </c>
      <c r="BU68" s="76">
        <f t="shared" si="48"/>
        <v>15</v>
      </c>
      <c r="BV68" s="76" t="str">
        <f t="shared" ca="1" si="30"/>
        <v/>
      </c>
      <c r="BW68" s="76" t="str">
        <f t="shared" ca="1" si="31"/>
        <v/>
      </c>
      <c r="BX68" s="76" t="str">
        <f ca="1">IF(BV68="","",COUNTIF(BW$53:BW67,BW68))</f>
        <v/>
      </c>
      <c r="BY68" s="76" t="str">
        <f t="shared" ca="1" si="32"/>
        <v/>
      </c>
      <c r="BZ68" s="76" t="str">
        <f ca="1">IF(BV68="","",IF(BY68=0,0,MATCH(BW68,BW$54:BW68,0)))</f>
        <v/>
      </c>
      <c r="CA68" s="76" t="str">
        <f t="shared" ca="1" si="33"/>
        <v/>
      </c>
      <c r="CB68" s="76" t="str">
        <f t="shared" ca="1" si="34"/>
        <v/>
      </c>
      <c r="CC68" s="76" t="str">
        <f ca="1">IF(BV68="","",COUNTIF(CB$54:CB68,CB68))</f>
        <v/>
      </c>
      <c r="CD68" s="76" t="str">
        <f t="shared" ca="1" si="35"/>
        <v/>
      </c>
      <c r="CE68" s="108" t="str">
        <f t="shared" ca="1" si="36"/>
        <v/>
      </c>
      <c r="CG68" s="109">
        <v>15</v>
      </c>
      <c r="CK68" s="111">
        <v>15</v>
      </c>
      <c r="CL68" s="111">
        <f t="shared" si="49"/>
        <v>1</v>
      </c>
      <c r="CM68" s="111">
        <f t="shared" ca="1" si="39"/>
        <v>8</v>
      </c>
      <c r="CN68" s="112">
        <v>29</v>
      </c>
      <c r="CO68" s="112">
        <f t="shared" si="40"/>
        <v>0</v>
      </c>
      <c r="CP68" s="112">
        <f t="shared" ca="1" si="41"/>
        <v>15</v>
      </c>
    </row>
    <row r="69" spans="14:94">
      <c r="N69" s="35">
        <f t="shared" si="42"/>
        <v>0</v>
      </c>
      <c r="O69" s="35">
        <f t="shared" si="7"/>
        <v>6</v>
      </c>
      <c r="P69" s="35">
        <f t="shared" si="43"/>
        <v>3</v>
      </c>
      <c r="Q69" s="35">
        <f t="shared" si="8"/>
        <v>1</v>
      </c>
      <c r="R69" s="35">
        <f t="shared" si="44"/>
        <v>3</v>
      </c>
      <c r="AJ69" s="76">
        <v>16</v>
      </c>
      <c r="AK69" s="76" t="str">
        <f t="shared" ca="1" si="45"/>
        <v/>
      </c>
      <c r="AL69" s="76" t="str">
        <f t="shared" ca="1" si="46"/>
        <v/>
      </c>
      <c r="AM69" s="76"/>
      <c r="AN69" s="76"/>
      <c r="AO69" s="76" t="str">
        <f t="shared" ca="1" si="9"/>
        <v/>
      </c>
      <c r="AP69" s="76" t="str">
        <f t="shared" ca="1" si="10"/>
        <v/>
      </c>
      <c r="AQ69" s="76" t="str">
        <f t="shared" ca="1" si="11"/>
        <v/>
      </c>
      <c r="AR69" s="76">
        <f ca="1">COUNTIF($AQ$54:$AQ69,AR$53)</f>
        <v>0</v>
      </c>
      <c r="AS69" s="76">
        <f ca="1">COUNTIF($AQ$54:$AQ69,AS$53)</f>
        <v>0</v>
      </c>
      <c r="AT69" s="76">
        <f ca="1">COUNTIF($AQ$54:$AQ69,AT$53)</f>
        <v>0</v>
      </c>
      <c r="AU69" s="76" t="str">
        <f t="shared" ca="1" si="12"/>
        <v/>
      </c>
      <c r="AV69" s="76" t="str">
        <f t="shared" ca="1" si="13"/>
        <v/>
      </c>
      <c r="AW69" s="76" t="str">
        <f t="shared" ca="1" si="14"/>
        <v/>
      </c>
      <c r="AX69" s="76"/>
      <c r="AY69" s="76">
        <f t="shared" si="15"/>
        <v>16</v>
      </c>
      <c r="AZ69" s="76" t="str">
        <f t="shared" ca="1" si="16"/>
        <v/>
      </c>
      <c r="BA69" s="76" t="str">
        <f t="shared" ca="1" si="17"/>
        <v/>
      </c>
      <c r="BB69" s="76" t="str">
        <f ca="1">IF(AZ69="","",COUNTIF(BA$53:BA68,BA69))</f>
        <v/>
      </c>
      <c r="BC69" s="76" t="str">
        <f t="shared" ca="1" si="18"/>
        <v/>
      </c>
      <c r="BD69" s="76" t="str">
        <f ca="1">IF(AZ69="","",IF(BC69=0,0,MATCH(BA69,BA$54:BA69,0)))</f>
        <v/>
      </c>
      <c r="BE69" s="76" t="str">
        <f t="shared" ca="1" si="19"/>
        <v/>
      </c>
      <c r="BF69" s="76" t="str">
        <f t="shared" ca="1" si="20"/>
        <v/>
      </c>
      <c r="BG69" s="76" t="str">
        <f ca="1">IF(AZ69="","",COUNTIF(BF$54:BF69,BF69))</f>
        <v/>
      </c>
      <c r="BH69" s="76" t="str">
        <f t="shared" ca="1" si="21"/>
        <v/>
      </c>
      <c r="BI69" s="108" t="str">
        <f t="shared" ca="1" si="50"/>
        <v/>
      </c>
      <c r="BJ69" s="76">
        <f t="shared" si="47"/>
        <v>16</v>
      </c>
      <c r="BK69" s="76" t="str">
        <f t="shared" ca="1" si="23"/>
        <v/>
      </c>
      <c r="BL69" s="76" t="str">
        <f t="shared" ca="1" si="24"/>
        <v/>
      </c>
      <c r="BM69" s="76" t="str">
        <f ca="1">IF(BK69="","",COUNTIF(BL$53:BL68,BL69))</f>
        <v/>
      </c>
      <c r="BN69" s="76" t="str">
        <f t="shared" ca="1" si="25"/>
        <v/>
      </c>
      <c r="BO69" s="76" t="str">
        <f ca="1">IF(BK69="","",IF(BN69=0,0,MATCH(BL69,BL$54:BL69,0)))</f>
        <v/>
      </c>
      <c r="BP69" s="76" t="str">
        <f t="shared" ca="1" si="26"/>
        <v/>
      </c>
      <c r="BQ69" s="76" t="str">
        <f t="shared" ca="1" si="27"/>
        <v/>
      </c>
      <c r="BR69" s="76" t="str">
        <f ca="1">IF(BK69="","",COUNTIF(BQ$54:BQ69,BQ69))</f>
        <v/>
      </c>
      <c r="BS69" s="76" t="str">
        <f t="shared" ca="1" si="28"/>
        <v/>
      </c>
      <c r="BT69" s="108" t="str">
        <f t="shared" ca="1" si="29"/>
        <v/>
      </c>
      <c r="BU69" s="76">
        <f t="shared" si="48"/>
        <v>16</v>
      </c>
      <c r="BV69" s="76" t="str">
        <f t="shared" ca="1" si="30"/>
        <v/>
      </c>
      <c r="BW69" s="76" t="str">
        <f t="shared" ca="1" si="31"/>
        <v/>
      </c>
      <c r="BX69" s="76" t="str">
        <f ca="1">IF(BV69="","",COUNTIF(BW$53:BW68,BW69))</f>
        <v/>
      </c>
      <c r="BY69" s="76" t="str">
        <f t="shared" ca="1" si="32"/>
        <v/>
      </c>
      <c r="BZ69" s="76" t="str">
        <f ca="1">IF(BV69="","",IF(BY69=0,0,MATCH(BW69,BW$54:BW69,0)))</f>
        <v/>
      </c>
      <c r="CA69" s="76" t="str">
        <f t="shared" ca="1" si="33"/>
        <v/>
      </c>
      <c r="CB69" s="76" t="str">
        <f t="shared" ca="1" si="34"/>
        <v/>
      </c>
      <c r="CC69" s="76" t="str">
        <f ca="1">IF(BV69="","",COUNTIF(CB$54:CB69,CB69))</f>
        <v/>
      </c>
      <c r="CD69" s="76" t="str">
        <f t="shared" ca="1" si="35"/>
        <v/>
      </c>
      <c r="CE69" s="108" t="str">
        <f t="shared" ca="1" si="36"/>
        <v/>
      </c>
      <c r="CG69" s="109">
        <v>16</v>
      </c>
      <c r="CK69" s="111">
        <v>2</v>
      </c>
      <c r="CL69" s="111">
        <f t="shared" si="49"/>
        <v>1</v>
      </c>
      <c r="CM69" s="111">
        <f t="shared" ca="1" si="39"/>
        <v>1</v>
      </c>
      <c r="CN69" s="112">
        <v>4</v>
      </c>
      <c r="CO69" s="112">
        <f t="shared" si="40"/>
        <v>0</v>
      </c>
      <c r="CP69" s="112">
        <f t="shared" ca="1" si="41"/>
        <v>2</v>
      </c>
    </row>
    <row r="70" spans="14:94">
      <c r="N70" s="35">
        <f t="shared" si="42"/>
        <v>0</v>
      </c>
      <c r="O70" s="35">
        <f t="shared" si="7"/>
        <v>6</v>
      </c>
      <c r="P70" s="35">
        <f t="shared" si="43"/>
        <v>2</v>
      </c>
      <c r="Q70" s="35">
        <f t="shared" si="8"/>
        <v>2</v>
      </c>
      <c r="R70" s="35">
        <f t="shared" si="44"/>
        <v>2</v>
      </c>
      <c r="AJ70" s="76">
        <v>17</v>
      </c>
      <c r="AK70" s="76" t="str">
        <f t="shared" ca="1" si="45"/>
        <v/>
      </c>
      <c r="AL70" s="76" t="str">
        <f t="shared" ca="1" si="46"/>
        <v/>
      </c>
      <c r="AM70" s="76"/>
      <c r="AN70" s="76"/>
      <c r="AO70" s="76" t="str">
        <f t="shared" ca="1" si="9"/>
        <v/>
      </c>
      <c r="AP70" s="76" t="str">
        <f t="shared" ca="1" si="10"/>
        <v/>
      </c>
      <c r="AQ70" s="76" t="str">
        <f t="shared" ca="1" si="11"/>
        <v/>
      </c>
      <c r="AR70" s="76">
        <f ca="1">COUNTIF($AQ$54:$AQ70,AR$53)</f>
        <v>0</v>
      </c>
      <c r="AS70" s="76">
        <f ca="1">COUNTIF($AQ$54:$AQ70,AS$53)</f>
        <v>0</v>
      </c>
      <c r="AT70" s="76">
        <f ca="1">COUNTIF($AQ$54:$AQ70,AT$53)</f>
        <v>0</v>
      </c>
      <c r="AU70" s="76" t="str">
        <f t="shared" ca="1" si="12"/>
        <v/>
      </c>
      <c r="AV70" s="76" t="str">
        <f t="shared" ca="1" si="13"/>
        <v/>
      </c>
      <c r="AW70" s="76" t="str">
        <f t="shared" ca="1" si="14"/>
        <v/>
      </c>
      <c r="AX70" s="76"/>
      <c r="AY70" s="76">
        <f t="shared" si="15"/>
        <v>17</v>
      </c>
      <c r="AZ70" s="76" t="str">
        <f t="shared" ca="1" si="16"/>
        <v/>
      </c>
      <c r="BA70" s="76" t="str">
        <f t="shared" ca="1" si="17"/>
        <v/>
      </c>
      <c r="BB70" s="76" t="str">
        <f ca="1">IF(AZ70="","",COUNTIF(BA$53:BA69,BA70))</f>
        <v/>
      </c>
      <c r="BC70" s="76" t="str">
        <f t="shared" ca="1" si="18"/>
        <v/>
      </c>
      <c r="BD70" s="76" t="str">
        <f ca="1">IF(AZ70="","",IF(BC70=0,0,MATCH(BA70,BA$54:BA70,0)))</f>
        <v/>
      </c>
      <c r="BE70" s="76" t="str">
        <f t="shared" ca="1" si="19"/>
        <v/>
      </c>
      <c r="BF70" s="76" t="str">
        <f t="shared" ca="1" si="20"/>
        <v/>
      </c>
      <c r="BG70" s="76" t="str">
        <f ca="1">IF(AZ70="","",COUNTIF(BF$54:BF70,BF70))</f>
        <v/>
      </c>
      <c r="BH70" s="76" t="str">
        <f t="shared" ca="1" si="21"/>
        <v/>
      </c>
      <c r="BI70" s="108" t="str">
        <f t="shared" ca="1" si="50"/>
        <v/>
      </c>
      <c r="BJ70" s="76">
        <f t="shared" si="47"/>
        <v>17</v>
      </c>
      <c r="BK70" s="76" t="str">
        <f t="shared" ca="1" si="23"/>
        <v/>
      </c>
      <c r="BL70" s="76" t="str">
        <f t="shared" ca="1" si="24"/>
        <v/>
      </c>
      <c r="BM70" s="76" t="str">
        <f ca="1">IF(BK70="","",COUNTIF(BL$53:BL69,BL70))</f>
        <v/>
      </c>
      <c r="BN70" s="76" t="str">
        <f t="shared" ca="1" si="25"/>
        <v/>
      </c>
      <c r="BO70" s="76" t="str">
        <f ca="1">IF(BK70="","",IF(BN70=0,0,MATCH(BL70,BL$54:BL70,0)))</f>
        <v/>
      </c>
      <c r="BP70" s="76" t="str">
        <f t="shared" ca="1" si="26"/>
        <v/>
      </c>
      <c r="BQ70" s="76" t="str">
        <f t="shared" ca="1" si="27"/>
        <v/>
      </c>
      <c r="BR70" s="76" t="str">
        <f ca="1">IF(BK70="","",COUNTIF(BQ$54:BQ70,BQ70))</f>
        <v/>
      </c>
      <c r="BS70" s="76" t="str">
        <f t="shared" ca="1" si="28"/>
        <v/>
      </c>
      <c r="BT70" s="108" t="str">
        <f t="shared" ca="1" si="29"/>
        <v/>
      </c>
      <c r="BU70" s="76">
        <f t="shared" si="48"/>
        <v>17</v>
      </c>
      <c r="BV70" s="76" t="str">
        <f t="shared" ca="1" si="30"/>
        <v/>
      </c>
      <c r="BW70" s="76" t="str">
        <f t="shared" ca="1" si="31"/>
        <v/>
      </c>
      <c r="BX70" s="76" t="str">
        <f ca="1">IF(BV70="","",COUNTIF(BW$53:BW69,BW70))</f>
        <v/>
      </c>
      <c r="BY70" s="76" t="str">
        <f t="shared" ca="1" si="32"/>
        <v/>
      </c>
      <c r="BZ70" s="76" t="str">
        <f ca="1">IF(BV70="","",IF(BY70=0,0,MATCH(BW70,BW$54:BW70,0)))</f>
        <v/>
      </c>
      <c r="CA70" s="76" t="str">
        <f t="shared" ca="1" si="33"/>
        <v/>
      </c>
      <c r="CB70" s="76" t="str">
        <f t="shared" ca="1" si="34"/>
        <v/>
      </c>
      <c r="CC70" s="76" t="str">
        <f ca="1">IF(BV70="","",COUNTIF(CB$54:CB70,CB70))</f>
        <v/>
      </c>
      <c r="CD70" s="76" t="str">
        <f t="shared" ca="1" si="35"/>
        <v/>
      </c>
      <c r="CE70" s="108" t="str">
        <f t="shared" ca="1" si="36"/>
        <v/>
      </c>
      <c r="CG70" s="109">
        <v>17</v>
      </c>
      <c r="CN70" s="112">
        <v>3</v>
      </c>
      <c r="CO70" s="112">
        <f t="shared" si="40"/>
        <v>1</v>
      </c>
      <c r="CP70" s="112">
        <f t="shared" ca="1" si="41"/>
        <v>2</v>
      </c>
    </row>
    <row r="71" spans="14:94">
      <c r="N71" s="35">
        <f t="shared" si="42"/>
        <v>0</v>
      </c>
      <c r="O71" s="35">
        <f t="shared" si="7"/>
        <v>6</v>
      </c>
      <c r="P71" s="35">
        <f t="shared" si="43"/>
        <v>1</v>
      </c>
      <c r="Q71" s="35">
        <f t="shared" si="8"/>
        <v>3</v>
      </c>
      <c r="R71" s="35">
        <f t="shared" si="44"/>
        <v>1</v>
      </c>
      <c r="AJ71" s="76">
        <v>18</v>
      </c>
      <c r="AK71" s="76" t="str">
        <f t="shared" ca="1" si="45"/>
        <v/>
      </c>
      <c r="AL71" s="76" t="str">
        <f t="shared" ca="1" si="46"/>
        <v/>
      </c>
      <c r="AM71" s="76"/>
      <c r="AN71" s="76"/>
      <c r="AO71" s="76" t="str">
        <f t="shared" ca="1" si="9"/>
        <v/>
      </c>
      <c r="AP71" s="76" t="str">
        <f t="shared" ca="1" si="10"/>
        <v/>
      </c>
      <c r="AQ71" s="76" t="str">
        <f t="shared" ca="1" si="11"/>
        <v/>
      </c>
      <c r="AR71" s="76">
        <f ca="1">COUNTIF($AQ$54:$AQ71,AR$53)</f>
        <v>0</v>
      </c>
      <c r="AS71" s="76">
        <f ca="1">COUNTIF($AQ$54:$AQ71,AS$53)</f>
        <v>0</v>
      </c>
      <c r="AT71" s="76">
        <f ca="1">COUNTIF($AQ$54:$AQ71,AT$53)</f>
        <v>0</v>
      </c>
      <c r="AU71" s="76" t="str">
        <f t="shared" ca="1" si="12"/>
        <v/>
      </c>
      <c r="AV71" s="76" t="str">
        <f t="shared" ca="1" si="13"/>
        <v/>
      </c>
      <c r="AW71" s="76" t="str">
        <f t="shared" ca="1" si="14"/>
        <v/>
      </c>
      <c r="AX71" s="76"/>
      <c r="AY71" s="76">
        <f t="shared" si="15"/>
        <v>18</v>
      </c>
      <c r="AZ71" s="76" t="str">
        <f t="shared" ca="1" si="16"/>
        <v/>
      </c>
      <c r="BA71" s="76" t="str">
        <f t="shared" ca="1" si="17"/>
        <v/>
      </c>
      <c r="BB71" s="76" t="str">
        <f ca="1">IF(AZ71="","",COUNTIF(BA$53:BA70,BA71))</f>
        <v/>
      </c>
      <c r="BC71" s="76" t="str">
        <f t="shared" ca="1" si="18"/>
        <v/>
      </c>
      <c r="BD71" s="76" t="str">
        <f ca="1">IF(AZ71="","",IF(BC71=0,0,MATCH(BA71,BA$54:BA71,0)))</f>
        <v/>
      </c>
      <c r="BE71" s="76" t="str">
        <f t="shared" ca="1" si="19"/>
        <v/>
      </c>
      <c r="BF71" s="76" t="str">
        <f t="shared" ca="1" si="20"/>
        <v/>
      </c>
      <c r="BG71" s="76" t="str">
        <f ca="1">IF(AZ71="","",COUNTIF(BF$54:BF71,BF71))</f>
        <v/>
      </c>
      <c r="BH71" s="76" t="str">
        <f t="shared" ca="1" si="21"/>
        <v/>
      </c>
      <c r="BI71" s="108" t="str">
        <f t="shared" ca="1" si="50"/>
        <v/>
      </c>
      <c r="BJ71" s="76">
        <f t="shared" si="47"/>
        <v>18</v>
      </c>
      <c r="BK71" s="76" t="str">
        <f t="shared" ca="1" si="23"/>
        <v/>
      </c>
      <c r="BL71" s="76" t="str">
        <f t="shared" ca="1" si="24"/>
        <v/>
      </c>
      <c r="BM71" s="76" t="str">
        <f ca="1">IF(BK71="","",COUNTIF(BL$53:BL70,BL71))</f>
        <v/>
      </c>
      <c r="BN71" s="76" t="str">
        <f t="shared" ca="1" si="25"/>
        <v/>
      </c>
      <c r="BO71" s="76" t="str">
        <f ca="1">IF(BK71="","",IF(BN71=0,0,MATCH(BL71,BL$54:BL71,0)))</f>
        <v/>
      </c>
      <c r="BP71" s="76" t="str">
        <f t="shared" ca="1" si="26"/>
        <v/>
      </c>
      <c r="BQ71" s="76" t="str">
        <f t="shared" ca="1" si="27"/>
        <v/>
      </c>
      <c r="BR71" s="76" t="str">
        <f ca="1">IF(BK71="","",COUNTIF(BQ$54:BQ71,BQ71))</f>
        <v/>
      </c>
      <c r="BS71" s="76" t="str">
        <f t="shared" ca="1" si="28"/>
        <v/>
      </c>
      <c r="BT71" s="108" t="str">
        <f t="shared" ca="1" si="29"/>
        <v/>
      </c>
      <c r="BU71" s="76">
        <f t="shared" si="48"/>
        <v>18</v>
      </c>
      <c r="BV71" s="76" t="str">
        <f t="shared" ca="1" si="30"/>
        <v/>
      </c>
      <c r="BW71" s="76" t="str">
        <f t="shared" ca="1" si="31"/>
        <v/>
      </c>
      <c r="BX71" s="76" t="str">
        <f ca="1">IF(BV71="","",COUNTIF(BW$53:BW70,BW71))</f>
        <v/>
      </c>
      <c r="BY71" s="76" t="str">
        <f t="shared" ca="1" si="32"/>
        <v/>
      </c>
      <c r="BZ71" s="76" t="str">
        <f ca="1">IF(BV71="","",IF(BY71=0,0,MATCH(BW71,BW$54:BW71,0)))</f>
        <v/>
      </c>
      <c r="CA71" s="76" t="str">
        <f t="shared" ca="1" si="33"/>
        <v/>
      </c>
      <c r="CB71" s="76" t="str">
        <f t="shared" ca="1" si="34"/>
        <v/>
      </c>
      <c r="CC71" s="76" t="str">
        <f ca="1">IF(BV71="","",COUNTIF(CB$54:CB71,CB71))</f>
        <v/>
      </c>
      <c r="CD71" s="76" t="str">
        <f t="shared" ca="1" si="35"/>
        <v/>
      </c>
      <c r="CE71" s="108" t="str">
        <f t="shared" ca="1" si="36"/>
        <v/>
      </c>
      <c r="CG71" s="109">
        <v>18</v>
      </c>
      <c r="CN71" s="112">
        <v>30</v>
      </c>
      <c r="CO71" s="112">
        <f t="shared" si="40"/>
        <v>1</v>
      </c>
      <c r="CP71" s="112">
        <f t="shared" ca="1" si="41"/>
        <v>15</v>
      </c>
    </row>
    <row r="72" spans="14:94">
      <c r="N72" s="35">
        <f t="shared" si="42"/>
        <v>1</v>
      </c>
      <c r="O72" s="35">
        <f t="shared" si="7"/>
        <v>7</v>
      </c>
      <c r="P72" s="35">
        <f t="shared" si="43"/>
        <v>1</v>
      </c>
      <c r="Q72" s="35">
        <f t="shared" si="8"/>
        <v>1</v>
      </c>
      <c r="R72" s="35">
        <f t="shared" si="44"/>
        <v>1</v>
      </c>
      <c r="AJ72" s="76">
        <v>19</v>
      </c>
      <c r="AK72" s="76" t="str">
        <f t="shared" ca="1" si="45"/>
        <v/>
      </c>
      <c r="AL72" s="76" t="str">
        <f t="shared" ca="1" si="46"/>
        <v/>
      </c>
      <c r="AM72" s="76"/>
      <c r="AN72" s="76"/>
      <c r="AO72" s="76" t="str">
        <f t="shared" ca="1" si="9"/>
        <v/>
      </c>
      <c r="AP72" s="76" t="str">
        <f t="shared" ca="1" si="10"/>
        <v/>
      </c>
      <c r="AQ72" s="76" t="str">
        <f t="shared" ca="1" si="11"/>
        <v/>
      </c>
      <c r="AR72" s="76">
        <f ca="1">COUNTIF($AQ$54:$AQ72,AR$53)</f>
        <v>0</v>
      </c>
      <c r="AS72" s="76">
        <f ca="1">COUNTIF($AQ$54:$AQ72,AS$53)</f>
        <v>0</v>
      </c>
      <c r="AT72" s="76">
        <f ca="1">COUNTIF($AQ$54:$AQ72,AT$53)</f>
        <v>0</v>
      </c>
      <c r="AU72" s="76" t="str">
        <f t="shared" ca="1" si="12"/>
        <v/>
      </c>
      <c r="AV72" s="76" t="str">
        <f t="shared" ca="1" si="13"/>
        <v/>
      </c>
      <c r="AW72" s="76" t="str">
        <f t="shared" ca="1" si="14"/>
        <v/>
      </c>
      <c r="AX72" s="76"/>
      <c r="AY72" s="76">
        <f t="shared" si="15"/>
        <v>19</v>
      </c>
      <c r="AZ72" s="76" t="str">
        <f t="shared" ca="1" si="16"/>
        <v/>
      </c>
      <c r="BA72" s="76" t="str">
        <f t="shared" ca="1" si="17"/>
        <v/>
      </c>
      <c r="BB72" s="76" t="str">
        <f ca="1">IF(AZ72="","",COUNTIF(BA$53:BA71,BA72))</f>
        <v/>
      </c>
      <c r="BC72" s="76" t="str">
        <f t="shared" ca="1" si="18"/>
        <v/>
      </c>
      <c r="BD72" s="76" t="str">
        <f ca="1">IF(AZ72="","",IF(BC72=0,0,MATCH(BA72,BA$54:BA72,0)))</f>
        <v/>
      </c>
      <c r="BE72" s="76" t="str">
        <f t="shared" ca="1" si="19"/>
        <v/>
      </c>
      <c r="BF72" s="76" t="str">
        <f t="shared" ca="1" si="20"/>
        <v/>
      </c>
      <c r="BG72" s="76" t="str">
        <f ca="1">IF(AZ72="","",COUNTIF(BF$54:BF72,BF72))</f>
        <v/>
      </c>
      <c r="BH72" s="76" t="str">
        <f t="shared" ca="1" si="21"/>
        <v/>
      </c>
      <c r="BI72" s="108" t="str">
        <f t="shared" ca="1" si="50"/>
        <v/>
      </c>
      <c r="BJ72" s="76">
        <f t="shared" si="47"/>
        <v>19</v>
      </c>
      <c r="BK72" s="76" t="str">
        <f t="shared" ca="1" si="23"/>
        <v/>
      </c>
      <c r="BL72" s="76" t="str">
        <f t="shared" ca="1" si="24"/>
        <v/>
      </c>
      <c r="BM72" s="76" t="str">
        <f ca="1">IF(BK72="","",COUNTIF(BL$53:BL71,BL72))</f>
        <v/>
      </c>
      <c r="BN72" s="76" t="str">
        <f t="shared" ca="1" si="25"/>
        <v/>
      </c>
      <c r="BO72" s="76" t="str">
        <f ca="1">IF(BK72="","",IF(BN72=0,0,MATCH(BL72,BL$54:BL72,0)))</f>
        <v/>
      </c>
      <c r="BP72" s="76" t="str">
        <f t="shared" ca="1" si="26"/>
        <v/>
      </c>
      <c r="BQ72" s="76" t="str">
        <f t="shared" ca="1" si="27"/>
        <v/>
      </c>
      <c r="BR72" s="76" t="str">
        <f ca="1">IF(BK72="","",COUNTIF(BQ$54:BQ72,BQ72))</f>
        <v/>
      </c>
      <c r="BS72" s="76" t="str">
        <f t="shared" ca="1" si="28"/>
        <v/>
      </c>
      <c r="BT72" s="108" t="str">
        <f t="shared" ca="1" si="29"/>
        <v/>
      </c>
      <c r="BU72" s="76">
        <f t="shared" si="48"/>
        <v>19</v>
      </c>
      <c r="BV72" s="76" t="str">
        <f t="shared" ca="1" si="30"/>
        <v/>
      </c>
      <c r="BW72" s="76" t="str">
        <f t="shared" ca="1" si="31"/>
        <v/>
      </c>
      <c r="BX72" s="76" t="str">
        <f ca="1">IF(BV72="","",COUNTIF(BW$53:BW71,BW72))</f>
        <v/>
      </c>
      <c r="BY72" s="76" t="str">
        <f t="shared" ca="1" si="32"/>
        <v/>
      </c>
      <c r="BZ72" s="76" t="str">
        <f ca="1">IF(BV72="","",IF(BY72=0,0,MATCH(BW72,BW$54:BW72,0)))</f>
        <v/>
      </c>
      <c r="CA72" s="76" t="str">
        <f t="shared" ca="1" si="33"/>
        <v/>
      </c>
      <c r="CB72" s="76" t="str">
        <f t="shared" ca="1" si="34"/>
        <v/>
      </c>
      <c r="CC72" s="76" t="str">
        <f ca="1">IF(BV72="","",COUNTIF(CB$54:CB72,CB72))</f>
        <v/>
      </c>
      <c r="CD72" s="76" t="str">
        <f t="shared" ca="1" si="35"/>
        <v/>
      </c>
      <c r="CE72" s="108" t="str">
        <f t="shared" ca="1" si="36"/>
        <v/>
      </c>
      <c r="CG72" s="109">
        <v>19</v>
      </c>
      <c r="CN72" s="112">
        <v>19</v>
      </c>
      <c r="CO72" s="112">
        <f t="shared" si="40"/>
        <v>1</v>
      </c>
      <c r="CP72" s="112">
        <f t="shared" ca="1" si="41"/>
        <v>10</v>
      </c>
    </row>
    <row r="73" spans="14:94">
      <c r="N73" s="35">
        <f t="shared" si="42"/>
        <v>1</v>
      </c>
      <c r="O73" s="35">
        <f t="shared" si="7"/>
        <v>7</v>
      </c>
      <c r="P73" s="35">
        <f t="shared" si="43"/>
        <v>2</v>
      </c>
      <c r="Q73" s="35">
        <f t="shared" si="8"/>
        <v>2</v>
      </c>
      <c r="R73" s="35">
        <f t="shared" si="44"/>
        <v>2</v>
      </c>
      <c r="AJ73" s="76">
        <v>20</v>
      </c>
      <c r="AK73" s="76" t="str">
        <f t="shared" ca="1" si="45"/>
        <v/>
      </c>
      <c r="AL73" s="76" t="str">
        <f t="shared" ca="1" si="46"/>
        <v/>
      </c>
      <c r="AM73" s="76"/>
      <c r="AN73" s="76"/>
      <c r="AO73" s="76" t="str">
        <f t="shared" ca="1" si="9"/>
        <v/>
      </c>
      <c r="AP73" s="76" t="str">
        <f t="shared" ca="1" si="10"/>
        <v/>
      </c>
      <c r="AQ73" s="76" t="str">
        <f t="shared" ca="1" si="11"/>
        <v/>
      </c>
      <c r="AR73" s="76">
        <f ca="1">COUNTIF($AQ$54:$AQ73,AR$53)</f>
        <v>0</v>
      </c>
      <c r="AS73" s="76">
        <f ca="1">COUNTIF($AQ$54:$AQ73,AS$53)</f>
        <v>0</v>
      </c>
      <c r="AT73" s="76">
        <f ca="1">COUNTIF($AQ$54:$AQ73,AT$53)</f>
        <v>0</v>
      </c>
      <c r="AU73" s="76" t="str">
        <f t="shared" ca="1" si="12"/>
        <v/>
      </c>
      <c r="AV73" s="76" t="str">
        <f t="shared" ca="1" si="13"/>
        <v/>
      </c>
      <c r="AW73" s="76" t="str">
        <f t="shared" ca="1" si="14"/>
        <v/>
      </c>
      <c r="AX73" s="76"/>
      <c r="AY73" s="76">
        <f t="shared" si="15"/>
        <v>20</v>
      </c>
      <c r="AZ73" s="76" t="str">
        <f t="shared" ca="1" si="16"/>
        <v/>
      </c>
      <c r="BA73" s="76" t="str">
        <f t="shared" ca="1" si="17"/>
        <v/>
      </c>
      <c r="BB73" s="76" t="str">
        <f ca="1">IF(AZ73="","",COUNTIF(BA$53:BA72,BA73))</f>
        <v/>
      </c>
      <c r="BC73" s="76" t="str">
        <f t="shared" ca="1" si="18"/>
        <v/>
      </c>
      <c r="BD73" s="76" t="str">
        <f ca="1">IF(AZ73="","",IF(BC73=0,0,MATCH(BA73,BA$54:BA73,0)))</f>
        <v/>
      </c>
      <c r="BE73" s="76" t="str">
        <f t="shared" ca="1" si="19"/>
        <v/>
      </c>
      <c r="BF73" s="76" t="str">
        <f t="shared" ca="1" si="20"/>
        <v/>
      </c>
      <c r="BG73" s="76" t="str">
        <f ca="1">IF(AZ73="","",COUNTIF(BF$54:BF73,BF73))</f>
        <v/>
      </c>
      <c r="BH73" s="76" t="str">
        <f t="shared" ca="1" si="21"/>
        <v/>
      </c>
      <c r="BI73" s="108" t="str">
        <f t="shared" ca="1" si="50"/>
        <v/>
      </c>
      <c r="BJ73" s="76">
        <f t="shared" si="47"/>
        <v>20</v>
      </c>
      <c r="BK73" s="76" t="str">
        <f t="shared" ca="1" si="23"/>
        <v/>
      </c>
      <c r="BL73" s="76" t="str">
        <f t="shared" ca="1" si="24"/>
        <v/>
      </c>
      <c r="BM73" s="76" t="str">
        <f ca="1">IF(BK73="","",COUNTIF(BL$53:BL72,BL73))</f>
        <v/>
      </c>
      <c r="BN73" s="76" t="str">
        <f t="shared" ca="1" si="25"/>
        <v/>
      </c>
      <c r="BO73" s="76" t="str">
        <f ca="1">IF(BK73="","",IF(BN73=0,0,MATCH(BL73,BL$54:BL73,0)))</f>
        <v/>
      </c>
      <c r="BP73" s="76" t="str">
        <f t="shared" ca="1" si="26"/>
        <v/>
      </c>
      <c r="BQ73" s="76" t="str">
        <f t="shared" ca="1" si="27"/>
        <v/>
      </c>
      <c r="BR73" s="76" t="str">
        <f ca="1">IF(BK73="","",COUNTIF(BQ$54:BQ73,BQ73))</f>
        <v/>
      </c>
      <c r="BS73" s="76" t="str">
        <f t="shared" ca="1" si="28"/>
        <v/>
      </c>
      <c r="BT73" s="108" t="str">
        <f t="shared" ca="1" si="29"/>
        <v/>
      </c>
      <c r="BU73" s="76">
        <f t="shared" si="48"/>
        <v>20</v>
      </c>
      <c r="BV73" s="76" t="str">
        <f t="shared" ca="1" si="30"/>
        <v/>
      </c>
      <c r="BW73" s="76" t="str">
        <f t="shared" ca="1" si="31"/>
        <v/>
      </c>
      <c r="BX73" s="76" t="str">
        <f ca="1">IF(BV73="","",COUNTIF(BW$53:BW72,BW73))</f>
        <v/>
      </c>
      <c r="BY73" s="76" t="str">
        <f t="shared" ca="1" si="32"/>
        <v/>
      </c>
      <c r="BZ73" s="76" t="str">
        <f ca="1">IF(BV73="","",IF(BY73=0,0,MATCH(BW73,BW$54:BW73,0)))</f>
        <v/>
      </c>
      <c r="CA73" s="76" t="str">
        <f t="shared" ca="1" si="33"/>
        <v/>
      </c>
      <c r="CB73" s="76" t="str">
        <f t="shared" ca="1" si="34"/>
        <v/>
      </c>
      <c r="CC73" s="76" t="str">
        <f ca="1">IF(BV73="","",COUNTIF(CB$54:CB73,CB73))</f>
        <v/>
      </c>
      <c r="CD73" s="76" t="str">
        <f t="shared" ca="1" si="35"/>
        <v/>
      </c>
      <c r="CE73" s="108" t="str">
        <f t="shared" ca="1" si="36"/>
        <v/>
      </c>
      <c r="CG73" s="109">
        <v>20</v>
      </c>
      <c r="CN73" s="112">
        <v>14</v>
      </c>
      <c r="CO73" s="112">
        <f t="shared" si="40"/>
        <v>1</v>
      </c>
      <c r="CP73" s="112">
        <f t="shared" ca="1" si="41"/>
        <v>7</v>
      </c>
    </row>
    <row r="74" spans="14:94">
      <c r="N74" s="35">
        <f t="shared" si="42"/>
        <v>1</v>
      </c>
      <c r="O74" s="35">
        <f t="shared" si="7"/>
        <v>7</v>
      </c>
      <c r="P74" s="35">
        <f t="shared" si="43"/>
        <v>3</v>
      </c>
      <c r="Q74" s="35">
        <f t="shared" si="8"/>
        <v>3</v>
      </c>
      <c r="R74" s="35">
        <f t="shared" si="44"/>
        <v>3</v>
      </c>
      <c r="AJ74" s="76">
        <v>21</v>
      </c>
      <c r="AK74" s="76" t="str">
        <f t="shared" ca="1" si="45"/>
        <v/>
      </c>
      <c r="AL74" s="76" t="str">
        <f t="shared" ca="1" si="46"/>
        <v/>
      </c>
      <c r="AM74" s="76"/>
      <c r="AN74" s="76"/>
      <c r="AO74" s="76" t="str">
        <f t="shared" ca="1" si="9"/>
        <v/>
      </c>
      <c r="AP74" s="76" t="str">
        <f t="shared" ca="1" si="10"/>
        <v/>
      </c>
      <c r="AQ74" s="76" t="str">
        <f t="shared" ca="1" si="11"/>
        <v/>
      </c>
      <c r="AR74" s="76">
        <f ca="1">COUNTIF($AQ$54:$AQ74,AR$53)</f>
        <v>0</v>
      </c>
      <c r="AS74" s="76">
        <f ca="1">COUNTIF($AQ$54:$AQ74,AS$53)</f>
        <v>0</v>
      </c>
      <c r="AT74" s="76">
        <f ca="1">COUNTIF($AQ$54:$AQ74,AT$53)</f>
        <v>0</v>
      </c>
      <c r="AU74" s="76" t="str">
        <f t="shared" ca="1" si="12"/>
        <v/>
      </c>
      <c r="AV74" s="76" t="str">
        <f t="shared" ca="1" si="13"/>
        <v/>
      </c>
      <c r="AW74" s="76" t="str">
        <f t="shared" ca="1" si="14"/>
        <v/>
      </c>
      <c r="AX74" s="76"/>
      <c r="AY74" s="76">
        <f t="shared" si="15"/>
        <v>21</v>
      </c>
      <c r="AZ74" s="76" t="str">
        <f t="shared" ca="1" si="16"/>
        <v/>
      </c>
      <c r="BA74" s="76" t="str">
        <f t="shared" ca="1" si="17"/>
        <v/>
      </c>
      <c r="BB74" s="76" t="str">
        <f ca="1">IF(AZ74="","",COUNTIF(BA$53:BA73,BA74))</f>
        <v/>
      </c>
      <c r="BC74" s="76" t="str">
        <f t="shared" ca="1" si="18"/>
        <v/>
      </c>
      <c r="BD74" s="76" t="str">
        <f ca="1">IF(AZ74="","",IF(BC74=0,0,MATCH(BA74,BA$54:BA74,0)))</f>
        <v/>
      </c>
      <c r="BE74" s="76" t="str">
        <f t="shared" ca="1" si="19"/>
        <v/>
      </c>
      <c r="BF74" s="76" t="str">
        <f t="shared" ca="1" si="20"/>
        <v/>
      </c>
      <c r="BG74" s="76" t="str">
        <f ca="1">IF(AZ74="","",COUNTIF(BF$54:BF74,BF74))</f>
        <v/>
      </c>
      <c r="BH74" s="76" t="str">
        <f t="shared" ca="1" si="21"/>
        <v/>
      </c>
      <c r="BI74" s="108" t="str">
        <f t="shared" ca="1" si="50"/>
        <v/>
      </c>
      <c r="BJ74" s="76">
        <f t="shared" si="47"/>
        <v>21</v>
      </c>
      <c r="BK74" s="76" t="str">
        <f t="shared" ca="1" si="23"/>
        <v/>
      </c>
      <c r="BL74" s="76" t="str">
        <f t="shared" ca="1" si="24"/>
        <v/>
      </c>
      <c r="BM74" s="76" t="str">
        <f ca="1">IF(BK74="","",COUNTIF(BL$53:BL73,BL74))</f>
        <v/>
      </c>
      <c r="BN74" s="76" t="str">
        <f t="shared" ca="1" si="25"/>
        <v/>
      </c>
      <c r="BO74" s="76" t="str">
        <f ca="1">IF(BK74="","",IF(BN74=0,0,MATCH(BL74,BL$54:BL74,0)))</f>
        <v/>
      </c>
      <c r="BP74" s="76" t="str">
        <f t="shared" ca="1" si="26"/>
        <v/>
      </c>
      <c r="BQ74" s="76" t="str">
        <f t="shared" ca="1" si="27"/>
        <v/>
      </c>
      <c r="BR74" s="76" t="str">
        <f ca="1">IF(BK74="","",COUNTIF(BQ$54:BQ74,BQ74))</f>
        <v/>
      </c>
      <c r="BS74" s="76" t="str">
        <f t="shared" ca="1" si="28"/>
        <v/>
      </c>
      <c r="BT74" s="108" t="str">
        <f t="shared" ca="1" si="29"/>
        <v/>
      </c>
      <c r="BU74" s="76">
        <f t="shared" si="48"/>
        <v>21</v>
      </c>
      <c r="BV74" s="76" t="str">
        <f t="shared" ca="1" si="30"/>
        <v/>
      </c>
      <c r="BW74" s="76" t="str">
        <f t="shared" ca="1" si="31"/>
        <v/>
      </c>
      <c r="BX74" s="76" t="str">
        <f ca="1">IF(BV74="","",COUNTIF(BW$53:BW73,BW74))</f>
        <v/>
      </c>
      <c r="BY74" s="76" t="str">
        <f t="shared" ca="1" si="32"/>
        <v/>
      </c>
      <c r="BZ74" s="76" t="str">
        <f ca="1">IF(BV74="","",IF(BY74=0,0,MATCH(BW74,BW$54:BW74,0)))</f>
        <v/>
      </c>
      <c r="CA74" s="76" t="str">
        <f t="shared" ca="1" si="33"/>
        <v/>
      </c>
      <c r="CB74" s="76" t="str">
        <f t="shared" ca="1" si="34"/>
        <v/>
      </c>
      <c r="CC74" s="76" t="str">
        <f ca="1">IF(BV74="","",COUNTIF(CB$54:CB74,CB74))</f>
        <v/>
      </c>
      <c r="CD74" s="76" t="str">
        <f t="shared" ca="1" si="35"/>
        <v/>
      </c>
      <c r="CE74" s="108" t="str">
        <f t="shared" ca="1" si="36"/>
        <v/>
      </c>
      <c r="CG74" s="109">
        <v>21</v>
      </c>
      <c r="CN74" s="112">
        <v>11</v>
      </c>
      <c r="CO74" s="112">
        <f t="shared" si="40"/>
        <v>1</v>
      </c>
      <c r="CP74" s="112">
        <f t="shared" ca="1" si="41"/>
        <v>6</v>
      </c>
    </row>
    <row r="75" spans="14:94">
      <c r="N75" s="35">
        <f t="shared" si="42"/>
        <v>0</v>
      </c>
      <c r="O75" s="35">
        <f t="shared" si="7"/>
        <v>8</v>
      </c>
      <c r="P75" s="35">
        <f t="shared" si="43"/>
        <v>3</v>
      </c>
      <c r="Q75" s="35">
        <f t="shared" si="8"/>
        <v>1</v>
      </c>
      <c r="R75" s="35">
        <f t="shared" si="44"/>
        <v>3</v>
      </c>
      <c r="AJ75" s="76">
        <v>22</v>
      </c>
      <c r="AK75" s="76" t="str">
        <f t="shared" ca="1" si="45"/>
        <v/>
      </c>
      <c r="AL75" s="76" t="str">
        <f t="shared" ca="1" si="46"/>
        <v/>
      </c>
      <c r="AM75" s="76"/>
      <c r="AN75" s="76"/>
      <c r="AO75" s="76" t="str">
        <f t="shared" ca="1" si="9"/>
        <v/>
      </c>
      <c r="AP75" s="76" t="str">
        <f t="shared" ca="1" si="10"/>
        <v/>
      </c>
      <c r="AQ75" s="76" t="str">
        <f t="shared" ca="1" si="11"/>
        <v/>
      </c>
      <c r="AR75" s="76">
        <f ca="1">COUNTIF($AQ$54:$AQ75,AR$53)</f>
        <v>0</v>
      </c>
      <c r="AS75" s="76">
        <f ca="1">COUNTIF($AQ$54:$AQ75,AS$53)</f>
        <v>0</v>
      </c>
      <c r="AT75" s="76">
        <f ca="1">COUNTIF($AQ$54:$AQ75,AT$53)</f>
        <v>0</v>
      </c>
      <c r="AU75" s="76" t="str">
        <f t="shared" ca="1" si="12"/>
        <v/>
      </c>
      <c r="AV75" s="76" t="str">
        <f t="shared" ca="1" si="13"/>
        <v/>
      </c>
      <c r="AW75" s="76" t="str">
        <f t="shared" ca="1" si="14"/>
        <v/>
      </c>
      <c r="AX75" s="76"/>
      <c r="AY75" s="76">
        <f t="shared" si="15"/>
        <v>22</v>
      </c>
      <c r="AZ75" s="76" t="str">
        <f t="shared" ca="1" si="16"/>
        <v/>
      </c>
      <c r="BA75" s="76" t="str">
        <f t="shared" ca="1" si="17"/>
        <v/>
      </c>
      <c r="BB75" s="76" t="str">
        <f ca="1">IF(AZ75="","",COUNTIF(BA$53:BA74,BA75))</f>
        <v/>
      </c>
      <c r="BC75" s="76" t="str">
        <f t="shared" ca="1" si="18"/>
        <v/>
      </c>
      <c r="BD75" s="76" t="str">
        <f ca="1">IF(AZ75="","",IF(BC75=0,0,MATCH(BA75,BA$54:BA75,0)))</f>
        <v/>
      </c>
      <c r="BE75" s="76" t="str">
        <f t="shared" ca="1" si="19"/>
        <v/>
      </c>
      <c r="BF75" s="76" t="str">
        <f t="shared" ca="1" si="20"/>
        <v/>
      </c>
      <c r="BG75" s="76" t="str">
        <f ca="1">IF(AZ75="","",COUNTIF(BF$54:BF75,BF75))</f>
        <v/>
      </c>
      <c r="BH75" s="76" t="str">
        <f t="shared" ca="1" si="21"/>
        <v/>
      </c>
      <c r="BI75" s="108" t="str">
        <f t="shared" ca="1" si="50"/>
        <v/>
      </c>
      <c r="BJ75" s="76">
        <f t="shared" si="47"/>
        <v>22</v>
      </c>
      <c r="BK75" s="76" t="str">
        <f t="shared" ca="1" si="23"/>
        <v/>
      </c>
      <c r="BL75" s="76" t="str">
        <f t="shared" ca="1" si="24"/>
        <v/>
      </c>
      <c r="BM75" s="76" t="str">
        <f ca="1">IF(BK75="","",COUNTIF(BL$53:BL74,BL75))</f>
        <v/>
      </c>
      <c r="BN75" s="76" t="str">
        <f t="shared" ca="1" si="25"/>
        <v/>
      </c>
      <c r="BO75" s="76" t="str">
        <f ca="1">IF(BK75="","",IF(BN75=0,0,MATCH(BL75,BL$54:BL75,0)))</f>
        <v/>
      </c>
      <c r="BP75" s="76" t="str">
        <f t="shared" ca="1" si="26"/>
        <v/>
      </c>
      <c r="BQ75" s="76" t="str">
        <f t="shared" ca="1" si="27"/>
        <v/>
      </c>
      <c r="BR75" s="76" t="str">
        <f ca="1">IF(BK75="","",COUNTIF(BQ$54:BQ75,BQ75))</f>
        <v/>
      </c>
      <c r="BS75" s="76" t="str">
        <f t="shared" ca="1" si="28"/>
        <v/>
      </c>
      <c r="BT75" s="108" t="str">
        <f t="shared" ca="1" si="29"/>
        <v/>
      </c>
      <c r="BU75" s="76">
        <f t="shared" si="48"/>
        <v>22</v>
      </c>
      <c r="BV75" s="76" t="str">
        <f t="shared" ca="1" si="30"/>
        <v/>
      </c>
      <c r="BW75" s="76" t="str">
        <f t="shared" ca="1" si="31"/>
        <v/>
      </c>
      <c r="BX75" s="76" t="str">
        <f ca="1">IF(BV75="","",COUNTIF(BW$53:BW74,BW75))</f>
        <v/>
      </c>
      <c r="BY75" s="76" t="str">
        <f t="shared" ca="1" si="32"/>
        <v/>
      </c>
      <c r="BZ75" s="76" t="str">
        <f ca="1">IF(BV75="","",IF(BY75=0,0,MATCH(BW75,BW$54:BW75,0)))</f>
        <v/>
      </c>
      <c r="CA75" s="76" t="str">
        <f t="shared" ca="1" si="33"/>
        <v/>
      </c>
      <c r="CB75" s="76" t="str">
        <f t="shared" ca="1" si="34"/>
        <v/>
      </c>
      <c r="CC75" s="76" t="str">
        <f ca="1">IF(BV75="","",COUNTIF(CB$54:CB75,CB75))</f>
        <v/>
      </c>
      <c r="CD75" s="76" t="str">
        <f t="shared" ca="1" si="35"/>
        <v/>
      </c>
      <c r="CE75" s="108" t="str">
        <f t="shared" ca="1" si="36"/>
        <v/>
      </c>
      <c r="CG75" s="109">
        <v>22</v>
      </c>
      <c r="CN75" s="112">
        <v>22</v>
      </c>
      <c r="CO75" s="112">
        <f t="shared" si="40"/>
        <v>1</v>
      </c>
      <c r="CP75" s="112">
        <f t="shared" ca="1" si="41"/>
        <v>11</v>
      </c>
    </row>
    <row r="76" spans="14:94">
      <c r="N76" s="35">
        <f t="shared" si="42"/>
        <v>0</v>
      </c>
      <c r="O76" s="35">
        <f t="shared" si="7"/>
        <v>8</v>
      </c>
      <c r="P76" s="35">
        <f t="shared" si="43"/>
        <v>2</v>
      </c>
      <c r="Q76" s="35">
        <f t="shared" si="8"/>
        <v>2</v>
      </c>
      <c r="R76" s="35">
        <f t="shared" si="44"/>
        <v>2</v>
      </c>
      <c r="AJ76" s="76">
        <v>23</v>
      </c>
      <c r="AK76" s="76" t="str">
        <f t="shared" ca="1" si="45"/>
        <v/>
      </c>
      <c r="AL76" s="76" t="str">
        <f t="shared" ca="1" si="46"/>
        <v/>
      </c>
      <c r="AM76" s="76"/>
      <c r="AN76" s="76"/>
      <c r="AO76" s="76" t="str">
        <f t="shared" ca="1" si="9"/>
        <v/>
      </c>
      <c r="AP76" s="76" t="str">
        <f t="shared" ca="1" si="10"/>
        <v/>
      </c>
      <c r="AQ76" s="76" t="str">
        <f t="shared" ca="1" si="11"/>
        <v/>
      </c>
      <c r="AR76" s="76">
        <f ca="1">COUNTIF($AQ$54:$AQ76,AR$53)</f>
        <v>0</v>
      </c>
      <c r="AS76" s="76">
        <f ca="1">COUNTIF($AQ$54:$AQ76,AS$53)</f>
        <v>0</v>
      </c>
      <c r="AT76" s="76">
        <f ca="1">COUNTIF($AQ$54:$AQ76,AT$53)</f>
        <v>0</v>
      </c>
      <c r="AU76" s="76" t="str">
        <f t="shared" ca="1" si="12"/>
        <v/>
      </c>
      <c r="AV76" s="76" t="str">
        <f t="shared" ca="1" si="13"/>
        <v/>
      </c>
      <c r="AW76" s="76" t="str">
        <f t="shared" ca="1" si="14"/>
        <v/>
      </c>
      <c r="AX76" s="76"/>
      <c r="AY76" s="76">
        <f t="shared" si="15"/>
        <v>23</v>
      </c>
      <c r="AZ76" s="76" t="str">
        <f t="shared" ca="1" si="16"/>
        <v/>
      </c>
      <c r="BA76" s="76" t="str">
        <f t="shared" ca="1" si="17"/>
        <v/>
      </c>
      <c r="BB76" s="76" t="str">
        <f ca="1">IF(AZ76="","",COUNTIF(BA$53:BA75,BA76))</f>
        <v/>
      </c>
      <c r="BC76" s="76" t="str">
        <f t="shared" ca="1" si="18"/>
        <v/>
      </c>
      <c r="BD76" s="76" t="str">
        <f ca="1">IF(AZ76="","",IF(BC76=0,0,MATCH(BA76,BA$54:BA76,0)))</f>
        <v/>
      </c>
      <c r="BE76" s="76" t="str">
        <f t="shared" ca="1" si="19"/>
        <v/>
      </c>
      <c r="BF76" s="76" t="str">
        <f t="shared" ca="1" si="20"/>
        <v/>
      </c>
      <c r="BG76" s="76" t="str">
        <f ca="1">IF(AZ76="","",COUNTIF(BF$54:BF76,BF76))</f>
        <v/>
      </c>
      <c r="BH76" s="76" t="str">
        <f t="shared" ca="1" si="21"/>
        <v/>
      </c>
      <c r="BI76" s="108" t="str">
        <f t="shared" ca="1" si="50"/>
        <v/>
      </c>
      <c r="BJ76" s="76">
        <f t="shared" si="47"/>
        <v>23</v>
      </c>
      <c r="BK76" s="76" t="str">
        <f t="shared" ca="1" si="23"/>
        <v/>
      </c>
      <c r="BL76" s="76" t="str">
        <f t="shared" ca="1" si="24"/>
        <v/>
      </c>
      <c r="BM76" s="76" t="str">
        <f ca="1">IF(BK76="","",COUNTIF(BL$53:BL75,BL76))</f>
        <v/>
      </c>
      <c r="BN76" s="76" t="str">
        <f t="shared" ca="1" si="25"/>
        <v/>
      </c>
      <c r="BO76" s="76" t="str">
        <f ca="1">IF(BK76="","",IF(BN76=0,0,MATCH(BL76,BL$54:BL76,0)))</f>
        <v/>
      </c>
      <c r="BP76" s="76" t="str">
        <f t="shared" ca="1" si="26"/>
        <v/>
      </c>
      <c r="BQ76" s="76" t="str">
        <f t="shared" ca="1" si="27"/>
        <v/>
      </c>
      <c r="BR76" s="76" t="str">
        <f ca="1">IF(BK76="","",COUNTIF(BQ$54:BQ76,BQ76))</f>
        <v/>
      </c>
      <c r="BS76" s="76" t="str">
        <f t="shared" ca="1" si="28"/>
        <v/>
      </c>
      <c r="BT76" s="108" t="str">
        <f t="shared" ca="1" si="29"/>
        <v/>
      </c>
      <c r="BU76" s="76">
        <f t="shared" si="48"/>
        <v>23</v>
      </c>
      <c r="BV76" s="76" t="str">
        <f t="shared" ca="1" si="30"/>
        <v/>
      </c>
      <c r="BW76" s="76" t="str">
        <f t="shared" ca="1" si="31"/>
        <v/>
      </c>
      <c r="BX76" s="76" t="str">
        <f ca="1">IF(BV76="","",COUNTIF(BW$53:BW75,BW76))</f>
        <v/>
      </c>
      <c r="BY76" s="76" t="str">
        <f t="shared" ca="1" si="32"/>
        <v/>
      </c>
      <c r="BZ76" s="76" t="str">
        <f ca="1">IF(BV76="","",IF(BY76=0,0,MATCH(BW76,BW$54:BW76,0)))</f>
        <v/>
      </c>
      <c r="CA76" s="76" t="str">
        <f t="shared" ca="1" si="33"/>
        <v/>
      </c>
      <c r="CB76" s="76" t="str">
        <f t="shared" ca="1" si="34"/>
        <v/>
      </c>
      <c r="CC76" s="76" t="str">
        <f ca="1">IF(BV76="","",COUNTIF(CB$54:CB76,CB76))</f>
        <v/>
      </c>
      <c r="CD76" s="76" t="str">
        <f t="shared" ca="1" si="35"/>
        <v/>
      </c>
      <c r="CE76" s="108" t="str">
        <f t="shared" ca="1" si="36"/>
        <v/>
      </c>
      <c r="CG76" s="109">
        <v>23</v>
      </c>
      <c r="CN76" s="112">
        <v>27</v>
      </c>
      <c r="CO76" s="112">
        <f t="shared" si="40"/>
        <v>1</v>
      </c>
      <c r="CP76" s="112">
        <f t="shared" ca="1" si="41"/>
        <v>14</v>
      </c>
    </row>
    <row r="77" spans="14:94">
      <c r="N77" s="35">
        <f t="shared" si="42"/>
        <v>0</v>
      </c>
      <c r="O77" s="35">
        <f t="shared" si="7"/>
        <v>8</v>
      </c>
      <c r="P77" s="35">
        <f t="shared" si="43"/>
        <v>1</v>
      </c>
      <c r="Q77" s="35">
        <f t="shared" si="8"/>
        <v>3</v>
      </c>
      <c r="R77" s="35">
        <f t="shared" si="44"/>
        <v>1</v>
      </c>
      <c r="AJ77" s="76">
        <v>24</v>
      </c>
      <c r="AK77" s="76" t="str">
        <f t="shared" ca="1" si="45"/>
        <v/>
      </c>
      <c r="AL77" s="76" t="str">
        <f t="shared" ca="1" si="46"/>
        <v/>
      </c>
      <c r="AM77" s="76"/>
      <c r="AN77" s="76"/>
      <c r="AO77" s="76" t="str">
        <f t="shared" ca="1" si="9"/>
        <v/>
      </c>
      <c r="AP77" s="76" t="str">
        <f t="shared" ca="1" si="10"/>
        <v/>
      </c>
      <c r="AQ77" s="76" t="str">
        <f t="shared" ca="1" si="11"/>
        <v/>
      </c>
      <c r="AR77" s="76">
        <f ca="1">COUNTIF($AQ$54:$AQ77,AR$53)</f>
        <v>0</v>
      </c>
      <c r="AS77" s="76">
        <f ca="1">COUNTIF($AQ$54:$AQ77,AS$53)</f>
        <v>0</v>
      </c>
      <c r="AT77" s="76">
        <f ca="1">COUNTIF($AQ$54:$AQ77,AT$53)</f>
        <v>0</v>
      </c>
      <c r="AU77" s="76" t="str">
        <f t="shared" ca="1" si="12"/>
        <v/>
      </c>
      <c r="AV77" s="76" t="str">
        <f t="shared" ca="1" si="13"/>
        <v/>
      </c>
      <c r="AW77" s="76" t="str">
        <f t="shared" ca="1" si="14"/>
        <v/>
      </c>
      <c r="AX77" s="76"/>
      <c r="AY77" s="76">
        <f t="shared" si="15"/>
        <v>24</v>
      </c>
      <c r="AZ77" s="76" t="str">
        <f t="shared" ca="1" si="16"/>
        <v/>
      </c>
      <c r="BA77" s="76" t="str">
        <f t="shared" ca="1" si="17"/>
        <v/>
      </c>
      <c r="BB77" s="76" t="str">
        <f ca="1">IF(AZ77="","",COUNTIF(BA$53:BA76,BA77))</f>
        <v/>
      </c>
      <c r="BC77" s="76" t="str">
        <f t="shared" ca="1" si="18"/>
        <v/>
      </c>
      <c r="BD77" s="76" t="str">
        <f ca="1">IF(AZ77="","",IF(BC77=0,0,MATCH(BA77,BA$54:BA77,0)))</f>
        <v/>
      </c>
      <c r="BE77" s="76" t="str">
        <f t="shared" ca="1" si="19"/>
        <v/>
      </c>
      <c r="BF77" s="76" t="str">
        <f t="shared" ca="1" si="20"/>
        <v/>
      </c>
      <c r="BG77" s="76" t="str">
        <f ca="1">IF(AZ77="","",COUNTIF(BF$54:BF77,BF77))</f>
        <v/>
      </c>
      <c r="BH77" s="76" t="str">
        <f t="shared" ca="1" si="21"/>
        <v/>
      </c>
      <c r="BI77" s="108" t="str">
        <f t="shared" ca="1" si="50"/>
        <v/>
      </c>
      <c r="BJ77" s="76">
        <f t="shared" si="47"/>
        <v>24</v>
      </c>
      <c r="BK77" s="76" t="str">
        <f t="shared" ca="1" si="23"/>
        <v/>
      </c>
      <c r="BL77" s="76" t="str">
        <f t="shared" ca="1" si="24"/>
        <v/>
      </c>
      <c r="BM77" s="76" t="str">
        <f ca="1">IF(BK77="","",COUNTIF(BL$53:BL76,BL77))</f>
        <v/>
      </c>
      <c r="BN77" s="76" t="str">
        <f t="shared" ca="1" si="25"/>
        <v/>
      </c>
      <c r="BO77" s="76" t="str">
        <f ca="1">IF(BK77="","",IF(BN77=0,0,MATCH(BL77,BL$54:BL77,0)))</f>
        <v/>
      </c>
      <c r="BP77" s="76" t="str">
        <f t="shared" ca="1" si="26"/>
        <v/>
      </c>
      <c r="BQ77" s="76" t="str">
        <f t="shared" ca="1" si="27"/>
        <v/>
      </c>
      <c r="BR77" s="76" t="str">
        <f ca="1">IF(BK77="","",COUNTIF(BQ$54:BQ77,BQ77))</f>
        <v/>
      </c>
      <c r="BS77" s="76" t="str">
        <f t="shared" ca="1" si="28"/>
        <v/>
      </c>
      <c r="BT77" s="108" t="str">
        <f t="shared" ca="1" si="29"/>
        <v/>
      </c>
      <c r="BU77" s="76">
        <f t="shared" si="48"/>
        <v>24</v>
      </c>
      <c r="BV77" s="76" t="str">
        <f t="shared" ca="1" si="30"/>
        <v/>
      </c>
      <c r="BW77" s="76" t="str">
        <f t="shared" ca="1" si="31"/>
        <v/>
      </c>
      <c r="BX77" s="76" t="str">
        <f ca="1">IF(BV77="","",COUNTIF(BW$53:BW76,BW77))</f>
        <v/>
      </c>
      <c r="BY77" s="76" t="str">
        <f t="shared" ca="1" si="32"/>
        <v/>
      </c>
      <c r="BZ77" s="76" t="str">
        <f ca="1">IF(BV77="","",IF(BY77=0,0,MATCH(BW77,BW$54:BW77,0)))</f>
        <v/>
      </c>
      <c r="CA77" s="76" t="str">
        <f t="shared" ca="1" si="33"/>
        <v/>
      </c>
      <c r="CB77" s="76" t="str">
        <f t="shared" ca="1" si="34"/>
        <v/>
      </c>
      <c r="CC77" s="76" t="str">
        <f ca="1">IF(BV77="","",COUNTIF(CB$54:CB77,CB77))</f>
        <v/>
      </c>
      <c r="CD77" s="76" t="str">
        <f t="shared" ca="1" si="35"/>
        <v/>
      </c>
      <c r="CE77" s="108" t="str">
        <f t="shared" ca="1" si="36"/>
        <v/>
      </c>
      <c r="CG77" s="109">
        <v>24</v>
      </c>
      <c r="CN77" s="112">
        <v>6</v>
      </c>
      <c r="CO77" s="112">
        <f t="shared" si="40"/>
        <v>1</v>
      </c>
      <c r="CP77" s="112">
        <f t="shared" ca="1" si="41"/>
        <v>3</v>
      </c>
    </row>
    <row r="78" spans="14:94">
      <c r="N78" s="35">
        <f t="shared" si="42"/>
        <v>1</v>
      </c>
      <c r="O78" s="35">
        <f t="shared" si="7"/>
        <v>9</v>
      </c>
      <c r="P78" s="35">
        <f t="shared" si="43"/>
        <v>1</v>
      </c>
      <c r="Q78" s="35">
        <f t="shared" si="8"/>
        <v>1</v>
      </c>
      <c r="R78" s="35">
        <f t="shared" si="44"/>
        <v>1</v>
      </c>
      <c r="AJ78" s="76">
        <v>25</v>
      </c>
      <c r="AK78" s="76" t="str">
        <f t="shared" ca="1" si="45"/>
        <v/>
      </c>
      <c r="AL78" s="76" t="str">
        <f t="shared" ca="1" si="46"/>
        <v/>
      </c>
      <c r="AM78" s="76"/>
      <c r="AN78" s="76"/>
      <c r="AO78" s="76" t="str">
        <f t="shared" ca="1" si="9"/>
        <v/>
      </c>
      <c r="AP78" s="76" t="str">
        <f t="shared" ca="1" si="10"/>
        <v/>
      </c>
      <c r="AQ78" s="76" t="str">
        <f t="shared" ca="1" si="11"/>
        <v/>
      </c>
      <c r="AR78" s="76">
        <f ca="1">COUNTIF($AQ$54:$AQ78,AR$53)</f>
        <v>0</v>
      </c>
      <c r="AS78" s="76">
        <f ca="1">COUNTIF($AQ$54:$AQ78,AS$53)</f>
        <v>0</v>
      </c>
      <c r="AT78" s="76">
        <f ca="1">COUNTIF($AQ$54:$AQ78,AT$53)</f>
        <v>0</v>
      </c>
      <c r="AU78" s="76" t="str">
        <f t="shared" ca="1" si="12"/>
        <v/>
      </c>
      <c r="AV78" s="76" t="str">
        <f t="shared" ca="1" si="13"/>
        <v/>
      </c>
      <c r="AW78" s="76" t="str">
        <f t="shared" ca="1" si="14"/>
        <v/>
      </c>
      <c r="AX78" s="76"/>
      <c r="AY78" s="76">
        <f t="shared" si="15"/>
        <v>25</v>
      </c>
      <c r="AZ78" s="76" t="str">
        <f t="shared" ca="1" si="16"/>
        <v/>
      </c>
      <c r="BA78" s="76" t="str">
        <f t="shared" ca="1" si="17"/>
        <v/>
      </c>
      <c r="BB78" s="76" t="str">
        <f ca="1">IF(AZ78="","",COUNTIF(BA$53:BA77,BA78))</f>
        <v/>
      </c>
      <c r="BC78" s="76" t="str">
        <f t="shared" ca="1" si="18"/>
        <v/>
      </c>
      <c r="BD78" s="76" t="str">
        <f ca="1">IF(AZ78="","",IF(BC78=0,0,MATCH(BA78,BA$54:BA78,0)))</f>
        <v/>
      </c>
      <c r="BE78" s="76" t="str">
        <f t="shared" ca="1" si="19"/>
        <v/>
      </c>
      <c r="BF78" s="76" t="str">
        <f t="shared" ca="1" si="20"/>
        <v/>
      </c>
      <c r="BG78" s="76" t="str">
        <f ca="1">IF(AZ78="","",COUNTIF(BF$54:BF78,BF78))</f>
        <v/>
      </c>
      <c r="BH78" s="76" t="str">
        <f t="shared" ca="1" si="21"/>
        <v/>
      </c>
      <c r="BI78" s="108" t="str">
        <f t="shared" ca="1" si="50"/>
        <v/>
      </c>
      <c r="BJ78" s="76">
        <f t="shared" si="47"/>
        <v>25</v>
      </c>
      <c r="BK78" s="76" t="str">
        <f t="shared" ca="1" si="23"/>
        <v/>
      </c>
      <c r="BL78" s="76" t="str">
        <f t="shared" ca="1" si="24"/>
        <v/>
      </c>
      <c r="BM78" s="76" t="str">
        <f ca="1">IF(BK78="","",COUNTIF(BL$53:BL77,BL78))</f>
        <v/>
      </c>
      <c r="BN78" s="76" t="str">
        <f t="shared" ca="1" si="25"/>
        <v/>
      </c>
      <c r="BO78" s="76" t="str">
        <f ca="1">IF(BK78="","",IF(BN78=0,0,MATCH(BL78,BL$54:BL78,0)))</f>
        <v/>
      </c>
      <c r="BP78" s="76" t="str">
        <f t="shared" ca="1" si="26"/>
        <v/>
      </c>
      <c r="BQ78" s="76" t="str">
        <f t="shared" ca="1" si="27"/>
        <v/>
      </c>
      <c r="BR78" s="76" t="str">
        <f ca="1">IF(BK78="","",COUNTIF(BQ$54:BQ78,BQ78))</f>
        <v/>
      </c>
      <c r="BS78" s="76" t="str">
        <f t="shared" ca="1" si="28"/>
        <v/>
      </c>
      <c r="BT78" s="108" t="str">
        <f t="shared" ca="1" si="29"/>
        <v/>
      </c>
      <c r="BU78" s="76">
        <f t="shared" si="48"/>
        <v>25</v>
      </c>
      <c r="BV78" s="76" t="str">
        <f t="shared" ca="1" si="30"/>
        <v/>
      </c>
      <c r="BW78" s="76" t="str">
        <f t="shared" ca="1" si="31"/>
        <v/>
      </c>
      <c r="BX78" s="76" t="str">
        <f ca="1">IF(BV78="","",COUNTIF(BW$53:BW77,BW78))</f>
        <v/>
      </c>
      <c r="BY78" s="76" t="str">
        <f t="shared" ca="1" si="32"/>
        <v/>
      </c>
      <c r="BZ78" s="76" t="str">
        <f ca="1">IF(BV78="","",IF(BY78=0,0,MATCH(BW78,BW$54:BW78,0)))</f>
        <v/>
      </c>
      <c r="CA78" s="76" t="str">
        <f t="shared" ca="1" si="33"/>
        <v/>
      </c>
      <c r="CB78" s="76" t="str">
        <f t="shared" ca="1" si="34"/>
        <v/>
      </c>
      <c r="CC78" s="76" t="str">
        <f ca="1">IF(BV78="","",COUNTIF(CB$54:CB78,CB78))</f>
        <v/>
      </c>
      <c r="CD78" s="76" t="str">
        <f t="shared" ca="1" si="35"/>
        <v/>
      </c>
      <c r="CE78" s="108" t="str">
        <f t="shared" ca="1" si="36"/>
        <v/>
      </c>
      <c r="CG78" s="109">
        <v>25</v>
      </c>
      <c r="CN78" s="112">
        <v>7</v>
      </c>
      <c r="CO78" s="112">
        <f t="shared" si="40"/>
        <v>1</v>
      </c>
      <c r="CP78" s="112">
        <f t="shared" ca="1" si="41"/>
        <v>4</v>
      </c>
    </row>
    <row r="79" spans="14:94">
      <c r="N79" s="35">
        <f t="shared" si="42"/>
        <v>1</v>
      </c>
      <c r="O79" s="35">
        <f t="shared" si="7"/>
        <v>9</v>
      </c>
      <c r="P79" s="35">
        <f t="shared" si="43"/>
        <v>2</v>
      </c>
      <c r="Q79" s="35">
        <f t="shared" si="8"/>
        <v>2</v>
      </c>
      <c r="R79" s="35">
        <f t="shared" si="44"/>
        <v>2</v>
      </c>
      <c r="AJ79" s="76">
        <v>26</v>
      </c>
      <c r="AK79" s="76" t="str">
        <f t="shared" ca="1" si="45"/>
        <v/>
      </c>
      <c r="AL79" s="76" t="str">
        <f t="shared" ca="1" si="46"/>
        <v/>
      </c>
      <c r="AM79" s="76"/>
      <c r="AN79" s="76"/>
      <c r="AO79" s="76" t="str">
        <f t="shared" ca="1" si="9"/>
        <v/>
      </c>
      <c r="AP79" s="76" t="str">
        <f t="shared" ca="1" si="10"/>
        <v/>
      </c>
      <c r="AQ79" s="76" t="str">
        <f t="shared" ca="1" si="11"/>
        <v/>
      </c>
      <c r="AR79" s="76">
        <f ca="1">COUNTIF($AQ$54:$AQ79,AR$53)</f>
        <v>0</v>
      </c>
      <c r="AS79" s="76">
        <f ca="1">COUNTIF($AQ$54:$AQ79,AS$53)</f>
        <v>0</v>
      </c>
      <c r="AT79" s="76">
        <f ca="1">COUNTIF($AQ$54:$AQ79,AT$53)</f>
        <v>0</v>
      </c>
      <c r="AU79" s="76" t="str">
        <f t="shared" ca="1" si="12"/>
        <v/>
      </c>
      <c r="AV79" s="76" t="str">
        <f t="shared" ca="1" si="13"/>
        <v/>
      </c>
      <c r="AW79" s="76" t="str">
        <f t="shared" ca="1" si="14"/>
        <v/>
      </c>
      <c r="AX79" s="76"/>
      <c r="AY79" s="76">
        <f t="shared" si="15"/>
        <v>26</v>
      </c>
      <c r="AZ79" s="76" t="str">
        <f t="shared" ca="1" si="16"/>
        <v/>
      </c>
      <c r="BA79" s="76" t="str">
        <f t="shared" ca="1" si="17"/>
        <v/>
      </c>
      <c r="BB79" s="76" t="str">
        <f ca="1">IF(AZ79="","",COUNTIF(BA$53:BA78,BA79))</f>
        <v/>
      </c>
      <c r="BC79" s="76" t="str">
        <f t="shared" ca="1" si="18"/>
        <v/>
      </c>
      <c r="BD79" s="76" t="str">
        <f ca="1">IF(AZ79="","",IF(BC79=0,0,MATCH(BA79,BA$54:BA79,0)))</f>
        <v/>
      </c>
      <c r="BE79" s="76" t="str">
        <f t="shared" ca="1" si="19"/>
        <v/>
      </c>
      <c r="BF79" s="76" t="str">
        <f t="shared" ca="1" si="20"/>
        <v/>
      </c>
      <c r="BG79" s="76" t="str">
        <f ca="1">IF(AZ79="","",COUNTIF(BF$54:BF79,BF79))</f>
        <v/>
      </c>
      <c r="BH79" s="76" t="str">
        <f t="shared" ca="1" si="21"/>
        <v/>
      </c>
      <c r="BI79" s="108" t="str">
        <f t="shared" ca="1" si="50"/>
        <v/>
      </c>
      <c r="BJ79" s="76">
        <f t="shared" si="47"/>
        <v>26</v>
      </c>
      <c r="BK79" s="76" t="str">
        <f t="shared" ca="1" si="23"/>
        <v/>
      </c>
      <c r="BL79" s="76" t="str">
        <f t="shared" ca="1" si="24"/>
        <v/>
      </c>
      <c r="BM79" s="76" t="str">
        <f ca="1">IF(BK79="","",COUNTIF(BL$53:BL78,BL79))</f>
        <v/>
      </c>
      <c r="BN79" s="76" t="str">
        <f t="shared" ca="1" si="25"/>
        <v/>
      </c>
      <c r="BO79" s="76" t="str">
        <f ca="1">IF(BK79="","",IF(BN79=0,0,MATCH(BL79,BL$54:BL79,0)))</f>
        <v/>
      </c>
      <c r="BP79" s="76" t="str">
        <f t="shared" ca="1" si="26"/>
        <v/>
      </c>
      <c r="BQ79" s="76" t="str">
        <f t="shared" ca="1" si="27"/>
        <v/>
      </c>
      <c r="BR79" s="76" t="str">
        <f ca="1">IF(BK79="","",COUNTIF(BQ$54:BQ79,BQ79))</f>
        <v/>
      </c>
      <c r="BS79" s="76" t="str">
        <f t="shared" ca="1" si="28"/>
        <v/>
      </c>
      <c r="BT79" s="108" t="str">
        <f t="shared" ca="1" si="29"/>
        <v/>
      </c>
      <c r="BU79" s="76">
        <f t="shared" si="48"/>
        <v>26</v>
      </c>
      <c r="BV79" s="76" t="str">
        <f t="shared" ca="1" si="30"/>
        <v/>
      </c>
      <c r="BW79" s="76" t="str">
        <f t="shared" ca="1" si="31"/>
        <v/>
      </c>
      <c r="BX79" s="76" t="str">
        <f ca="1">IF(BV79="","",COUNTIF(BW$53:BW78,BW79))</f>
        <v/>
      </c>
      <c r="BY79" s="76" t="str">
        <f t="shared" ca="1" si="32"/>
        <v/>
      </c>
      <c r="BZ79" s="76" t="str">
        <f ca="1">IF(BV79="","",IF(BY79=0,0,MATCH(BW79,BW$54:BW79,0)))</f>
        <v/>
      </c>
      <c r="CA79" s="76" t="str">
        <f t="shared" ca="1" si="33"/>
        <v/>
      </c>
      <c r="CB79" s="76" t="str">
        <f t="shared" ca="1" si="34"/>
        <v/>
      </c>
      <c r="CC79" s="76" t="str">
        <f ca="1">IF(BV79="","",COUNTIF(CB$54:CB79,CB79))</f>
        <v/>
      </c>
      <c r="CD79" s="76" t="str">
        <f t="shared" ca="1" si="35"/>
        <v/>
      </c>
      <c r="CE79" s="108" t="str">
        <f t="shared" ca="1" si="36"/>
        <v/>
      </c>
      <c r="CG79" s="109">
        <v>26</v>
      </c>
      <c r="CN79" s="112">
        <v>26</v>
      </c>
      <c r="CO79" s="112">
        <f t="shared" si="40"/>
        <v>1</v>
      </c>
      <c r="CP79" s="112">
        <f t="shared" ca="1" si="41"/>
        <v>13</v>
      </c>
    </row>
    <row r="80" spans="14:94">
      <c r="N80" s="35">
        <f t="shared" si="42"/>
        <v>1</v>
      </c>
      <c r="O80" s="35">
        <f t="shared" si="7"/>
        <v>9</v>
      </c>
      <c r="P80" s="35">
        <f t="shared" si="43"/>
        <v>3</v>
      </c>
      <c r="Q80" s="35">
        <f t="shared" si="8"/>
        <v>3</v>
      </c>
      <c r="R80" s="35">
        <f t="shared" si="44"/>
        <v>3</v>
      </c>
      <c r="AJ80" s="76">
        <v>27</v>
      </c>
      <c r="AK80" s="76" t="str">
        <f t="shared" ca="1" si="45"/>
        <v/>
      </c>
      <c r="AL80" s="76" t="str">
        <f t="shared" ca="1" si="46"/>
        <v/>
      </c>
      <c r="AM80" s="76"/>
      <c r="AN80" s="76"/>
      <c r="AO80" s="76" t="str">
        <f t="shared" ca="1" si="9"/>
        <v/>
      </c>
      <c r="AP80" s="76" t="str">
        <f t="shared" ca="1" si="10"/>
        <v/>
      </c>
      <c r="AQ80" s="76" t="str">
        <f t="shared" ca="1" si="11"/>
        <v/>
      </c>
      <c r="AR80" s="76">
        <f ca="1">COUNTIF($AQ$54:$AQ80,AR$53)</f>
        <v>0</v>
      </c>
      <c r="AS80" s="76">
        <f ca="1">COUNTIF($AQ$54:$AQ80,AS$53)</f>
        <v>0</v>
      </c>
      <c r="AT80" s="76">
        <f ca="1">COUNTIF($AQ$54:$AQ80,AT$53)</f>
        <v>0</v>
      </c>
      <c r="AU80" s="76" t="str">
        <f t="shared" ca="1" si="12"/>
        <v/>
      </c>
      <c r="AV80" s="76" t="str">
        <f t="shared" ca="1" si="13"/>
        <v/>
      </c>
      <c r="AW80" s="76" t="str">
        <f t="shared" ca="1" si="14"/>
        <v/>
      </c>
      <c r="AX80" s="76"/>
      <c r="AY80" s="76">
        <f t="shared" si="15"/>
        <v>27</v>
      </c>
      <c r="AZ80" s="76" t="str">
        <f t="shared" ca="1" si="16"/>
        <v/>
      </c>
      <c r="BA80" s="76" t="str">
        <f t="shared" ca="1" si="17"/>
        <v/>
      </c>
      <c r="BB80" s="76" t="str">
        <f ca="1">IF(AZ80="","",COUNTIF(BA$53:BA79,BA80))</f>
        <v/>
      </c>
      <c r="BC80" s="76" t="str">
        <f t="shared" ca="1" si="18"/>
        <v/>
      </c>
      <c r="BD80" s="76" t="str">
        <f ca="1">IF(AZ80="","",IF(BC80=0,0,MATCH(BA80,BA$54:BA80,0)))</f>
        <v/>
      </c>
      <c r="BE80" s="76" t="str">
        <f t="shared" ca="1" si="19"/>
        <v/>
      </c>
      <c r="BF80" s="76" t="str">
        <f t="shared" ca="1" si="20"/>
        <v/>
      </c>
      <c r="BG80" s="76" t="str">
        <f ca="1">IF(AZ80="","",COUNTIF(BF$54:BF80,BF80))</f>
        <v/>
      </c>
      <c r="BH80" s="76" t="str">
        <f t="shared" ca="1" si="21"/>
        <v/>
      </c>
      <c r="BI80" s="108" t="str">
        <f t="shared" ca="1" si="50"/>
        <v/>
      </c>
      <c r="BJ80" s="76">
        <f t="shared" ref="BJ80:BJ143" si="51">AJ80</f>
        <v>27</v>
      </c>
      <c r="BK80" s="76" t="str">
        <f t="shared" ca="1" si="23"/>
        <v/>
      </c>
      <c r="BL80" s="76" t="str">
        <f t="shared" ca="1" si="24"/>
        <v/>
      </c>
      <c r="BM80" s="76" t="str">
        <f ca="1">IF(BK80="","",COUNTIF(BL$53:BL79,BL80))</f>
        <v/>
      </c>
      <c r="BN80" s="76" t="str">
        <f t="shared" ca="1" si="25"/>
        <v/>
      </c>
      <c r="BO80" s="76" t="str">
        <f ca="1">IF(BK80="","",IF(BN80=0,0,MATCH(BL80,BL$54:BL80,0)))</f>
        <v/>
      </c>
      <c r="BP80" s="76" t="str">
        <f t="shared" ca="1" si="26"/>
        <v/>
      </c>
      <c r="BQ80" s="76" t="str">
        <f t="shared" ca="1" si="27"/>
        <v/>
      </c>
      <c r="BR80" s="76" t="str">
        <f ca="1">IF(BK80="","",COUNTIF(BQ$54:BQ80,BQ80))</f>
        <v/>
      </c>
      <c r="BS80" s="76" t="str">
        <f t="shared" ca="1" si="28"/>
        <v/>
      </c>
      <c r="BT80" s="108" t="str">
        <f t="shared" ca="1" si="29"/>
        <v/>
      </c>
      <c r="BU80" s="76">
        <f t="shared" ref="BU80:BU143" si="52">AJ80</f>
        <v>27</v>
      </c>
      <c r="BV80" s="76" t="str">
        <f t="shared" ca="1" si="30"/>
        <v/>
      </c>
      <c r="BW80" s="76" t="str">
        <f t="shared" ca="1" si="31"/>
        <v/>
      </c>
      <c r="BX80" s="76" t="str">
        <f ca="1">IF(BV80="","",COUNTIF(BW$53:BW79,BW80))</f>
        <v/>
      </c>
      <c r="BY80" s="76" t="str">
        <f t="shared" ca="1" si="32"/>
        <v/>
      </c>
      <c r="BZ80" s="76" t="str">
        <f ca="1">IF(BV80="","",IF(BY80=0,0,MATCH(BW80,BW$54:BW80,0)))</f>
        <v/>
      </c>
      <c r="CA80" s="76" t="str">
        <f t="shared" ca="1" si="33"/>
        <v/>
      </c>
      <c r="CB80" s="76" t="str">
        <f t="shared" ca="1" si="34"/>
        <v/>
      </c>
      <c r="CC80" s="76" t="str">
        <f ca="1">IF(BV80="","",COUNTIF(CB$54:CB80,CB80))</f>
        <v/>
      </c>
      <c r="CD80" s="76" t="str">
        <f t="shared" ca="1" si="35"/>
        <v/>
      </c>
      <c r="CE80" s="108" t="str">
        <f t="shared" ca="1" si="36"/>
        <v/>
      </c>
      <c r="CG80" s="109">
        <v>27</v>
      </c>
      <c r="CN80" s="112">
        <v>23</v>
      </c>
      <c r="CO80" s="112">
        <f t="shared" si="40"/>
        <v>1</v>
      </c>
      <c r="CP80" s="112">
        <f t="shared" ca="1" si="41"/>
        <v>12</v>
      </c>
    </row>
    <row r="81" spans="14:94">
      <c r="N81" s="35">
        <f t="shared" si="42"/>
        <v>0</v>
      </c>
      <c r="O81" s="35">
        <f t="shared" si="7"/>
        <v>10</v>
      </c>
      <c r="P81" s="35">
        <f t="shared" si="43"/>
        <v>3</v>
      </c>
      <c r="Q81" s="35">
        <f t="shared" si="8"/>
        <v>1</v>
      </c>
      <c r="R81" s="35">
        <f t="shared" si="44"/>
        <v>3</v>
      </c>
      <c r="AJ81" s="76">
        <v>28</v>
      </c>
      <c r="AK81" s="76" t="str">
        <f t="shared" ca="1" si="45"/>
        <v/>
      </c>
      <c r="AL81" s="76" t="str">
        <f t="shared" ca="1" si="46"/>
        <v/>
      </c>
      <c r="AM81" s="76"/>
      <c r="AN81" s="76"/>
      <c r="AO81" s="76" t="str">
        <f t="shared" ca="1" si="9"/>
        <v/>
      </c>
      <c r="AP81" s="76" t="str">
        <f t="shared" ca="1" si="10"/>
        <v/>
      </c>
      <c r="AQ81" s="76" t="str">
        <f t="shared" ca="1" si="11"/>
        <v/>
      </c>
      <c r="AR81" s="76">
        <f ca="1">COUNTIF($AQ$54:$AQ81,AR$53)</f>
        <v>0</v>
      </c>
      <c r="AS81" s="76">
        <f ca="1">COUNTIF($AQ$54:$AQ81,AS$53)</f>
        <v>0</v>
      </c>
      <c r="AT81" s="76">
        <f ca="1">COUNTIF($AQ$54:$AQ81,AT$53)</f>
        <v>0</v>
      </c>
      <c r="AU81" s="76" t="str">
        <f t="shared" ca="1" si="12"/>
        <v/>
      </c>
      <c r="AV81" s="76" t="str">
        <f t="shared" ca="1" si="13"/>
        <v/>
      </c>
      <c r="AW81" s="76" t="str">
        <f t="shared" ca="1" si="14"/>
        <v/>
      </c>
      <c r="AX81" s="76"/>
      <c r="AY81" s="76">
        <f t="shared" si="15"/>
        <v>28</v>
      </c>
      <c r="AZ81" s="76" t="str">
        <f t="shared" ca="1" si="16"/>
        <v/>
      </c>
      <c r="BA81" s="76" t="str">
        <f t="shared" ca="1" si="17"/>
        <v/>
      </c>
      <c r="BB81" s="76" t="str">
        <f ca="1">IF(AZ81="","",COUNTIF(BA$53:BA80,BA81))</f>
        <v/>
      </c>
      <c r="BC81" s="76" t="str">
        <f t="shared" ca="1" si="18"/>
        <v/>
      </c>
      <c r="BD81" s="76" t="str">
        <f ca="1">IF(AZ81="","",IF(BC81=0,0,MATCH(BA81,BA$54:BA81,0)))</f>
        <v/>
      </c>
      <c r="BE81" s="76" t="str">
        <f t="shared" ca="1" si="19"/>
        <v/>
      </c>
      <c r="BF81" s="76" t="str">
        <f t="shared" ca="1" si="20"/>
        <v/>
      </c>
      <c r="BG81" s="76" t="str">
        <f ca="1">IF(AZ81="","",COUNTIF(BF$54:BF81,BF81))</f>
        <v/>
      </c>
      <c r="BH81" s="76" t="str">
        <f t="shared" ca="1" si="21"/>
        <v/>
      </c>
      <c r="BI81" s="108" t="str">
        <f t="shared" ca="1" si="50"/>
        <v/>
      </c>
      <c r="BJ81" s="76">
        <f t="shared" si="51"/>
        <v>28</v>
      </c>
      <c r="BK81" s="76" t="str">
        <f t="shared" ca="1" si="23"/>
        <v/>
      </c>
      <c r="BL81" s="76" t="str">
        <f t="shared" ca="1" si="24"/>
        <v/>
      </c>
      <c r="BM81" s="76" t="str">
        <f ca="1">IF(BK81="","",COUNTIF(BL$53:BL80,BL81))</f>
        <v/>
      </c>
      <c r="BN81" s="76" t="str">
        <f t="shared" ca="1" si="25"/>
        <v/>
      </c>
      <c r="BO81" s="76" t="str">
        <f ca="1">IF(BK81="","",IF(BN81=0,0,MATCH(BL81,BL$54:BL81,0)))</f>
        <v/>
      </c>
      <c r="BP81" s="76" t="str">
        <f t="shared" ca="1" si="26"/>
        <v/>
      </c>
      <c r="BQ81" s="76" t="str">
        <f t="shared" ca="1" si="27"/>
        <v/>
      </c>
      <c r="BR81" s="76" t="str">
        <f ca="1">IF(BK81="","",COUNTIF(BQ$54:BQ81,BQ81))</f>
        <v/>
      </c>
      <c r="BS81" s="76" t="str">
        <f t="shared" ca="1" si="28"/>
        <v/>
      </c>
      <c r="BT81" s="108" t="str">
        <f t="shared" ca="1" si="29"/>
        <v/>
      </c>
      <c r="BU81" s="76">
        <f t="shared" si="52"/>
        <v>28</v>
      </c>
      <c r="BV81" s="76" t="str">
        <f t="shared" ca="1" si="30"/>
        <v/>
      </c>
      <c r="BW81" s="76" t="str">
        <f t="shared" ca="1" si="31"/>
        <v/>
      </c>
      <c r="BX81" s="76" t="str">
        <f ca="1">IF(BV81="","",COUNTIF(BW$53:BW80,BW81))</f>
        <v/>
      </c>
      <c r="BY81" s="76" t="str">
        <f t="shared" ca="1" si="32"/>
        <v/>
      </c>
      <c r="BZ81" s="76" t="str">
        <f ca="1">IF(BV81="","",IF(BY81=0,0,MATCH(BW81,BW$54:BW81,0)))</f>
        <v/>
      </c>
      <c r="CA81" s="76" t="str">
        <f t="shared" ca="1" si="33"/>
        <v/>
      </c>
      <c r="CB81" s="76" t="str">
        <f t="shared" ca="1" si="34"/>
        <v/>
      </c>
      <c r="CC81" s="76" t="str">
        <f ca="1">IF(BV81="","",COUNTIF(CB$54:CB81,CB81))</f>
        <v/>
      </c>
      <c r="CD81" s="76" t="str">
        <f t="shared" ca="1" si="35"/>
        <v/>
      </c>
      <c r="CE81" s="108" t="str">
        <f t="shared" ca="1" si="36"/>
        <v/>
      </c>
      <c r="CG81" s="109">
        <v>28</v>
      </c>
      <c r="CN81" s="112">
        <v>10</v>
      </c>
      <c r="CO81" s="112">
        <f t="shared" si="40"/>
        <v>1</v>
      </c>
      <c r="CP81" s="112">
        <f t="shared" ca="1" si="41"/>
        <v>5</v>
      </c>
    </row>
    <row r="82" spans="14:94">
      <c r="N82" s="35">
        <f t="shared" si="42"/>
        <v>0</v>
      </c>
      <c r="O82" s="35">
        <f t="shared" si="7"/>
        <v>10</v>
      </c>
      <c r="P82" s="35">
        <f t="shared" si="43"/>
        <v>2</v>
      </c>
      <c r="Q82" s="35">
        <f t="shared" si="8"/>
        <v>2</v>
      </c>
      <c r="R82" s="35">
        <f t="shared" si="44"/>
        <v>2</v>
      </c>
      <c r="AJ82" s="76">
        <v>29</v>
      </c>
      <c r="AK82" s="76" t="str">
        <f t="shared" ca="1" si="45"/>
        <v/>
      </c>
      <c r="AL82" s="76" t="str">
        <f t="shared" ca="1" si="46"/>
        <v/>
      </c>
      <c r="AM82" s="76"/>
      <c r="AN82" s="76"/>
      <c r="AO82" s="76" t="str">
        <f t="shared" ca="1" si="9"/>
        <v/>
      </c>
      <c r="AP82" s="76" t="str">
        <f t="shared" ca="1" si="10"/>
        <v/>
      </c>
      <c r="AQ82" s="76" t="str">
        <f t="shared" ca="1" si="11"/>
        <v/>
      </c>
      <c r="AR82" s="76">
        <f ca="1">COUNTIF($AQ$54:$AQ82,AR$53)</f>
        <v>0</v>
      </c>
      <c r="AS82" s="76">
        <f ca="1">COUNTIF($AQ$54:$AQ82,AS$53)</f>
        <v>0</v>
      </c>
      <c r="AT82" s="76">
        <f ca="1">COUNTIF($AQ$54:$AQ82,AT$53)</f>
        <v>0</v>
      </c>
      <c r="AU82" s="76" t="str">
        <f t="shared" ca="1" si="12"/>
        <v/>
      </c>
      <c r="AV82" s="76" t="str">
        <f t="shared" ca="1" si="13"/>
        <v/>
      </c>
      <c r="AW82" s="76" t="str">
        <f t="shared" ca="1" si="14"/>
        <v/>
      </c>
      <c r="AX82" s="76"/>
      <c r="AY82" s="76">
        <f t="shared" si="15"/>
        <v>29</v>
      </c>
      <c r="AZ82" s="76" t="str">
        <f t="shared" ca="1" si="16"/>
        <v/>
      </c>
      <c r="BA82" s="76" t="str">
        <f t="shared" ca="1" si="17"/>
        <v/>
      </c>
      <c r="BB82" s="76" t="str">
        <f ca="1">IF(AZ82="","",COUNTIF(BA$53:BA81,BA82))</f>
        <v/>
      </c>
      <c r="BC82" s="76" t="str">
        <f t="shared" ca="1" si="18"/>
        <v/>
      </c>
      <c r="BD82" s="76" t="str">
        <f ca="1">IF(AZ82="","",IF(BC82=0,0,MATCH(BA82,BA$54:BA82,0)))</f>
        <v/>
      </c>
      <c r="BE82" s="76" t="str">
        <f t="shared" ca="1" si="19"/>
        <v/>
      </c>
      <c r="BF82" s="76" t="str">
        <f t="shared" ca="1" si="20"/>
        <v/>
      </c>
      <c r="BG82" s="76" t="str">
        <f ca="1">IF(AZ82="","",COUNTIF(BF$54:BF82,BF82))</f>
        <v/>
      </c>
      <c r="BH82" s="76" t="str">
        <f t="shared" ca="1" si="21"/>
        <v/>
      </c>
      <c r="BI82" s="108" t="str">
        <f t="shared" ca="1" si="50"/>
        <v/>
      </c>
      <c r="BJ82" s="76">
        <f t="shared" si="51"/>
        <v>29</v>
      </c>
      <c r="BK82" s="76" t="str">
        <f t="shared" ca="1" si="23"/>
        <v/>
      </c>
      <c r="BL82" s="76" t="str">
        <f t="shared" ca="1" si="24"/>
        <v/>
      </c>
      <c r="BM82" s="76" t="str">
        <f ca="1">IF(BK82="","",COUNTIF(BL$53:BL81,BL82))</f>
        <v/>
      </c>
      <c r="BN82" s="76" t="str">
        <f t="shared" ca="1" si="25"/>
        <v/>
      </c>
      <c r="BO82" s="76" t="str">
        <f ca="1">IF(BK82="","",IF(BN82=0,0,MATCH(BL82,BL$54:BL82,0)))</f>
        <v/>
      </c>
      <c r="BP82" s="76" t="str">
        <f t="shared" ca="1" si="26"/>
        <v/>
      </c>
      <c r="BQ82" s="76" t="str">
        <f t="shared" ca="1" si="27"/>
        <v/>
      </c>
      <c r="BR82" s="76" t="str">
        <f ca="1">IF(BK82="","",COUNTIF(BQ$54:BQ82,BQ82))</f>
        <v/>
      </c>
      <c r="BS82" s="76" t="str">
        <f t="shared" ca="1" si="28"/>
        <v/>
      </c>
      <c r="BT82" s="108" t="str">
        <f t="shared" ca="1" si="29"/>
        <v/>
      </c>
      <c r="BU82" s="76">
        <f t="shared" si="52"/>
        <v>29</v>
      </c>
      <c r="BV82" s="76" t="str">
        <f t="shared" ca="1" si="30"/>
        <v/>
      </c>
      <c r="BW82" s="76" t="str">
        <f t="shared" ca="1" si="31"/>
        <v/>
      </c>
      <c r="BX82" s="76" t="str">
        <f ca="1">IF(BV82="","",COUNTIF(BW$53:BW81,BW82))</f>
        <v/>
      </c>
      <c r="BY82" s="76" t="str">
        <f t="shared" ca="1" si="32"/>
        <v/>
      </c>
      <c r="BZ82" s="76" t="str">
        <f ca="1">IF(BV82="","",IF(BY82=0,0,MATCH(BW82,BW$54:BW82,0)))</f>
        <v/>
      </c>
      <c r="CA82" s="76" t="str">
        <f t="shared" ca="1" si="33"/>
        <v/>
      </c>
      <c r="CB82" s="76" t="str">
        <f t="shared" ca="1" si="34"/>
        <v/>
      </c>
      <c r="CC82" s="76" t="str">
        <f ca="1">IF(BV82="","",COUNTIF(CB$54:CB82,CB82))</f>
        <v/>
      </c>
      <c r="CD82" s="76" t="str">
        <f t="shared" ca="1" si="35"/>
        <v/>
      </c>
      <c r="CE82" s="108" t="str">
        <f t="shared" ca="1" si="36"/>
        <v/>
      </c>
      <c r="CG82" s="109">
        <v>29</v>
      </c>
      <c r="CN82" s="112">
        <v>15</v>
      </c>
      <c r="CO82" s="112">
        <f t="shared" si="40"/>
        <v>1</v>
      </c>
      <c r="CP82" s="112">
        <f t="shared" ca="1" si="41"/>
        <v>8</v>
      </c>
    </row>
    <row r="83" spans="14:94">
      <c r="N83" s="35">
        <f t="shared" si="42"/>
        <v>0</v>
      </c>
      <c r="O83" s="35">
        <f t="shared" si="7"/>
        <v>10</v>
      </c>
      <c r="P83" s="35">
        <f t="shared" si="43"/>
        <v>1</v>
      </c>
      <c r="Q83" s="35">
        <f t="shared" si="8"/>
        <v>3</v>
      </c>
      <c r="R83" s="35">
        <f t="shared" si="44"/>
        <v>1</v>
      </c>
      <c r="AJ83" s="76">
        <v>30</v>
      </c>
      <c r="AK83" s="76" t="str">
        <f t="shared" ca="1" si="45"/>
        <v/>
      </c>
      <c r="AL83" s="76" t="str">
        <f t="shared" ca="1" si="46"/>
        <v/>
      </c>
      <c r="AM83" s="76"/>
      <c r="AN83" s="76"/>
      <c r="AO83" s="76" t="str">
        <f t="shared" ca="1" si="9"/>
        <v/>
      </c>
      <c r="AP83" s="76" t="str">
        <f t="shared" ca="1" si="10"/>
        <v/>
      </c>
      <c r="AQ83" s="76" t="str">
        <f t="shared" ca="1" si="11"/>
        <v/>
      </c>
      <c r="AR83" s="76">
        <f ca="1">COUNTIF($AQ$54:$AQ83,AR$53)</f>
        <v>0</v>
      </c>
      <c r="AS83" s="76">
        <f ca="1">COUNTIF($AQ$54:$AQ83,AS$53)</f>
        <v>0</v>
      </c>
      <c r="AT83" s="76">
        <f ca="1">COUNTIF($AQ$54:$AQ83,AT$53)</f>
        <v>0</v>
      </c>
      <c r="AU83" s="76" t="str">
        <f t="shared" ca="1" si="12"/>
        <v/>
      </c>
      <c r="AV83" s="76" t="str">
        <f t="shared" ca="1" si="13"/>
        <v/>
      </c>
      <c r="AW83" s="76" t="str">
        <f t="shared" ca="1" si="14"/>
        <v/>
      </c>
      <c r="AX83" s="76"/>
      <c r="AY83" s="76">
        <f t="shared" si="15"/>
        <v>30</v>
      </c>
      <c r="AZ83" s="76" t="str">
        <f t="shared" ca="1" si="16"/>
        <v/>
      </c>
      <c r="BA83" s="76" t="str">
        <f t="shared" ca="1" si="17"/>
        <v/>
      </c>
      <c r="BB83" s="76" t="str">
        <f ca="1">IF(AZ83="","",COUNTIF(BA$53:BA82,BA83))</f>
        <v/>
      </c>
      <c r="BC83" s="76" t="str">
        <f t="shared" ca="1" si="18"/>
        <v/>
      </c>
      <c r="BD83" s="76" t="str">
        <f ca="1">IF(AZ83="","",IF(BC83=0,0,MATCH(BA83,BA$54:BA83,0)))</f>
        <v/>
      </c>
      <c r="BE83" s="76" t="str">
        <f t="shared" ca="1" si="19"/>
        <v/>
      </c>
      <c r="BF83" s="76" t="str">
        <f t="shared" ca="1" si="20"/>
        <v/>
      </c>
      <c r="BG83" s="76" t="str">
        <f ca="1">IF(AZ83="","",COUNTIF(BF$54:BF83,BF83))</f>
        <v/>
      </c>
      <c r="BH83" s="76" t="str">
        <f t="shared" ca="1" si="21"/>
        <v/>
      </c>
      <c r="BI83" s="108" t="str">
        <f t="shared" ca="1" si="50"/>
        <v/>
      </c>
      <c r="BJ83" s="76">
        <f t="shared" si="51"/>
        <v>30</v>
      </c>
      <c r="BK83" s="76" t="str">
        <f t="shared" ca="1" si="23"/>
        <v/>
      </c>
      <c r="BL83" s="76" t="str">
        <f t="shared" ca="1" si="24"/>
        <v/>
      </c>
      <c r="BM83" s="76" t="str">
        <f ca="1">IF(BK83="","",COUNTIF(BL$53:BL82,BL83))</f>
        <v/>
      </c>
      <c r="BN83" s="76" t="str">
        <f t="shared" ca="1" si="25"/>
        <v/>
      </c>
      <c r="BO83" s="76" t="str">
        <f ca="1">IF(BK83="","",IF(BN83=0,0,MATCH(BL83,BL$54:BL83,0)))</f>
        <v/>
      </c>
      <c r="BP83" s="76" t="str">
        <f t="shared" ca="1" si="26"/>
        <v/>
      </c>
      <c r="BQ83" s="76" t="str">
        <f t="shared" ca="1" si="27"/>
        <v/>
      </c>
      <c r="BR83" s="76" t="str">
        <f ca="1">IF(BK83="","",COUNTIF(BQ$54:BQ83,BQ83))</f>
        <v/>
      </c>
      <c r="BS83" s="76" t="str">
        <f t="shared" ca="1" si="28"/>
        <v/>
      </c>
      <c r="BT83" s="108" t="str">
        <f t="shared" ca="1" si="29"/>
        <v/>
      </c>
      <c r="BU83" s="76">
        <f t="shared" si="52"/>
        <v>30</v>
      </c>
      <c r="BV83" s="76" t="str">
        <f t="shared" ca="1" si="30"/>
        <v/>
      </c>
      <c r="BW83" s="76" t="str">
        <f t="shared" ca="1" si="31"/>
        <v/>
      </c>
      <c r="BX83" s="76" t="str">
        <f ca="1">IF(BV83="","",COUNTIF(BW$53:BW82,BW83))</f>
        <v/>
      </c>
      <c r="BY83" s="76" t="str">
        <f t="shared" ca="1" si="32"/>
        <v/>
      </c>
      <c r="BZ83" s="76" t="str">
        <f ca="1">IF(BV83="","",IF(BY83=0,0,MATCH(BW83,BW$54:BW83,0)))</f>
        <v/>
      </c>
      <c r="CA83" s="76" t="str">
        <f t="shared" ca="1" si="33"/>
        <v/>
      </c>
      <c r="CB83" s="76" t="str">
        <f t="shared" ca="1" si="34"/>
        <v/>
      </c>
      <c r="CC83" s="76" t="str">
        <f ca="1">IF(BV83="","",COUNTIF(CB$54:CB83,CB83))</f>
        <v/>
      </c>
      <c r="CD83" s="76" t="str">
        <f t="shared" ca="1" si="35"/>
        <v/>
      </c>
      <c r="CE83" s="108" t="str">
        <f t="shared" ca="1" si="36"/>
        <v/>
      </c>
      <c r="CG83" s="109">
        <v>30</v>
      </c>
      <c r="CN83" s="112">
        <v>18</v>
      </c>
      <c r="CO83" s="112">
        <f t="shared" si="40"/>
        <v>1</v>
      </c>
      <c r="CP83" s="112">
        <f t="shared" ca="1" si="41"/>
        <v>9</v>
      </c>
    </row>
    <row r="84" spans="14:94">
      <c r="N84" s="35">
        <f t="shared" si="42"/>
        <v>1</v>
      </c>
      <c r="O84" s="35">
        <f t="shared" si="7"/>
        <v>11</v>
      </c>
      <c r="P84" s="35">
        <f t="shared" si="43"/>
        <v>1</v>
      </c>
      <c r="Q84" s="35">
        <f t="shared" si="8"/>
        <v>1</v>
      </c>
      <c r="R84" s="35">
        <f t="shared" si="44"/>
        <v>1</v>
      </c>
      <c r="AJ84" s="76">
        <v>31</v>
      </c>
      <c r="AK84" s="76" t="str">
        <f t="shared" ca="1" si="45"/>
        <v/>
      </c>
      <c r="AL84" s="76" t="str">
        <f t="shared" ca="1" si="46"/>
        <v/>
      </c>
      <c r="AM84" s="76"/>
      <c r="AN84" s="76"/>
      <c r="AO84" s="76" t="str">
        <f t="shared" ca="1" si="9"/>
        <v/>
      </c>
      <c r="AP84" s="76" t="str">
        <f t="shared" ca="1" si="10"/>
        <v/>
      </c>
      <c r="AQ84" s="76" t="str">
        <f t="shared" ca="1" si="11"/>
        <v/>
      </c>
      <c r="AR84" s="76">
        <f ca="1">COUNTIF($AQ$54:$AQ84,AR$53)</f>
        <v>0</v>
      </c>
      <c r="AS84" s="76">
        <f ca="1">COUNTIF($AQ$54:$AQ84,AS$53)</f>
        <v>0</v>
      </c>
      <c r="AT84" s="76">
        <f ca="1">COUNTIF($AQ$54:$AQ84,AT$53)</f>
        <v>0</v>
      </c>
      <c r="AU84" s="76" t="str">
        <f t="shared" ca="1" si="12"/>
        <v/>
      </c>
      <c r="AV84" s="76" t="str">
        <f t="shared" ca="1" si="13"/>
        <v/>
      </c>
      <c r="AW84" s="76" t="str">
        <f t="shared" ca="1" si="14"/>
        <v/>
      </c>
      <c r="AX84" s="76"/>
      <c r="AY84" s="76">
        <f t="shared" si="15"/>
        <v>31</v>
      </c>
      <c r="AZ84" s="76" t="str">
        <f t="shared" ca="1" si="16"/>
        <v/>
      </c>
      <c r="BA84" s="76" t="str">
        <f t="shared" ca="1" si="17"/>
        <v/>
      </c>
      <c r="BB84" s="76" t="str">
        <f ca="1">IF(AZ84="","",COUNTIF(BA$53:BA83,BA84))</f>
        <v/>
      </c>
      <c r="BC84" s="76" t="str">
        <f t="shared" ca="1" si="18"/>
        <v/>
      </c>
      <c r="BD84" s="76" t="str">
        <f ca="1">IF(AZ84="","",IF(BC84=0,0,MATCH(BA84,BA$54:BA84,0)))</f>
        <v/>
      </c>
      <c r="BE84" s="76" t="str">
        <f t="shared" ca="1" si="19"/>
        <v/>
      </c>
      <c r="BF84" s="76" t="str">
        <f t="shared" ca="1" si="20"/>
        <v/>
      </c>
      <c r="BG84" s="76" t="str">
        <f ca="1">IF(AZ84="","",COUNTIF(BF$54:BF84,BF84))</f>
        <v/>
      </c>
      <c r="BH84" s="76" t="str">
        <f t="shared" ca="1" si="21"/>
        <v/>
      </c>
      <c r="BI84" s="108" t="str">
        <f t="shared" ca="1" si="50"/>
        <v/>
      </c>
      <c r="BJ84" s="76">
        <f t="shared" si="51"/>
        <v>31</v>
      </c>
      <c r="BK84" s="76" t="str">
        <f t="shared" ca="1" si="23"/>
        <v/>
      </c>
      <c r="BL84" s="76" t="str">
        <f t="shared" ca="1" si="24"/>
        <v/>
      </c>
      <c r="BM84" s="76" t="str">
        <f ca="1">IF(BK84="","",COUNTIF(BL$53:BL83,BL84))</f>
        <v/>
      </c>
      <c r="BN84" s="76" t="str">
        <f t="shared" ca="1" si="25"/>
        <v/>
      </c>
      <c r="BO84" s="76" t="str">
        <f ca="1">IF(BK84="","",IF(BN84=0,0,MATCH(BL84,BL$54:BL84,0)))</f>
        <v/>
      </c>
      <c r="BP84" s="76" t="str">
        <f t="shared" ca="1" si="26"/>
        <v/>
      </c>
      <c r="BQ84" s="76" t="str">
        <f t="shared" ca="1" si="27"/>
        <v/>
      </c>
      <c r="BR84" s="76" t="str">
        <f ca="1">IF(BK84="","",COUNTIF(BQ$54:BQ84,BQ84))</f>
        <v/>
      </c>
      <c r="BS84" s="76" t="str">
        <f t="shared" ca="1" si="28"/>
        <v/>
      </c>
      <c r="BT84" s="108" t="str">
        <f t="shared" ca="1" si="29"/>
        <v/>
      </c>
      <c r="BU84" s="76">
        <f t="shared" si="52"/>
        <v>31</v>
      </c>
      <c r="BV84" s="76" t="str">
        <f t="shared" ca="1" si="30"/>
        <v/>
      </c>
      <c r="BW84" s="76" t="str">
        <f t="shared" ca="1" si="31"/>
        <v/>
      </c>
      <c r="BX84" s="76" t="str">
        <f ca="1">IF(BV84="","",COUNTIF(BW$53:BW83,BW84))</f>
        <v/>
      </c>
      <c r="BY84" s="76" t="str">
        <f t="shared" ca="1" si="32"/>
        <v/>
      </c>
      <c r="BZ84" s="76" t="str">
        <f ca="1">IF(BV84="","",IF(BY84=0,0,MATCH(BW84,BW$54:BW84,0)))</f>
        <v/>
      </c>
      <c r="CA84" s="76" t="str">
        <f t="shared" ca="1" si="33"/>
        <v/>
      </c>
      <c r="CB84" s="76" t="str">
        <f t="shared" ca="1" si="34"/>
        <v/>
      </c>
      <c r="CC84" s="76" t="str">
        <f ca="1">IF(BV84="","",COUNTIF(CB$54:CB84,CB84))</f>
        <v/>
      </c>
      <c r="CD84" s="76" t="str">
        <f t="shared" ca="1" si="35"/>
        <v/>
      </c>
      <c r="CE84" s="108" t="str">
        <f t="shared" ca="1" si="36"/>
        <v/>
      </c>
      <c r="CG84" s="109">
        <v>31</v>
      </c>
      <c r="CN84" s="112">
        <v>31</v>
      </c>
      <c r="CO84" s="112">
        <f t="shared" si="40"/>
        <v>1</v>
      </c>
      <c r="CP84" s="112">
        <f t="shared" ca="1" si="41"/>
        <v>16</v>
      </c>
    </row>
    <row r="85" spans="14:94">
      <c r="N85" s="35">
        <f t="shared" si="42"/>
        <v>1</v>
      </c>
      <c r="O85" s="35">
        <f t="shared" si="7"/>
        <v>11</v>
      </c>
      <c r="P85" s="35">
        <f t="shared" si="43"/>
        <v>2</v>
      </c>
      <c r="Q85" s="35">
        <f t="shared" si="8"/>
        <v>2</v>
      </c>
      <c r="R85" s="35">
        <f t="shared" si="44"/>
        <v>2</v>
      </c>
      <c r="AJ85" s="76">
        <v>32</v>
      </c>
      <c r="AK85" s="76" t="str">
        <f t="shared" ca="1" si="45"/>
        <v/>
      </c>
      <c r="AL85" s="76" t="str">
        <f t="shared" ca="1" si="46"/>
        <v/>
      </c>
      <c r="AM85" s="76"/>
      <c r="AN85" s="76"/>
      <c r="AO85" s="76" t="str">
        <f t="shared" ca="1" si="9"/>
        <v/>
      </c>
      <c r="AP85" s="76" t="str">
        <f t="shared" ca="1" si="10"/>
        <v/>
      </c>
      <c r="AQ85" s="76" t="str">
        <f t="shared" ca="1" si="11"/>
        <v/>
      </c>
      <c r="AR85" s="76">
        <f ca="1">COUNTIF($AQ$54:$AQ85,AR$53)</f>
        <v>0</v>
      </c>
      <c r="AS85" s="76">
        <f ca="1">COUNTIF($AQ$54:$AQ85,AS$53)</f>
        <v>0</v>
      </c>
      <c r="AT85" s="76">
        <f ca="1">COUNTIF($AQ$54:$AQ85,AT$53)</f>
        <v>0</v>
      </c>
      <c r="AU85" s="76" t="str">
        <f t="shared" ca="1" si="12"/>
        <v/>
      </c>
      <c r="AV85" s="76" t="str">
        <f t="shared" ca="1" si="13"/>
        <v/>
      </c>
      <c r="AW85" s="76" t="str">
        <f t="shared" ca="1" si="14"/>
        <v/>
      </c>
      <c r="AX85" s="76"/>
      <c r="AY85" s="76">
        <f t="shared" si="15"/>
        <v>32</v>
      </c>
      <c r="AZ85" s="76" t="str">
        <f t="shared" ca="1" si="16"/>
        <v/>
      </c>
      <c r="BA85" s="76" t="str">
        <f t="shared" ca="1" si="17"/>
        <v/>
      </c>
      <c r="BB85" s="76" t="str">
        <f ca="1">IF(AZ85="","",COUNTIF(BA$53:BA84,BA85))</f>
        <v/>
      </c>
      <c r="BC85" s="76" t="str">
        <f t="shared" ca="1" si="18"/>
        <v/>
      </c>
      <c r="BD85" s="76" t="str">
        <f ca="1">IF(AZ85="","",IF(BC85=0,0,MATCH(BA85,BA$54:BA85,0)))</f>
        <v/>
      </c>
      <c r="BE85" s="76" t="str">
        <f t="shared" ca="1" si="19"/>
        <v/>
      </c>
      <c r="BF85" s="76" t="str">
        <f t="shared" ca="1" si="20"/>
        <v/>
      </c>
      <c r="BG85" s="76" t="str">
        <f ca="1">IF(AZ85="","",COUNTIF(BF$54:BF85,BF85))</f>
        <v/>
      </c>
      <c r="BH85" s="76" t="str">
        <f t="shared" ca="1" si="21"/>
        <v/>
      </c>
      <c r="BI85" s="108" t="str">
        <f t="shared" ca="1" si="50"/>
        <v/>
      </c>
      <c r="BJ85" s="76">
        <f t="shared" si="51"/>
        <v>32</v>
      </c>
      <c r="BK85" s="76" t="str">
        <f t="shared" ca="1" si="23"/>
        <v/>
      </c>
      <c r="BL85" s="76" t="str">
        <f t="shared" ca="1" si="24"/>
        <v/>
      </c>
      <c r="BM85" s="76" t="str">
        <f ca="1">IF(BK85="","",COUNTIF(BL$53:BL84,BL85))</f>
        <v/>
      </c>
      <c r="BN85" s="76" t="str">
        <f t="shared" ca="1" si="25"/>
        <v/>
      </c>
      <c r="BO85" s="76" t="str">
        <f ca="1">IF(BK85="","",IF(BN85=0,0,MATCH(BL85,BL$54:BL85,0)))</f>
        <v/>
      </c>
      <c r="BP85" s="76" t="str">
        <f t="shared" ca="1" si="26"/>
        <v/>
      </c>
      <c r="BQ85" s="76" t="str">
        <f t="shared" ca="1" si="27"/>
        <v/>
      </c>
      <c r="BR85" s="76" t="str">
        <f ca="1">IF(BK85="","",COUNTIF(BQ$54:BQ85,BQ85))</f>
        <v/>
      </c>
      <c r="BS85" s="76" t="str">
        <f t="shared" ca="1" si="28"/>
        <v/>
      </c>
      <c r="BT85" s="108" t="str">
        <f t="shared" ca="1" si="29"/>
        <v/>
      </c>
      <c r="BU85" s="76">
        <f t="shared" si="52"/>
        <v>32</v>
      </c>
      <c r="BV85" s="76" t="str">
        <f t="shared" ca="1" si="30"/>
        <v/>
      </c>
      <c r="BW85" s="76" t="str">
        <f t="shared" ca="1" si="31"/>
        <v/>
      </c>
      <c r="BX85" s="76" t="str">
        <f ca="1">IF(BV85="","",COUNTIF(BW$53:BW84,BW85))</f>
        <v/>
      </c>
      <c r="BY85" s="76" t="str">
        <f t="shared" ca="1" si="32"/>
        <v/>
      </c>
      <c r="BZ85" s="76" t="str">
        <f ca="1">IF(BV85="","",IF(BY85=0,0,MATCH(BW85,BW$54:BW85,0)))</f>
        <v/>
      </c>
      <c r="CA85" s="76" t="str">
        <f t="shared" ca="1" si="33"/>
        <v/>
      </c>
      <c r="CB85" s="76" t="str">
        <f t="shared" ca="1" si="34"/>
        <v/>
      </c>
      <c r="CC85" s="76" t="str">
        <f ca="1">IF(BV85="","",COUNTIF(CB$54:CB85,CB85))</f>
        <v/>
      </c>
      <c r="CD85" s="76" t="str">
        <f t="shared" ca="1" si="35"/>
        <v/>
      </c>
      <c r="CE85" s="108" t="str">
        <f t="shared" ca="1" si="36"/>
        <v/>
      </c>
      <c r="CG85" s="109">
        <v>32</v>
      </c>
      <c r="CN85" s="112">
        <v>2</v>
      </c>
      <c r="CO85" s="112">
        <f t="shared" si="40"/>
        <v>1</v>
      </c>
      <c r="CP85" s="112">
        <f t="shared" ca="1" si="41"/>
        <v>1</v>
      </c>
    </row>
    <row r="86" spans="14:94">
      <c r="N86" s="35">
        <f t="shared" si="42"/>
        <v>1</v>
      </c>
      <c r="O86" s="35">
        <f t="shared" ref="O86:O117" si="53">INT((AJ86-1)/$AL$3)+1</f>
        <v>11</v>
      </c>
      <c r="P86" s="35">
        <f t="shared" si="43"/>
        <v>3</v>
      </c>
      <c r="Q86" s="35">
        <f t="shared" ref="Q86:Q117" si="54">MOD(AJ86-1,$AL$3)+1</f>
        <v>3</v>
      </c>
      <c r="R86" s="35">
        <f t="shared" si="44"/>
        <v>3</v>
      </c>
      <c r="AJ86" s="76">
        <v>33</v>
      </c>
      <c r="AK86" s="76" t="str">
        <f t="shared" ca="1" si="45"/>
        <v/>
      </c>
      <c r="AL86" s="76" t="str">
        <f t="shared" ca="1" si="46"/>
        <v/>
      </c>
      <c r="AM86" s="76"/>
      <c r="AN86" s="76"/>
      <c r="AO86" s="76" t="str">
        <f t="shared" ref="AO86:AO117" ca="1" si="55">IF(AK86="","",IF(AJ86&lt;=$AL$7,1,IF(AJ86&lt;=$AL$7+$AL$8,2,3)))</f>
        <v/>
      </c>
      <c r="AP86" s="76" t="str">
        <f t="shared" ref="AP86:AP117" ca="1" si="56">IF(AK86="","",IF(ISNA(MATCH(AK86,$AK$12:$AK$21,0)),1,0))</f>
        <v/>
      </c>
      <c r="AQ86" s="76" t="str">
        <f t="shared" ref="AQ86:AQ117" ca="1" si="57">IF(AK86="","",IF(ISNA(MATCH(AK86,$AK$23:$AK$32,0)),AO86*AP86,1))</f>
        <v/>
      </c>
      <c r="AR86" s="76">
        <f ca="1">COUNTIF($AQ$54:$AQ86,AR$53)</f>
        <v>0</v>
      </c>
      <c r="AS86" s="76">
        <f ca="1">COUNTIF($AQ$54:$AQ86,AS$53)</f>
        <v>0</v>
      </c>
      <c r="AT86" s="76">
        <f ca="1">COUNTIF($AQ$54:$AQ86,AT$53)</f>
        <v>0</v>
      </c>
      <c r="AU86" s="76" t="str">
        <f t="shared" ref="AU86:AU117" ca="1" si="58">IF(ISNA(MATCH(AY86,$AR$54:$AR$153,0)),"",MATCH(AY86,$AR$54:$AR$153,0))</f>
        <v/>
      </c>
      <c r="AV86" s="76" t="str">
        <f t="shared" ref="AV86:AV117" ca="1" si="59">IF(ISNA(MATCH(BJ86,$AS$54:$AS$153,0)),"",MATCH(BJ86,$AS$54:$AS$153,0))</f>
        <v/>
      </c>
      <c r="AW86" s="76" t="str">
        <f t="shared" ref="AW86:AW117" ca="1" si="60">IF(ISNA(MATCH(BU86,$AT$54:$AT$153,0)),"",MATCH(BU86,$AT$54:$AT$153,0))</f>
        <v/>
      </c>
      <c r="AX86" s="76"/>
      <c r="AY86" s="76">
        <f t="shared" ref="AY86:AY117" si="61">AJ86</f>
        <v>33</v>
      </c>
      <c r="AZ86" s="76" t="str">
        <f t="shared" ref="AZ86:AZ117" ca="1" si="62">IF($AU86="","",OFFSET(AK$53,$AU86,0))</f>
        <v/>
      </c>
      <c r="BA86" s="76" t="str">
        <f t="shared" ref="BA86:BA117" ca="1" si="63">IF($AU86="","",OFFSET(AL$53,$AU86,0))</f>
        <v/>
      </c>
      <c r="BB86" s="76" t="str">
        <f ca="1">IF(AZ86="","",COUNTIF(BA$53:BA85,BA86))</f>
        <v/>
      </c>
      <c r="BC86" s="76" t="str">
        <f t="shared" ref="BC86:BC117" ca="1" si="64">IF(AZ86="","",IF(BB86=1,1,0))</f>
        <v/>
      </c>
      <c r="BD86" s="76" t="str">
        <f ca="1">IF(AZ86="","",IF(BC86=0,0,MATCH(BA86,BA$54:BA86,0)))</f>
        <v/>
      </c>
      <c r="BE86" s="76" t="str">
        <f t="shared" ref="BE86:BE117" ca="1" si="65">IF(AZ86="","",OFFSET($CG$53,MATCH(AY86,OFFSET($CG$53,1,AY$52,AY$53),0),1+AY$52))</f>
        <v/>
      </c>
      <c r="BF86" s="76" t="str">
        <f t="shared" ref="BF86:BF117" ca="1" si="66">IF(AZ86="","",IF(BC86=0,BE86,1-OFFSET(BE$53,BD86,0)))</f>
        <v/>
      </c>
      <c r="BG86" s="76" t="str">
        <f ca="1">IF(AZ86="","",COUNTIF(BF$54:BF86,BF86))</f>
        <v/>
      </c>
      <c r="BH86" s="76" t="str">
        <f t="shared" ref="BH86:BH117" ca="1" si="67">IF(AZ86="","",MATCH(BG86,OFFSET($CG$53,1+BF86*BH$51,BH$52,BH$51),0))</f>
        <v/>
      </c>
      <c r="BI86" s="76" t="str">
        <f t="shared" ref="BI86:BI117" ca="1" si="68">IF(AZ86="","",OFFSET($CG$53,BH86+BF86*BH$51,AY$52))</f>
        <v/>
      </c>
      <c r="BJ86" s="76">
        <f t="shared" si="51"/>
        <v>33</v>
      </c>
      <c r="BK86" s="76" t="str">
        <f t="shared" ref="BK86:BK117" ca="1" si="69">IF($AV86="","",OFFSET(AK$53,$AV86,0))</f>
        <v/>
      </c>
      <c r="BL86" s="76" t="str">
        <f t="shared" ref="BL86:BL117" ca="1" si="70">IF($AV86="","",OFFSET(AL$53,$AV86,0))</f>
        <v/>
      </c>
      <c r="BM86" s="76" t="str">
        <f ca="1">IF(BK86="","",COUNTIF(BL$53:BL85,BL86))</f>
        <v/>
      </c>
      <c r="BN86" s="76" t="str">
        <f t="shared" ref="BN86:BN117" ca="1" si="71">IF(BK86="","",IF(BM86=1,1,0))</f>
        <v/>
      </c>
      <c r="BO86" s="76" t="str">
        <f ca="1">IF(BK86="","",IF(BN86=0,0,MATCH(BL86,BL$54:BL86,0)))</f>
        <v/>
      </c>
      <c r="BP86" s="76" t="str">
        <f t="shared" ref="BP86:BP117" ca="1" si="72">IF(BK86="","",OFFSET($CG$53,MATCH(BJ86,OFFSET($CG$53,1,BJ$52,BJ$53),0),1+BJ$52))</f>
        <v/>
      </c>
      <c r="BQ86" s="76" t="str">
        <f t="shared" ref="BQ86:BQ117" ca="1" si="73">IF(BK86="","",IF(BN86=0,BP86,1-OFFSET(BP$53,BO86,0)))</f>
        <v/>
      </c>
      <c r="BR86" s="76" t="str">
        <f ca="1">IF(BK86="","",COUNTIF(BQ$54:BQ86,BQ86))</f>
        <v/>
      </c>
      <c r="BS86" s="76" t="str">
        <f t="shared" ref="BS86:BS117" ca="1" si="74">IF(BK86="","",MATCH(BR86,OFFSET($CG$53,1+BQ86*BS$51,BS$52,BS$51),0))</f>
        <v/>
      </c>
      <c r="BT86" s="76" t="str">
        <f t="shared" ref="BT86:BT117" ca="1" si="75">IF(BK86="","",OFFSET($CG$53,BS86+BQ86*BS$51,BJ$52))</f>
        <v/>
      </c>
      <c r="BU86" s="76">
        <f t="shared" si="52"/>
        <v>33</v>
      </c>
      <c r="BV86" s="76" t="str">
        <f t="shared" ref="BV86:BV117" ca="1" si="76">IF($AW86="","",OFFSET(AK$53,$AW86,0))</f>
        <v/>
      </c>
      <c r="BW86" s="76" t="str">
        <f t="shared" ref="BW86:BW117" ca="1" si="77">IF($AW86="","",OFFSET(AL$53,$AW86,0))</f>
        <v/>
      </c>
      <c r="BX86" s="76" t="str">
        <f ca="1">IF(BV86="","",COUNTIF(BW$53:BW85,BW86))</f>
        <v/>
      </c>
      <c r="BY86" s="76" t="str">
        <f t="shared" ref="BY86:BY117" ca="1" si="78">IF(BV86="","",IF(BX86=1,1,0))</f>
        <v/>
      </c>
      <c r="BZ86" s="76" t="str">
        <f ca="1">IF(BV86="","",IF(BY86=0,0,MATCH(BW86,BW$54:BW86,0)))</f>
        <v/>
      </c>
      <c r="CA86" s="76" t="str">
        <f t="shared" ref="CA86:CA117" ca="1" si="79">IF(BV86="","",OFFSET($CG$53,MATCH(BU86,OFFSET($CG$53,1,BU$52,BU$53),0),1+BU$52))</f>
        <v/>
      </c>
      <c r="CB86" s="76" t="str">
        <f t="shared" ref="CB86:CB117" ca="1" si="80">IF(BV86="","",IF(BY86=0,CA86,1-OFFSET(CA$53,BZ86,0)))</f>
        <v/>
      </c>
      <c r="CC86" s="76" t="str">
        <f ca="1">IF(BV86="","",COUNTIF(CB$54:CB86,CB86))</f>
        <v/>
      </c>
      <c r="CD86" s="76" t="str">
        <f t="shared" ref="CD86:CD117" ca="1" si="81">IF(BV86="","",MATCH(CC86,OFFSET($CG$53,1+CB86*CD$51,CD$52,CD$51),0))</f>
        <v/>
      </c>
      <c r="CE86" s="76" t="str">
        <f t="shared" ref="CE86:CE117" ca="1" si="82">IF(BV86="","",OFFSET($CG$53,CD86+CB86*CD$51,BU$52))</f>
        <v/>
      </c>
    </row>
    <row r="87" spans="14:94">
      <c r="N87" s="35">
        <f t="shared" si="42"/>
        <v>0</v>
      </c>
      <c r="O87" s="35">
        <f t="shared" si="53"/>
        <v>12</v>
      </c>
      <c r="P87" s="35">
        <f t="shared" si="43"/>
        <v>3</v>
      </c>
      <c r="Q87" s="35">
        <f t="shared" si="54"/>
        <v>1</v>
      </c>
      <c r="R87" s="35">
        <f t="shared" si="44"/>
        <v>3</v>
      </c>
      <c r="AJ87" s="76">
        <v>34</v>
      </c>
      <c r="AK87" s="76" t="str">
        <f t="shared" ca="1" si="45"/>
        <v/>
      </c>
      <c r="AL87" s="76" t="str">
        <f t="shared" ca="1" si="46"/>
        <v/>
      </c>
      <c r="AM87" s="76"/>
      <c r="AN87" s="76"/>
      <c r="AO87" s="76" t="str">
        <f t="shared" ca="1" si="55"/>
        <v/>
      </c>
      <c r="AP87" s="76" t="str">
        <f t="shared" ca="1" si="56"/>
        <v/>
      </c>
      <c r="AQ87" s="76" t="str">
        <f t="shared" ca="1" si="57"/>
        <v/>
      </c>
      <c r="AR87" s="76">
        <f ca="1">COUNTIF($AQ$54:$AQ87,AR$53)</f>
        <v>0</v>
      </c>
      <c r="AS87" s="76">
        <f ca="1">COUNTIF($AQ$54:$AQ87,AS$53)</f>
        <v>0</v>
      </c>
      <c r="AT87" s="76">
        <f ca="1">COUNTIF($AQ$54:$AQ87,AT$53)</f>
        <v>0</v>
      </c>
      <c r="AU87" s="76" t="str">
        <f t="shared" ca="1" si="58"/>
        <v/>
      </c>
      <c r="AV87" s="76" t="str">
        <f t="shared" ca="1" si="59"/>
        <v/>
      </c>
      <c r="AW87" s="76" t="str">
        <f t="shared" ca="1" si="60"/>
        <v/>
      </c>
      <c r="AX87" s="76"/>
      <c r="AY87" s="76">
        <f t="shared" si="61"/>
        <v>34</v>
      </c>
      <c r="AZ87" s="76" t="str">
        <f t="shared" ca="1" si="62"/>
        <v/>
      </c>
      <c r="BA87" s="76" t="str">
        <f t="shared" ca="1" si="63"/>
        <v/>
      </c>
      <c r="BB87" s="76" t="str">
        <f ca="1">IF(AZ87="","",COUNTIF(BA$53:BA86,BA87))</f>
        <v/>
      </c>
      <c r="BC87" s="76" t="str">
        <f t="shared" ca="1" si="64"/>
        <v/>
      </c>
      <c r="BD87" s="76" t="str">
        <f ca="1">IF(AZ87="","",IF(BC87=0,0,MATCH(BA87,BA$54:BA87,0)))</f>
        <v/>
      </c>
      <c r="BE87" s="76" t="str">
        <f t="shared" ca="1" si="65"/>
        <v/>
      </c>
      <c r="BF87" s="76" t="str">
        <f t="shared" ca="1" si="66"/>
        <v/>
      </c>
      <c r="BG87" s="76" t="str">
        <f ca="1">IF(AZ87="","",COUNTIF(BF$54:BF87,BF87))</f>
        <v/>
      </c>
      <c r="BH87" s="76" t="str">
        <f t="shared" ca="1" si="67"/>
        <v/>
      </c>
      <c r="BI87" s="76" t="str">
        <f t="shared" ca="1" si="68"/>
        <v/>
      </c>
      <c r="BJ87" s="76">
        <f t="shared" si="51"/>
        <v>34</v>
      </c>
      <c r="BK87" s="76" t="str">
        <f t="shared" ca="1" si="69"/>
        <v/>
      </c>
      <c r="BL87" s="76" t="str">
        <f t="shared" ca="1" si="70"/>
        <v/>
      </c>
      <c r="BM87" s="76" t="str">
        <f ca="1">IF(BK87="","",COUNTIF(BL$53:BL86,BL87))</f>
        <v/>
      </c>
      <c r="BN87" s="76" t="str">
        <f t="shared" ca="1" si="71"/>
        <v/>
      </c>
      <c r="BO87" s="76" t="str">
        <f ca="1">IF(BK87="","",IF(BN87=0,0,MATCH(BL87,BL$54:BL87,0)))</f>
        <v/>
      </c>
      <c r="BP87" s="76" t="str">
        <f t="shared" ca="1" si="72"/>
        <v/>
      </c>
      <c r="BQ87" s="76" t="str">
        <f t="shared" ca="1" si="73"/>
        <v/>
      </c>
      <c r="BR87" s="76" t="str">
        <f ca="1">IF(BK87="","",COUNTIF(BQ$54:BQ87,BQ87))</f>
        <v/>
      </c>
      <c r="BS87" s="76" t="str">
        <f t="shared" ca="1" si="74"/>
        <v/>
      </c>
      <c r="BT87" s="76" t="str">
        <f t="shared" ca="1" si="75"/>
        <v/>
      </c>
      <c r="BU87" s="76">
        <f t="shared" si="52"/>
        <v>34</v>
      </c>
      <c r="BV87" s="76" t="str">
        <f t="shared" ca="1" si="76"/>
        <v/>
      </c>
      <c r="BW87" s="76" t="str">
        <f t="shared" ca="1" si="77"/>
        <v/>
      </c>
      <c r="BX87" s="76" t="str">
        <f ca="1">IF(BV87="","",COUNTIF(BW$53:BW86,BW87))</f>
        <v/>
      </c>
      <c r="BY87" s="76" t="str">
        <f t="shared" ca="1" si="78"/>
        <v/>
      </c>
      <c r="BZ87" s="76" t="str">
        <f ca="1">IF(BV87="","",IF(BY87=0,0,MATCH(BW87,BW$54:BW87,0)))</f>
        <v/>
      </c>
      <c r="CA87" s="76" t="str">
        <f t="shared" ca="1" si="79"/>
        <v/>
      </c>
      <c r="CB87" s="76" t="str">
        <f t="shared" ca="1" si="80"/>
        <v/>
      </c>
      <c r="CC87" s="76" t="str">
        <f ca="1">IF(BV87="","",COUNTIF(CB$54:CB87,CB87))</f>
        <v/>
      </c>
      <c r="CD87" s="76" t="str">
        <f t="shared" ca="1" si="81"/>
        <v/>
      </c>
      <c r="CE87" s="76" t="str">
        <f t="shared" ca="1" si="82"/>
        <v/>
      </c>
    </row>
    <row r="88" spans="14:94">
      <c r="N88" s="35">
        <f t="shared" si="42"/>
        <v>0</v>
      </c>
      <c r="O88" s="35">
        <f t="shared" si="53"/>
        <v>12</v>
      </c>
      <c r="P88" s="35">
        <f t="shared" si="43"/>
        <v>2</v>
      </c>
      <c r="Q88" s="35">
        <f t="shared" si="54"/>
        <v>2</v>
      </c>
      <c r="R88" s="35">
        <f t="shared" si="44"/>
        <v>2</v>
      </c>
      <c r="AJ88" s="76">
        <v>35</v>
      </c>
      <c r="AK88" s="76" t="str">
        <f t="shared" ca="1" si="45"/>
        <v/>
      </c>
      <c r="AL88" s="76" t="str">
        <f t="shared" ca="1" si="46"/>
        <v/>
      </c>
      <c r="AM88" s="76"/>
      <c r="AN88" s="76"/>
      <c r="AO88" s="76" t="str">
        <f t="shared" ca="1" si="55"/>
        <v/>
      </c>
      <c r="AP88" s="76" t="str">
        <f t="shared" ca="1" si="56"/>
        <v/>
      </c>
      <c r="AQ88" s="76" t="str">
        <f t="shared" ca="1" si="57"/>
        <v/>
      </c>
      <c r="AR88" s="76">
        <f ca="1">COUNTIF($AQ$54:$AQ88,AR$53)</f>
        <v>0</v>
      </c>
      <c r="AS88" s="76">
        <f ca="1">COUNTIF($AQ$54:$AQ88,AS$53)</f>
        <v>0</v>
      </c>
      <c r="AT88" s="76">
        <f ca="1">COUNTIF($AQ$54:$AQ88,AT$53)</f>
        <v>0</v>
      </c>
      <c r="AU88" s="76" t="str">
        <f t="shared" ca="1" si="58"/>
        <v/>
      </c>
      <c r="AV88" s="76" t="str">
        <f t="shared" ca="1" si="59"/>
        <v/>
      </c>
      <c r="AW88" s="76" t="str">
        <f t="shared" ca="1" si="60"/>
        <v/>
      </c>
      <c r="AX88" s="76"/>
      <c r="AY88" s="76">
        <f t="shared" si="61"/>
        <v>35</v>
      </c>
      <c r="AZ88" s="76" t="str">
        <f t="shared" ca="1" si="62"/>
        <v/>
      </c>
      <c r="BA88" s="76" t="str">
        <f t="shared" ca="1" si="63"/>
        <v/>
      </c>
      <c r="BB88" s="76" t="str">
        <f ca="1">IF(AZ88="","",COUNTIF(BA$53:BA87,BA88))</f>
        <v/>
      </c>
      <c r="BC88" s="76" t="str">
        <f t="shared" ca="1" si="64"/>
        <v/>
      </c>
      <c r="BD88" s="76" t="str">
        <f ca="1">IF(AZ88="","",IF(BC88=0,0,MATCH(BA88,BA$54:BA88,0)))</f>
        <v/>
      </c>
      <c r="BE88" s="76" t="str">
        <f t="shared" ca="1" si="65"/>
        <v/>
      </c>
      <c r="BF88" s="76" t="str">
        <f t="shared" ca="1" si="66"/>
        <v/>
      </c>
      <c r="BG88" s="76" t="str">
        <f ca="1">IF(AZ88="","",COUNTIF(BF$54:BF88,BF88))</f>
        <v/>
      </c>
      <c r="BH88" s="76" t="str">
        <f t="shared" ca="1" si="67"/>
        <v/>
      </c>
      <c r="BI88" s="76" t="str">
        <f t="shared" ca="1" si="68"/>
        <v/>
      </c>
      <c r="BJ88" s="76">
        <f t="shared" si="51"/>
        <v>35</v>
      </c>
      <c r="BK88" s="76" t="str">
        <f t="shared" ca="1" si="69"/>
        <v/>
      </c>
      <c r="BL88" s="76" t="str">
        <f t="shared" ca="1" si="70"/>
        <v/>
      </c>
      <c r="BM88" s="76" t="str">
        <f ca="1">IF(BK88="","",COUNTIF(BL$53:BL87,BL88))</f>
        <v/>
      </c>
      <c r="BN88" s="76" t="str">
        <f t="shared" ca="1" si="71"/>
        <v/>
      </c>
      <c r="BO88" s="76" t="str">
        <f ca="1">IF(BK88="","",IF(BN88=0,0,MATCH(BL88,BL$54:BL88,0)))</f>
        <v/>
      </c>
      <c r="BP88" s="76" t="str">
        <f t="shared" ca="1" si="72"/>
        <v/>
      </c>
      <c r="BQ88" s="76" t="str">
        <f t="shared" ca="1" si="73"/>
        <v/>
      </c>
      <c r="BR88" s="76" t="str">
        <f ca="1">IF(BK88="","",COUNTIF(BQ$54:BQ88,BQ88))</f>
        <v/>
      </c>
      <c r="BS88" s="76" t="str">
        <f t="shared" ca="1" si="74"/>
        <v/>
      </c>
      <c r="BT88" s="76" t="str">
        <f t="shared" ca="1" si="75"/>
        <v/>
      </c>
      <c r="BU88" s="76">
        <f t="shared" si="52"/>
        <v>35</v>
      </c>
      <c r="BV88" s="76" t="str">
        <f t="shared" ca="1" si="76"/>
        <v/>
      </c>
      <c r="BW88" s="76" t="str">
        <f t="shared" ca="1" si="77"/>
        <v/>
      </c>
      <c r="BX88" s="76" t="str">
        <f ca="1">IF(BV88="","",COUNTIF(BW$53:BW87,BW88))</f>
        <v/>
      </c>
      <c r="BY88" s="76" t="str">
        <f t="shared" ca="1" si="78"/>
        <v/>
      </c>
      <c r="BZ88" s="76" t="str">
        <f ca="1">IF(BV88="","",IF(BY88=0,0,MATCH(BW88,BW$54:BW88,0)))</f>
        <v/>
      </c>
      <c r="CA88" s="76" t="str">
        <f t="shared" ca="1" si="79"/>
        <v/>
      </c>
      <c r="CB88" s="76" t="str">
        <f t="shared" ca="1" si="80"/>
        <v/>
      </c>
      <c r="CC88" s="76" t="str">
        <f ca="1">IF(BV88="","",COUNTIF(CB$54:CB88,CB88))</f>
        <v/>
      </c>
      <c r="CD88" s="76" t="str">
        <f t="shared" ca="1" si="81"/>
        <v/>
      </c>
      <c r="CE88" s="76" t="str">
        <f t="shared" ca="1" si="82"/>
        <v/>
      </c>
    </row>
    <row r="89" spans="14:94">
      <c r="N89" s="35">
        <f t="shared" si="42"/>
        <v>0</v>
      </c>
      <c r="O89" s="35">
        <f t="shared" si="53"/>
        <v>12</v>
      </c>
      <c r="P89" s="35">
        <f t="shared" si="43"/>
        <v>1</v>
      </c>
      <c r="Q89" s="35">
        <f t="shared" si="54"/>
        <v>3</v>
      </c>
      <c r="R89" s="35">
        <f t="shared" si="44"/>
        <v>1</v>
      </c>
      <c r="AJ89" s="76">
        <v>36</v>
      </c>
      <c r="AK89" s="76" t="str">
        <f t="shared" ca="1" si="45"/>
        <v/>
      </c>
      <c r="AL89" s="76" t="str">
        <f t="shared" ca="1" si="46"/>
        <v/>
      </c>
      <c r="AM89" s="76"/>
      <c r="AN89" s="76"/>
      <c r="AO89" s="76" t="str">
        <f t="shared" ca="1" si="55"/>
        <v/>
      </c>
      <c r="AP89" s="76" t="str">
        <f t="shared" ca="1" si="56"/>
        <v/>
      </c>
      <c r="AQ89" s="76" t="str">
        <f t="shared" ca="1" si="57"/>
        <v/>
      </c>
      <c r="AR89" s="76">
        <f ca="1">COUNTIF($AQ$54:$AQ89,AR$53)</f>
        <v>0</v>
      </c>
      <c r="AS89" s="76">
        <f ca="1">COUNTIF($AQ$54:$AQ89,AS$53)</f>
        <v>0</v>
      </c>
      <c r="AT89" s="76">
        <f ca="1">COUNTIF($AQ$54:$AQ89,AT$53)</f>
        <v>0</v>
      </c>
      <c r="AU89" s="76" t="str">
        <f t="shared" ca="1" si="58"/>
        <v/>
      </c>
      <c r="AV89" s="76" t="str">
        <f t="shared" ca="1" si="59"/>
        <v/>
      </c>
      <c r="AW89" s="76" t="str">
        <f t="shared" ca="1" si="60"/>
        <v/>
      </c>
      <c r="AX89" s="76"/>
      <c r="AY89" s="76">
        <f t="shared" si="61"/>
        <v>36</v>
      </c>
      <c r="AZ89" s="76" t="str">
        <f t="shared" ca="1" si="62"/>
        <v/>
      </c>
      <c r="BA89" s="76" t="str">
        <f t="shared" ca="1" si="63"/>
        <v/>
      </c>
      <c r="BB89" s="76" t="str">
        <f ca="1">IF(AZ89="","",COUNTIF(BA$53:BA88,BA89))</f>
        <v/>
      </c>
      <c r="BC89" s="76" t="str">
        <f t="shared" ca="1" si="64"/>
        <v/>
      </c>
      <c r="BD89" s="76" t="str">
        <f ca="1">IF(AZ89="","",IF(BC89=0,0,MATCH(BA89,BA$54:BA89,0)))</f>
        <v/>
      </c>
      <c r="BE89" s="76" t="str">
        <f t="shared" ca="1" si="65"/>
        <v/>
      </c>
      <c r="BF89" s="76" t="str">
        <f t="shared" ca="1" si="66"/>
        <v/>
      </c>
      <c r="BG89" s="76" t="str">
        <f ca="1">IF(AZ89="","",COUNTIF(BF$54:BF89,BF89))</f>
        <v/>
      </c>
      <c r="BH89" s="76" t="str">
        <f t="shared" ca="1" si="67"/>
        <v/>
      </c>
      <c r="BI89" s="76" t="str">
        <f t="shared" ca="1" si="68"/>
        <v/>
      </c>
      <c r="BJ89" s="76">
        <f t="shared" si="51"/>
        <v>36</v>
      </c>
      <c r="BK89" s="76" t="str">
        <f t="shared" ca="1" si="69"/>
        <v/>
      </c>
      <c r="BL89" s="76" t="str">
        <f t="shared" ca="1" si="70"/>
        <v/>
      </c>
      <c r="BM89" s="76" t="str">
        <f ca="1">IF(BK89="","",COUNTIF(BL$53:BL88,BL89))</f>
        <v/>
      </c>
      <c r="BN89" s="76" t="str">
        <f t="shared" ca="1" si="71"/>
        <v/>
      </c>
      <c r="BO89" s="76" t="str">
        <f ca="1">IF(BK89="","",IF(BN89=0,0,MATCH(BL89,BL$54:BL89,0)))</f>
        <v/>
      </c>
      <c r="BP89" s="76" t="str">
        <f t="shared" ca="1" si="72"/>
        <v/>
      </c>
      <c r="BQ89" s="76" t="str">
        <f t="shared" ca="1" si="73"/>
        <v/>
      </c>
      <c r="BR89" s="76" t="str">
        <f ca="1">IF(BK89="","",COUNTIF(BQ$54:BQ89,BQ89))</f>
        <v/>
      </c>
      <c r="BS89" s="76" t="str">
        <f t="shared" ca="1" si="74"/>
        <v/>
      </c>
      <c r="BT89" s="76" t="str">
        <f t="shared" ca="1" si="75"/>
        <v/>
      </c>
      <c r="BU89" s="76">
        <f t="shared" si="52"/>
        <v>36</v>
      </c>
      <c r="BV89" s="76" t="str">
        <f t="shared" ca="1" si="76"/>
        <v/>
      </c>
      <c r="BW89" s="76" t="str">
        <f t="shared" ca="1" si="77"/>
        <v/>
      </c>
      <c r="BX89" s="76" t="str">
        <f ca="1">IF(BV89="","",COUNTIF(BW$53:BW88,BW89))</f>
        <v/>
      </c>
      <c r="BY89" s="76" t="str">
        <f t="shared" ca="1" si="78"/>
        <v/>
      </c>
      <c r="BZ89" s="76" t="str">
        <f ca="1">IF(BV89="","",IF(BY89=0,0,MATCH(BW89,BW$54:BW89,0)))</f>
        <v/>
      </c>
      <c r="CA89" s="76" t="str">
        <f t="shared" ca="1" si="79"/>
        <v/>
      </c>
      <c r="CB89" s="76" t="str">
        <f t="shared" ca="1" si="80"/>
        <v/>
      </c>
      <c r="CC89" s="76" t="str">
        <f ca="1">IF(BV89="","",COUNTIF(CB$54:CB89,CB89))</f>
        <v/>
      </c>
      <c r="CD89" s="76" t="str">
        <f t="shared" ca="1" si="81"/>
        <v/>
      </c>
      <c r="CE89" s="76" t="str">
        <f t="shared" ca="1" si="82"/>
        <v/>
      </c>
    </row>
    <row r="90" spans="14:94">
      <c r="N90" s="35">
        <f t="shared" si="42"/>
        <v>1</v>
      </c>
      <c r="O90" s="35">
        <f t="shared" si="53"/>
        <v>13</v>
      </c>
      <c r="P90" s="35">
        <f t="shared" si="43"/>
        <v>1</v>
      </c>
      <c r="Q90" s="35">
        <f t="shared" si="54"/>
        <v>1</v>
      </c>
      <c r="R90" s="35">
        <f t="shared" si="44"/>
        <v>1</v>
      </c>
      <c r="AJ90" s="76">
        <v>37</v>
      </c>
      <c r="AK90" s="76" t="str">
        <f t="shared" ca="1" si="45"/>
        <v/>
      </c>
      <c r="AL90" s="76" t="str">
        <f t="shared" ca="1" si="46"/>
        <v/>
      </c>
      <c r="AM90" s="76"/>
      <c r="AN90" s="76"/>
      <c r="AO90" s="76" t="str">
        <f t="shared" ca="1" si="55"/>
        <v/>
      </c>
      <c r="AP90" s="76" t="str">
        <f t="shared" ca="1" si="56"/>
        <v/>
      </c>
      <c r="AQ90" s="76" t="str">
        <f t="shared" ca="1" si="57"/>
        <v/>
      </c>
      <c r="AR90" s="76">
        <f ca="1">COUNTIF($AQ$54:$AQ90,AR$53)</f>
        <v>0</v>
      </c>
      <c r="AS90" s="76">
        <f ca="1">COUNTIF($AQ$54:$AQ90,AS$53)</f>
        <v>0</v>
      </c>
      <c r="AT90" s="76">
        <f ca="1">COUNTIF($AQ$54:$AQ90,AT$53)</f>
        <v>0</v>
      </c>
      <c r="AU90" s="76" t="str">
        <f t="shared" ca="1" si="58"/>
        <v/>
      </c>
      <c r="AV90" s="76" t="str">
        <f t="shared" ca="1" si="59"/>
        <v/>
      </c>
      <c r="AW90" s="76" t="str">
        <f t="shared" ca="1" si="60"/>
        <v/>
      </c>
      <c r="AX90" s="76"/>
      <c r="AY90" s="76">
        <f t="shared" si="61"/>
        <v>37</v>
      </c>
      <c r="AZ90" s="76" t="str">
        <f t="shared" ca="1" si="62"/>
        <v/>
      </c>
      <c r="BA90" s="76" t="str">
        <f t="shared" ca="1" si="63"/>
        <v/>
      </c>
      <c r="BB90" s="76" t="str">
        <f ca="1">IF(AZ90="","",COUNTIF(BA$53:BA89,BA90))</f>
        <v/>
      </c>
      <c r="BC90" s="76" t="str">
        <f t="shared" ca="1" si="64"/>
        <v/>
      </c>
      <c r="BD90" s="76" t="str">
        <f ca="1">IF(AZ90="","",IF(BC90=0,0,MATCH(BA90,BA$54:BA90,0)))</f>
        <v/>
      </c>
      <c r="BE90" s="76" t="str">
        <f t="shared" ca="1" si="65"/>
        <v/>
      </c>
      <c r="BF90" s="76" t="str">
        <f t="shared" ca="1" si="66"/>
        <v/>
      </c>
      <c r="BG90" s="76" t="str">
        <f ca="1">IF(AZ90="","",COUNTIF(BF$54:BF90,BF90))</f>
        <v/>
      </c>
      <c r="BH90" s="76" t="str">
        <f t="shared" ca="1" si="67"/>
        <v/>
      </c>
      <c r="BI90" s="76" t="str">
        <f t="shared" ca="1" si="68"/>
        <v/>
      </c>
      <c r="BJ90" s="76">
        <f t="shared" si="51"/>
        <v>37</v>
      </c>
      <c r="BK90" s="76" t="str">
        <f t="shared" ca="1" si="69"/>
        <v/>
      </c>
      <c r="BL90" s="76" t="str">
        <f t="shared" ca="1" si="70"/>
        <v/>
      </c>
      <c r="BM90" s="76" t="str">
        <f ca="1">IF(BK90="","",COUNTIF(BL$53:BL89,BL90))</f>
        <v/>
      </c>
      <c r="BN90" s="76" t="str">
        <f t="shared" ca="1" si="71"/>
        <v/>
      </c>
      <c r="BO90" s="76" t="str">
        <f ca="1">IF(BK90="","",IF(BN90=0,0,MATCH(BL90,BL$54:BL90,0)))</f>
        <v/>
      </c>
      <c r="BP90" s="76" t="str">
        <f t="shared" ca="1" si="72"/>
        <v/>
      </c>
      <c r="BQ90" s="76" t="str">
        <f t="shared" ca="1" si="73"/>
        <v/>
      </c>
      <c r="BR90" s="76" t="str">
        <f ca="1">IF(BK90="","",COUNTIF(BQ$54:BQ90,BQ90))</f>
        <v/>
      </c>
      <c r="BS90" s="76" t="str">
        <f t="shared" ca="1" si="74"/>
        <v/>
      </c>
      <c r="BT90" s="76" t="str">
        <f t="shared" ca="1" si="75"/>
        <v/>
      </c>
      <c r="BU90" s="76">
        <f t="shared" si="52"/>
        <v>37</v>
      </c>
      <c r="BV90" s="76" t="str">
        <f t="shared" ca="1" si="76"/>
        <v/>
      </c>
      <c r="BW90" s="76" t="str">
        <f t="shared" ca="1" si="77"/>
        <v/>
      </c>
      <c r="BX90" s="76" t="str">
        <f ca="1">IF(BV90="","",COUNTIF(BW$53:BW89,BW90))</f>
        <v/>
      </c>
      <c r="BY90" s="76" t="str">
        <f t="shared" ca="1" si="78"/>
        <v/>
      </c>
      <c r="BZ90" s="76" t="str">
        <f ca="1">IF(BV90="","",IF(BY90=0,0,MATCH(BW90,BW$54:BW90,0)))</f>
        <v/>
      </c>
      <c r="CA90" s="76" t="str">
        <f t="shared" ca="1" si="79"/>
        <v/>
      </c>
      <c r="CB90" s="76" t="str">
        <f t="shared" ca="1" si="80"/>
        <v/>
      </c>
      <c r="CC90" s="76" t="str">
        <f ca="1">IF(BV90="","",COUNTIF(CB$54:CB90,CB90))</f>
        <v/>
      </c>
      <c r="CD90" s="76" t="str">
        <f t="shared" ca="1" si="81"/>
        <v/>
      </c>
      <c r="CE90" s="76" t="str">
        <f t="shared" ca="1" si="82"/>
        <v/>
      </c>
    </row>
    <row r="91" spans="14:94">
      <c r="N91" s="35">
        <f t="shared" si="42"/>
        <v>1</v>
      </c>
      <c r="O91" s="35">
        <f t="shared" si="53"/>
        <v>13</v>
      </c>
      <c r="P91" s="35">
        <f t="shared" si="43"/>
        <v>2</v>
      </c>
      <c r="Q91" s="35">
        <f t="shared" si="54"/>
        <v>2</v>
      </c>
      <c r="R91" s="35">
        <f t="shared" si="44"/>
        <v>2</v>
      </c>
      <c r="AJ91" s="76">
        <v>38</v>
      </c>
      <c r="AK91" s="76" t="str">
        <f t="shared" ca="1" si="45"/>
        <v/>
      </c>
      <c r="AL91" s="76" t="str">
        <f t="shared" ca="1" si="46"/>
        <v/>
      </c>
      <c r="AM91" s="76"/>
      <c r="AN91" s="76"/>
      <c r="AO91" s="76" t="str">
        <f t="shared" ca="1" si="55"/>
        <v/>
      </c>
      <c r="AP91" s="76" t="str">
        <f t="shared" ca="1" si="56"/>
        <v/>
      </c>
      <c r="AQ91" s="76" t="str">
        <f t="shared" ca="1" si="57"/>
        <v/>
      </c>
      <c r="AR91" s="76">
        <f ca="1">COUNTIF($AQ$54:$AQ91,AR$53)</f>
        <v>0</v>
      </c>
      <c r="AS91" s="76">
        <f ca="1">COUNTIF($AQ$54:$AQ91,AS$53)</f>
        <v>0</v>
      </c>
      <c r="AT91" s="76">
        <f ca="1">COUNTIF($AQ$54:$AQ91,AT$53)</f>
        <v>0</v>
      </c>
      <c r="AU91" s="76" t="str">
        <f t="shared" ca="1" si="58"/>
        <v/>
      </c>
      <c r="AV91" s="76" t="str">
        <f t="shared" ca="1" si="59"/>
        <v/>
      </c>
      <c r="AW91" s="76" t="str">
        <f t="shared" ca="1" si="60"/>
        <v/>
      </c>
      <c r="AX91" s="76"/>
      <c r="AY91" s="76">
        <f t="shared" si="61"/>
        <v>38</v>
      </c>
      <c r="AZ91" s="76" t="str">
        <f t="shared" ca="1" si="62"/>
        <v/>
      </c>
      <c r="BA91" s="76" t="str">
        <f t="shared" ca="1" si="63"/>
        <v/>
      </c>
      <c r="BB91" s="76" t="str">
        <f ca="1">IF(AZ91="","",COUNTIF(BA$53:BA90,BA91))</f>
        <v/>
      </c>
      <c r="BC91" s="76" t="str">
        <f t="shared" ca="1" si="64"/>
        <v/>
      </c>
      <c r="BD91" s="76" t="str">
        <f ca="1">IF(AZ91="","",IF(BC91=0,0,MATCH(BA91,BA$54:BA91,0)))</f>
        <v/>
      </c>
      <c r="BE91" s="76" t="str">
        <f t="shared" ca="1" si="65"/>
        <v/>
      </c>
      <c r="BF91" s="76" t="str">
        <f t="shared" ca="1" si="66"/>
        <v/>
      </c>
      <c r="BG91" s="76" t="str">
        <f ca="1">IF(AZ91="","",COUNTIF(BF$54:BF91,BF91))</f>
        <v/>
      </c>
      <c r="BH91" s="76" t="str">
        <f t="shared" ca="1" si="67"/>
        <v/>
      </c>
      <c r="BI91" s="76" t="str">
        <f t="shared" ca="1" si="68"/>
        <v/>
      </c>
      <c r="BJ91" s="76">
        <f t="shared" si="51"/>
        <v>38</v>
      </c>
      <c r="BK91" s="76" t="str">
        <f t="shared" ca="1" si="69"/>
        <v/>
      </c>
      <c r="BL91" s="76" t="str">
        <f t="shared" ca="1" si="70"/>
        <v/>
      </c>
      <c r="BM91" s="76" t="str">
        <f ca="1">IF(BK91="","",COUNTIF(BL$53:BL90,BL91))</f>
        <v/>
      </c>
      <c r="BN91" s="76" t="str">
        <f t="shared" ca="1" si="71"/>
        <v/>
      </c>
      <c r="BO91" s="76" t="str">
        <f ca="1">IF(BK91="","",IF(BN91=0,0,MATCH(BL91,BL$54:BL91,0)))</f>
        <v/>
      </c>
      <c r="BP91" s="76" t="str">
        <f t="shared" ca="1" si="72"/>
        <v/>
      </c>
      <c r="BQ91" s="76" t="str">
        <f t="shared" ca="1" si="73"/>
        <v/>
      </c>
      <c r="BR91" s="76" t="str">
        <f ca="1">IF(BK91="","",COUNTIF(BQ$54:BQ91,BQ91))</f>
        <v/>
      </c>
      <c r="BS91" s="76" t="str">
        <f t="shared" ca="1" si="74"/>
        <v/>
      </c>
      <c r="BT91" s="76" t="str">
        <f t="shared" ca="1" si="75"/>
        <v/>
      </c>
      <c r="BU91" s="76">
        <f t="shared" si="52"/>
        <v>38</v>
      </c>
      <c r="BV91" s="76" t="str">
        <f t="shared" ca="1" si="76"/>
        <v/>
      </c>
      <c r="BW91" s="76" t="str">
        <f t="shared" ca="1" si="77"/>
        <v/>
      </c>
      <c r="BX91" s="76" t="str">
        <f ca="1">IF(BV91="","",COUNTIF(BW$53:BW90,BW91))</f>
        <v/>
      </c>
      <c r="BY91" s="76" t="str">
        <f t="shared" ca="1" si="78"/>
        <v/>
      </c>
      <c r="BZ91" s="76" t="str">
        <f ca="1">IF(BV91="","",IF(BY91=0,0,MATCH(BW91,BW$54:BW91,0)))</f>
        <v/>
      </c>
      <c r="CA91" s="76" t="str">
        <f t="shared" ca="1" si="79"/>
        <v/>
      </c>
      <c r="CB91" s="76" t="str">
        <f t="shared" ca="1" si="80"/>
        <v/>
      </c>
      <c r="CC91" s="76" t="str">
        <f ca="1">IF(BV91="","",COUNTIF(CB$54:CB91,CB91))</f>
        <v/>
      </c>
      <c r="CD91" s="76" t="str">
        <f t="shared" ca="1" si="81"/>
        <v/>
      </c>
      <c r="CE91" s="76" t="str">
        <f t="shared" ca="1" si="82"/>
        <v/>
      </c>
    </row>
    <row r="92" spans="14:94">
      <c r="N92" s="35">
        <f t="shared" si="42"/>
        <v>1</v>
      </c>
      <c r="O92" s="35">
        <f t="shared" si="53"/>
        <v>13</v>
      </c>
      <c r="P92" s="35">
        <f t="shared" si="43"/>
        <v>3</v>
      </c>
      <c r="Q92" s="35">
        <f t="shared" si="54"/>
        <v>3</v>
      </c>
      <c r="R92" s="35">
        <f t="shared" si="44"/>
        <v>3</v>
      </c>
      <c r="AJ92" s="76">
        <v>39</v>
      </c>
      <c r="AK92" s="76" t="str">
        <f t="shared" ca="1" si="45"/>
        <v/>
      </c>
      <c r="AL92" s="76" t="str">
        <f t="shared" ca="1" si="46"/>
        <v/>
      </c>
      <c r="AM92" s="76"/>
      <c r="AN92" s="76"/>
      <c r="AO92" s="76" t="str">
        <f t="shared" ca="1" si="55"/>
        <v/>
      </c>
      <c r="AP92" s="76" t="str">
        <f t="shared" ca="1" si="56"/>
        <v/>
      </c>
      <c r="AQ92" s="76" t="str">
        <f t="shared" ca="1" si="57"/>
        <v/>
      </c>
      <c r="AR92" s="76">
        <f ca="1">COUNTIF($AQ$54:$AQ92,AR$53)</f>
        <v>0</v>
      </c>
      <c r="AS92" s="76">
        <f ca="1">COUNTIF($AQ$54:$AQ92,AS$53)</f>
        <v>0</v>
      </c>
      <c r="AT92" s="76">
        <f ca="1">COUNTIF($AQ$54:$AQ92,AT$53)</f>
        <v>0</v>
      </c>
      <c r="AU92" s="76" t="str">
        <f t="shared" ca="1" si="58"/>
        <v/>
      </c>
      <c r="AV92" s="76" t="str">
        <f t="shared" ca="1" si="59"/>
        <v/>
      </c>
      <c r="AW92" s="76" t="str">
        <f t="shared" ca="1" si="60"/>
        <v/>
      </c>
      <c r="AX92" s="76"/>
      <c r="AY92" s="76">
        <f t="shared" si="61"/>
        <v>39</v>
      </c>
      <c r="AZ92" s="76" t="str">
        <f t="shared" ca="1" si="62"/>
        <v/>
      </c>
      <c r="BA92" s="76" t="str">
        <f t="shared" ca="1" si="63"/>
        <v/>
      </c>
      <c r="BB92" s="76" t="str">
        <f ca="1">IF(AZ92="","",COUNTIF(BA$53:BA91,BA92))</f>
        <v/>
      </c>
      <c r="BC92" s="76" t="str">
        <f t="shared" ca="1" si="64"/>
        <v/>
      </c>
      <c r="BD92" s="76" t="str">
        <f ca="1">IF(AZ92="","",IF(BC92=0,0,MATCH(BA92,BA$54:BA92,0)))</f>
        <v/>
      </c>
      <c r="BE92" s="76" t="str">
        <f t="shared" ca="1" si="65"/>
        <v/>
      </c>
      <c r="BF92" s="76" t="str">
        <f t="shared" ca="1" si="66"/>
        <v/>
      </c>
      <c r="BG92" s="76" t="str">
        <f ca="1">IF(AZ92="","",COUNTIF(BF$54:BF92,BF92))</f>
        <v/>
      </c>
      <c r="BH92" s="76" t="str">
        <f t="shared" ca="1" si="67"/>
        <v/>
      </c>
      <c r="BI92" s="76" t="str">
        <f t="shared" ca="1" si="68"/>
        <v/>
      </c>
      <c r="BJ92" s="76">
        <f t="shared" si="51"/>
        <v>39</v>
      </c>
      <c r="BK92" s="76" t="str">
        <f t="shared" ca="1" si="69"/>
        <v/>
      </c>
      <c r="BL92" s="76" t="str">
        <f t="shared" ca="1" si="70"/>
        <v/>
      </c>
      <c r="BM92" s="76" t="str">
        <f ca="1">IF(BK92="","",COUNTIF(BL$53:BL91,BL92))</f>
        <v/>
      </c>
      <c r="BN92" s="76" t="str">
        <f t="shared" ca="1" si="71"/>
        <v/>
      </c>
      <c r="BO92" s="76" t="str">
        <f ca="1">IF(BK92="","",IF(BN92=0,0,MATCH(BL92,BL$54:BL92,0)))</f>
        <v/>
      </c>
      <c r="BP92" s="76" t="str">
        <f t="shared" ca="1" si="72"/>
        <v/>
      </c>
      <c r="BQ92" s="76" t="str">
        <f t="shared" ca="1" si="73"/>
        <v/>
      </c>
      <c r="BR92" s="76" t="str">
        <f ca="1">IF(BK92="","",COUNTIF(BQ$54:BQ92,BQ92))</f>
        <v/>
      </c>
      <c r="BS92" s="76" t="str">
        <f t="shared" ca="1" si="74"/>
        <v/>
      </c>
      <c r="BT92" s="76" t="str">
        <f t="shared" ca="1" si="75"/>
        <v/>
      </c>
      <c r="BU92" s="76">
        <f t="shared" si="52"/>
        <v>39</v>
      </c>
      <c r="BV92" s="76" t="str">
        <f t="shared" ca="1" si="76"/>
        <v/>
      </c>
      <c r="BW92" s="76" t="str">
        <f t="shared" ca="1" si="77"/>
        <v/>
      </c>
      <c r="BX92" s="76" t="str">
        <f ca="1">IF(BV92="","",COUNTIF(BW$53:BW91,BW92))</f>
        <v/>
      </c>
      <c r="BY92" s="76" t="str">
        <f t="shared" ca="1" si="78"/>
        <v/>
      </c>
      <c r="BZ92" s="76" t="str">
        <f ca="1">IF(BV92="","",IF(BY92=0,0,MATCH(BW92,BW$54:BW92,0)))</f>
        <v/>
      </c>
      <c r="CA92" s="76" t="str">
        <f t="shared" ca="1" si="79"/>
        <v/>
      </c>
      <c r="CB92" s="76" t="str">
        <f t="shared" ca="1" si="80"/>
        <v/>
      </c>
      <c r="CC92" s="76" t="str">
        <f ca="1">IF(BV92="","",COUNTIF(CB$54:CB92,CB92))</f>
        <v/>
      </c>
      <c r="CD92" s="76" t="str">
        <f t="shared" ca="1" si="81"/>
        <v/>
      </c>
      <c r="CE92" s="76" t="str">
        <f t="shared" ca="1" si="82"/>
        <v/>
      </c>
    </row>
    <row r="93" spans="14:94">
      <c r="N93" s="35">
        <f t="shared" si="42"/>
        <v>0</v>
      </c>
      <c r="O93" s="35">
        <f t="shared" si="53"/>
        <v>14</v>
      </c>
      <c r="P93" s="35">
        <f t="shared" si="43"/>
        <v>3</v>
      </c>
      <c r="Q93" s="35">
        <f t="shared" si="54"/>
        <v>1</v>
      </c>
      <c r="R93" s="35">
        <f t="shared" si="44"/>
        <v>3</v>
      </c>
      <c r="AJ93" s="76">
        <v>40</v>
      </c>
      <c r="AK93" s="76" t="str">
        <f t="shared" ca="1" si="45"/>
        <v/>
      </c>
      <c r="AL93" s="76" t="str">
        <f t="shared" ca="1" si="46"/>
        <v/>
      </c>
      <c r="AM93" s="76"/>
      <c r="AN93" s="76"/>
      <c r="AO93" s="76" t="str">
        <f t="shared" ca="1" si="55"/>
        <v/>
      </c>
      <c r="AP93" s="76" t="str">
        <f t="shared" ca="1" si="56"/>
        <v/>
      </c>
      <c r="AQ93" s="76" t="str">
        <f t="shared" ca="1" si="57"/>
        <v/>
      </c>
      <c r="AR93" s="76">
        <f ca="1">COUNTIF($AQ$54:$AQ93,AR$53)</f>
        <v>0</v>
      </c>
      <c r="AS93" s="76">
        <f ca="1">COUNTIF($AQ$54:$AQ93,AS$53)</f>
        <v>0</v>
      </c>
      <c r="AT93" s="76">
        <f ca="1">COUNTIF($AQ$54:$AQ93,AT$53)</f>
        <v>0</v>
      </c>
      <c r="AU93" s="76" t="str">
        <f t="shared" ca="1" si="58"/>
        <v/>
      </c>
      <c r="AV93" s="76" t="str">
        <f t="shared" ca="1" si="59"/>
        <v/>
      </c>
      <c r="AW93" s="76" t="str">
        <f t="shared" ca="1" si="60"/>
        <v/>
      </c>
      <c r="AX93" s="76"/>
      <c r="AY93" s="76">
        <f t="shared" si="61"/>
        <v>40</v>
      </c>
      <c r="AZ93" s="76" t="str">
        <f t="shared" ca="1" si="62"/>
        <v/>
      </c>
      <c r="BA93" s="76" t="str">
        <f t="shared" ca="1" si="63"/>
        <v/>
      </c>
      <c r="BB93" s="76" t="str">
        <f ca="1">IF(AZ93="","",COUNTIF(BA$53:BA92,BA93))</f>
        <v/>
      </c>
      <c r="BC93" s="76" t="str">
        <f t="shared" ca="1" si="64"/>
        <v/>
      </c>
      <c r="BD93" s="76" t="str">
        <f ca="1">IF(AZ93="","",IF(BC93=0,0,MATCH(BA93,BA$54:BA93,0)))</f>
        <v/>
      </c>
      <c r="BE93" s="76" t="str">
        <f t="shared" ca="1" si="65"/>
        <v/>
      </c>
      <c r="BF93" s="76" t="str">
        <f t="shared" ca="1" si="66"/>
        <v/>
      </c>
      <c r="BG93" s="76" t="str">
        <f ca="1">IF(AZ93="","",COUNTIF(BF$54:BF93,BF93))</f>
        <v/>
      </c>
      <c r="BH93" s="76" t="str">
        <f t="shared" ca="1" si="67"/>
        <v/>
      </c>
      <c r="BI93" s="76" t="str">
        <f t="shared" ca="1" si="68"/>
        <v/>
      </c>
      <c r="BJ93" s="76">
        <f t="shared" si="51"/>
        <v>40</v>
      </c>
      <c r="BK93" s="76" t="str">
        <f t="shared" ca="1" si="69"/>
        <v/>
      </c>
      <c r="BL93" s="76" t="str">
        <f t="shared" ca="1" si="70"/>
        <v/>
      </c>
      <c r="BM93" s="76" t="str">
        <f ca="1">IF(BK93="","",COUNTIF(BL$53:BL92,BL93))</f>
        <v/>
      </c>
      <c r="BN93" s="76" t="str">
        <f t="shared" ca="1" si="71"/>
        <v/>
      </c>
      <c r="BO93" s="76" t="str">
        <f ca="1">IF(BK93="","",IF(BN93=0,0,MATCH(BL93,BL$54:BL93,0)))</f>
        <v/>
      </c>
      <c r="BP93" s="76" t="str">
        <f t="shared" ca="1" si="72"/>
        <v/>
      </c>
      <c r="BQ93" s="76" t="str">
        <f t="shared" ca="1" si="73"/>
        <v/>
      </c>
      <c r="BR93" s="76" t="str">
        <f ca="1">IF(BK93="","",COUNTIF(BQ$54:BQ93,BQ93))</f>
        <v/>
      </c>
      <c r="BS93" s="76" t="str">
        <f t="shared" ca="1" si="74"/>
        <v/>
      </c>
      <c r="BT93" s="76" t="str">
        <f t="shared" ca="1" si="75"/>
        <v/>
      </c>
      <c r="BU93" s="76">
        <f t="shared" si="52"/>
        <v>40</v>
      </c>
      <c r="BV93" s="76" t="str">
        <f t="shared" ca="1" si="76"/>
        <v/>
      </c>
      <c r="BW93" s="76" t="str">
        <f t="shared" ca="1" si="77"/>
        <v/>
      </c>
      <c r="BX93" s="76" t="str">
        <f ca="1">IF(BV93="","",COUNTIF(BW$53:BW92,BW93))</f>
        <v/>
      </c>
      <c r="BY93" s="76" t="str">
        <f t="shared" ca="1" si="78"/>
        <v/>
      </c>
      <c r="BZ93" s="76" t="str">
        <f ca="1">IF(BV93="","",IF(BY93=0,0,MATCH(BW93,BW$54:BW93,0)))</f>
        <v/>
      </c>
      <c r="CA93" s="76" t="str">
        <f t="shared" ca="1" si="79"/>
        <v/>
      </c>
      <c r="CB93" s="76" t="str">
        <f t="shared" ca="1" si="80"/>
        <v/>
      </c>
      <c r="CC93" s="76" t="str">
        <f ca="1">IF(BV93="","",COUNTIF(CB$54:CB93,CB93))</f>
        <v/>
      </c>
      <c r="CD93" s="76" t="str">
        <f t="shared" ca="1" si="81"/>
        <v/>
      </c>
      <c r="CE93" s="76" t="str">
        <f t="shared" ca="1" si="82"/>
        <v/>
      </c>
    </row>
    <row r="94" spans="14:94">
      <c r="N94" s="35">
        <f t="shared" si="42"/>
        <v>0</v>
      </c>
      <c r="O94" s="35">
        <f t="shared" si="53"/>
        <v>14</v>
      </c>
      <c r="P94" s="35">
        <f t="shared" si="43"/>
        <v>2</v>
      </c>
      <c r="Q94" s="35">
        <f t="shared" si="54"/>
        <v>2</v>
      </c>
      <c r="R94" s="35">
        <f t="shared" si="44"/>
        <v>2</v>
      </c>
      <c r="AJ94" s="76">
        <v>41</v>
      </c>
      <c r="AK94" s="76" t="str">
        <f t="shared" ca="1" si="45"/>
        <v/>
      </c>
      <c r="AL94" s="76" t="str">
        <f t="shared" ca="1" si="46"/>
        <v/>
      </c>
      <c r="AM94" s="76"/>
      <c r="AN94" s="76"/>
      <c r="AO94" s="76" t="str">
        <f t="shared" ca="1" si="55"/>
        <v/>
      </c>
      <c r="AP94" s="76" t="str">
        <f t="shared" ca="1" si="56"/>
        <v/>
      </c>
      <c r="AQ94" s="76" t="str">
        <f t="shared" ca="1" si="57"/>
        <v/>
      </c>
      <c r="AR94" s="76">
        <f ca="1">COUNTIF($AQ$54:$AQ94,AR$53)</f>
        <v>0</v>
      </c>
      <c r="AS94" s="76">
        <f ca="1">COUNTIF($AQ$54:$AQ94,AS$53)</f>
        <v>0</v>
      </c>
      <c r="AT94" s="76">
        <f ca="1">COUNTIF($AQ$54:$AQ94,AT$53)</f>
        <v>0</v>
      </c>
      <c r="AU94" s="76" t="str">
        <f t="shared" ca="1" si="58"/>
        <v/>
      </c>
      <c r="AV94" s="76" t="str">
        <f t="shared" ca="1" si="59"/>
        <v/>
      </c>
      <c r="AW94" s="76" t="str">
        <f t="shared" ca="1" si="60"/>
        <v/>
      </c>
      <c r="AX94" s="76"/>
      <c r="AY94" s="76">
        <f t="shared" si="61"/>
        <v>41</v>
      </c>
      <c r="AZ94" s="76" t="str">
        <f t="shared" ca="1" si="62"/>
        <v/>
      </c>
      <c r="BA94" s="76" t="str">
        <f t="shared" ca="1" si="63"/>
        <v/>
      </c>
      <c r="BB94" s="76" t="str">
        <f ca="1">IF(AZ94="","",COUNTIF(BA$53:BA93,BA94))</f>
        <v/>
      </c>
      <c r="BC94" s="76" t="str">
        <f t="shared" ca="1" si="64"/>
        <v/>
      </c>
      <c r="BD94" s="76" t="str">
        <f ca="1">IF(AZ94="","",IF(BC94=0,0,MATCH(BA94,BA$54:BA94,0)))</f>
        <v/>
      </c>
      <c r="BE94" s="76" t="str">
        <f t="shared" ca="1" si="65"/>
        <v/>
      </c>
      <c r="BF94" s="76" t="str">
        <f t="shared" ca="1" si="66"/>
        <v/>
      </c>
      <c r="BG94" s="76" t="str">
        <f ca="1">IF(AZ94="","",COUNTIF(BF$54:BF94,BF94))</f>
        <v/>
      </c>
      <c r="BH94" s="76" t="str">
        <f t="shared" ca="1" si="67"/>
        <v/>
      </c>
      <c r="BI94" s="76" t="str">
        <f t="shared" ca="1" si="68"/>
        <v/>
      </c>
      <c r="BJ94" s="76">
        <f t="shared" si="51"/>
        <v>41</v>
      </c>
      <c r="BK94" s="76" t="str">
        <f t="shared" ca="1" si="69"/>
        <v/>
      </c>
      <c r="BL94" s="76" t="str">
        <f t="shared" ca="1" si="70"/>
        <v/>
      </c>
      <c r="BM94" s="76" t="str">
        <f ca="1">IF(BK94="","",COUNTIF(BL$53:BL93,BL94))</f>
        <v/>
      </c>
      <c r="BN94" s="76" t="str">
        <f t="shared" ca="1" si="71"/>
        <v/>
      </c>
      <c r="BO94" s="76" t="str">
        <f ca="1">IF(BK94="","",IF(BN94=0,0,MATCH(BL94,BL$54:BL94,0)))</f>
        <v/>
      </c>
      <c r="BP94" s="76" t="str">
        <f t="shared" ca="1" si="72"/>
        <v/>
      </c>
      <c r="BQ94" s="76" t="str">
        <f t="shared" ca="1" si="73"/>
        <v/>
      </c>
      <c r="BR94" s="76" t="str">
        <f ca="1">IF(BK94="","",COUNTIF(BQ$54:BQ94,BQ94))</f>
        <v/>
      </c>
      <c r="BS94" s="76" t="str">
        <f t="shared" ca="1" si="74"/>
        <v/>
      </c>
      <c r="BT94" s="76" t="str">
        <f t="shared" ca="1" si="75"/>
        <v/>
      </c>
      <c r="BU94" s="76">
        <f t="shared" si="52"/>
        <v>41</v>
      </c>
      <c r="BV94" s="76" t="str">
        <f t="shared" ca="1" si="76"/>
        <v/>
      </c>
      <c r="BW94" s="76" t="str">
        <f t="shared" ca="1" si="77"/>
        <v/>
      </c>
      <c r="BX94" s="76" t="str">
        <f ca="1">IF(BV94="","",COUNTIF(BW$53:BW93,BW94))</f>
        <v/>
      </c>
      <c r="BY94" s="76" t="str">
        <f t="shared" ca="1" si="78"/>
        <v/>
      </c>
      <c r="BZ94" s="76" t="str">
        <f ca="1">IF(BV94="","",IF(BY94=0,0,MATCH(BW94,BW$54:BW94,0)))</f>
        <v/>
      </c>
      <c r="CA94" s="76" t="str">
        <f t="shared" ca="1" si="79"/>
        <v/>
      </c>
      <c r="CB94" s="76" t="str">
        <f t="shared" ca="1" si="80"/>
        <v/>
      </c>
      <c r="CC94" s="76" t="str">
        <f ca="1">IF(BV94="","",COUNTIF(CB$54:CB94,CB94))</f>
        <v/>
      </c>
      <c r="CD94" s="76" t="str">
        <f t="shared" ca="1" si="81"/>
        <v/>
      </c>
      <c r="CE94" s="76" t="str">
        <f t="shared" ca="1" si="82"/>
        <v/>
      </c>
    </row>
    <row r="95" spans="14:94">
      <c r="N95" s="35">
        <f t="shared" si="42"/>
        <v>0</v>
      </c>
      <c r="O95" s="35">
        <f t="shared" si="53"/>
        <v>14</v>
      </c>
      <c r="P95" s="35">
        <f t="shared" si="43"/>
        <v>1</v>
      </c>
      <c r="Q95" s="35">
        <f t="shared" si="54"/>
        <v>3</v>
      </c>
      <c r="R95" s="35">
        <f t="shared" si="44"/>
        <v>1</v>
      </c>
      <c r="AJ95" s="76">
        <v>42</v>
      </c>
      <c r="AK95" s="76" t="str">
        <f t="shared" ca="1" si="45"/>
        <v/>
      </c>
      <c r="AL95" s="76" t="str">
        <f t="shared" ca="1" si="46"/>
        <v/>
      </c>
      <c r="AM95" s="76"/>
      <c r="AN95" s="76"/>
      <c r="AO95" s="76" t="str">
        <f t="shared" ca="1" si="55"/>
        <v/>
      </c>
      <c r="AP95" s="76" t="str">
        <f t="shared" ca="1" si="56"/>
        <v/>
      </c>
      <c r="AQ95" s="76" t="str">
        <f t="shared" ca="1" si="57"/>
        <v/>
      </c>
      <c r="AR95" s="76">
        <f ca="1">COUNTIF($AQ$54:$AQ95,AR$53)</f>
        <v>0</v>
      </c>
      <c r="AS95" s="76">
        <f ca="1">COUNTIF($AQ$54:$AQ95,AS$53)</f>
        <v>0</v>
      </c>
      <c r="AT95" s="76">
        <f ca="1">COUNTIF($AQ$54:$AQ95,AT$53)</f>
        <v>0</v>
      </c>
      <c r="AU95" s="76" t="str">
        <f t="shared" ca="1" si="58"/>
        <v/>
      </c>
      <c r="AV95" s="76" t="str">
        <f t="shared" ca="1" si="59"/>
        <v/>
      </c>
      <c r="AW95" s="76" t="str">
        <f t="shared" ca="1" si="60"/>
        <v/>
      </c>
      <c r="AX95" s="76"/>
      <c r="AY95" s="76">
        <f t="shared" si="61"/>
        <v>42</v>
      </c>
      <c r="AZ95" s="76" t="str">
        <f t="shared" ca="1" si="62"/>
        <v/>
      </c>
      <c r="BA95" s="76" t="str">
        <f t="shared" ca="1" si="63"/>
        <v/>
      </c>
      <c r="BB95" s="76" t="str">
        <f ca="1">IF(AZ95="","",COUNTIF(BA$53:BA94,BA95))</f>
        <v/>
      </c>
      <c r="BC95" s="76" t="str">
        <f t="shared" ca="1" si="64"/>
        <v/>
      </c>
      <c r="BD95" s="76" t="str">
        <f ca="1">IF(AZ95="","",IF(BC95=0,0,MATCH(BA95,BA$54:BA95,0)))</f>
        <v/>
      </c>
      <c r="BE95" s="76" t="str">
        <f t="shared" ca="1" si="65"/>
        <v/>
      </c>
      <c r="BF95" s="76" t="str">
        <f t="shared" ca="1" si="66"/>
        <v/>
      </c>
      <c r="BG95" s="76" t="str">
        <f ca="1">IF(AZ95="","",COUNTIF(BF$54:BF95,BF95))</f>
        <v/>
      </c>
      <c r="BH95" s="76" t="str">
        <f t="shared" ca="1" si="67"/>
        <v/>
      </c>
      <c r="BI95" s="76" t="str">
        <f t="shared" ca="1" si="68"/>
        <v/>
      </c>
      <c r="BJ95" s="76">
        <f t="shared" si="51"/>
        <v>42</v>
      </c>
      <c r="BK95" s="76" t="str">
        <f t="shared" ca="1" si="69"/>
        <v/>
      </c>
      <c r="BL95" s="76" t="str">
        <f t="shared" ca="1" si="70"/>
        <v/>
      </c>
      <c r="BM95" s="76" t="str">
        <f ca="1">IF(BK95="","",COUNTIF(BL$53:BL94,BL95))</f>
        <v/>
      </c>
      <c r="BN95" s="76" t="str">
        <f t="shared" ca="1" si="71"/>
        <v/>
      </c>
      <c r="BO95" s="76" t="str">
        <f ca="1">IF(BK95="","",IF(BN95=0,0,MATCH(BL95,BL$54:BL95,0)))</f>
        <v/>
      </c>
      <c r="BP95" s="76" t="str">
        <f t="shared" ca="1" si="72"/>
        <v/>
      </c>
      <c r="BQ95" s="76" t="str">
        <f t="shared" ca="1" si="73"/>
        <v/>
      </c>
      <c r="BR95" s="76" t="str">
        <f ca="1">IF(BK95="","",COUNTIF(BQ$54:BQ95,BQ95))</f>
        <v/>
      </c>
      <c r="BS95" s="76" t="str">
        <f t="shared" ca="1" si="74"/>
        <v/>
      </c>
      <c r="BT95" s="76" t="str">
        <f t="shared" ca="1" si="75"/>
        <v/>
      </c>
      <c r="BU95" s="76">
        <f t="shared" si="52"/>
        <v>42</v>
      </c>
      <c r="BV95" s="76" t="str">
        <f t="shared" ca="1" si="76"/>
        <v/>
      </c>
      <c r="BW95" s="76" t="str">
        <f t="shared" ca="1" si="77"/>
        <v/>
      </c>
      <c r="BX95" s="76" t="str">
        <f ca="1">IF(BV95="","",COUNTIF(BW$53:BW94,BW95))</f>
        <v/>
      </c>
      <c r="BY95" s="76" t="str">
        <f t="shared" ca="1" si="78"/>
        <v/>
      </c>
      <c r="BZ95" s="76" t="str">
        <f ca="1">IF(BV95="","",IF(BY95=0,0,MATCH(BW95,BW$54:BW95,0)))</f>
        <v/>
      </c>
      <c r="CA95" s="76" t="str">
        <f t="shared" ca="1" si="79"/>
        <v/>
      </c>
      <c r="CB95" s="76" t="str">
        <f t="shared" ca="1" si="80"/>
        <v/>
      </c>
      <c r="CC95" s="76" t="str">
        <f ca="1">IF(BV95="","",COUNTIF(CB$54:CB95,CB95))</f>
        <v/>
      </c>
      <c r="CD95" s="76" t="str">
        <f t="shared" ca="1" si="81"/>
        <v/>
      </c>
      <c r="CE95" s="76" t="str">
        <f t="shared" ca="1" si="82"/>
        <v/>
      </c>
    </row>
    <row r="96" spans="14:94">
      <c r="N96" s="35">
        <f t="shared" si="42"/>
        <v>1</v>
      </c>
      <c r="O96" s="35">
        <f t="shared" si="53"/>
        <v>15</v>
      </c>
      <c r="P96" s="35">
        <f t="shared" si="43"/>
        <v>1</v>
      </c>
      <c r="Q96" s="35">
        <f t="shared" si="54"/>
        <v>1</v>
      </c>
      <c r="R96" s="35">
        <f t="shared" si="44"/>
        <v>1</v>
      </c>
      <c r="AJ96" s="76">
        <v>43</v>
      </c>
      <c r="AK96" s="76" t="str">
        <f t="shared" ca="1" si="45"/>
        <v/>
      </c>
      <c r="AL96" s="76" t="str">
        <f t="shared" ca="1" si="46"/>
        <v/>
      </c>
      <c r="AM96" s="76"/>
      <c r="AN96" s="76"/>
      <c r="AO96" s="76" t="str">
        <f t="shared" ca="1" si="55"/>
        <v/>
      </c>
      <c r="AP96" s="76" t="str">
        <f t="shared" ca="1" si="56"/>
        <v/>
      </c>
      <c r="AQ96" s="76" t="str">
        <f t="shared" ca="1" si="57"/>
        <v/>
      </c>
      <c r="AR96" s="76">
        <f ca="1">COUNTIF($AQ$54:$AQ96,AR$53)</f>
        <v>0</v>
      </c>
      <c r="AS96" s="76">
        <f ca="1">COUNTIF($AQ$54:$AQ96,AS$53)</f>
        <v>0</v>
      </c>
      <c r="AT96" s="76">
        <f ca="1">COUNTIF($AQ$54:$AQ96,AT$53)</f>
        <v>0</v>
      </c>
      <c r="AU96" s="76" t="str">
        <f t="shared" ca="1" si="58"/>
        <v/>
      </c>
      <c r="AV96" s="76" t="str">
        <f t="shared" ca="1" si="59"/>
        <v/>
      </c>
      <c r="AW96" s="76" t="str">
        <f t="shared" ca="1" si="60"/>
        <v/>
      </c>
      <c r="AX96" s="76"/>
      <c r="AY96" s="76">
        <f t="shared" si="61"/>
        <v>43</v>
      </c>
      <c r="AZ96" s="76" t="str">
        <f t="shared" ca="1" si="62"/>
        <v/>
      </c>
      <c r="BA96" s="76" t="str">
        <f t="shared" ca="1" si="63"/>
        <v/>
      </c>
      <c r="BB96" s="76" t="str">
        <f ca="1">IF(AZ96="","",COUNTIF(BA$53:BA95,BA96))</f>
        <v/>
      </c>
      <c r="BC96" s="76" t="str">
        <f t="shared" ca="1" si="64"/>
        <v/>
      </c>
      <c r="BD96" s="76" t="str">
        <f ca="1">IF(AZ96="","",IF(BC96=0,0,MATCH(BA96,BA$54:BA96,0)))</f>
        <v/>
      </c>
      <c r="BE96" s="76" t="str">
        <f t="shared" ca="1" si="65"/>
        <v/>
      </c>
      <c r="BF96" s="76" t="str">
        <f t="shared" ca="1" si="66"/>
        <v/>
      </c>
      <c r="BG96" s="76" t="str">
        <f ca="1">IF(AZ96="","",COUNTIF(BF$54:BF96,BF96))</f>
        <v/>
      </c>
      <c r="BH96" s="76" t="str">
        <f t="shared" ca="1" si="67"/>
        <v/>
      </c>
      <c r="BI96" s="76" t="str">
        <f t="shared" ca="1" si="68"/>
        <v/>
      </c>
      <c r="BJ96" s="76">
        <f t="shared" si="51"/>
        <v>43</v>
      </c>
      <c r="BK96" s="76" t="str">
        <f t="shared" ca="1" si="69"/>
        <v/>
      </c>
      <c r="BL96" s="76" t="str">
        <f t="shared" ca="1" si="70"/>
        <v/>
      </c>
      <c r="BM96" s="76" t="str">
        <f ca="1">IF(BK96="","",COUNTIF(BL$53:BL95,BL96))</f>
        <v/>
      </c>
      <c r="BN96" s="76" t="str">
        <f t="shared" ca="1" si="71"/>
        <v/>
      </c>
      <c r="BO96" s="76" t="str">
        <f ca="1">IF(BK96="","",IF(BN96=0,0,MATCH(BL96,BL$54:BL96,0)))</f>
        <v/>
      </c>
      <c r="BP96" s="76" t="str">
        <f t="shared" ca="1" si="72"/>
        <v/>
      </c>
      <c r="BQ96" s="76" t="str">
        <f t="shared" ca="1" si="73"/>
        <v/>
      </c>
      <c r="BR96" s="76" t="str">
        <f ca="1">IF(BK96="","",COUNTIF(BQ$54:BQ96,BQ96))</f>
        <v/>
      </c>
      <c r="BS96" s="76" t="str">
        <f t="shared" ca="1" si="74"/>
        <v/>
      </c>
      <c r="BT96" s="76" t="str">
        <f t="shared" ca="1" si="75"/>
        <v/>
      </c>
      <c r="BU96" s="76">
        <f t="shared" si="52"/>
        <v>43</v>
      </c>
      <c r="BV96" s="76" t="str">
        <f t="shared" ca="1" si="76"/>
        <v/>
      </c>
      <c r="BW96" s="76" t="str">
        <f t="shared" ca="1" si="77"/>
        <v/>
      </c>
      <c r="BX96" s="76" t="str">
        <f ca="1">IF(BV96="","",COUNTIF(BW$53:BW95,BW96))</f>
        <v/>
      </c>
      <c r="BY96" s="76" t="str">
        <f t="shared" ca="1" si="78"/>
        <v/>
      </c>
      <c r="BZ96" s="76" t="str">
        <f ca="1">IF(BV96="","",IF(BY96=0,0,MATCH(BW96,BW$54:BW96,0)))</f>
        <v/>
      </c>
      <c r="CA96" s="76" t="str">
        <f t="shared" ca="1" si="79"/>
        <v/>
      </c>
      <c r="CB96" s="76" t="str">
        <f t="shared" ca="1" si="80"/>
        <v/>
      </c>
      <c r="CC96" s="76" t="str">
        <f ca="1">IF(BV96="","",COUNTIF(CB$54:CB96,CB96))</f>
        <v/>
      </c>
      <c r="CD96" s="76" t="str">
        <f t="shared" ca="1" si="81"/>
        <v/>
      </c>
      <c r="CE96" s="76" t="str">
        <f t="shared" ca="1" si="82"/>
        <v/>
      </c>
    </row>
    <row r="97" spans="14:83">
      <c r="N97" s="35">
        <f t="shared" si="42"/>
        <v>1</v>
      </c>
      <c r="O97" s="35">
        <f t="shared" si="53"/>
        <v>15</v>
      </c>
      <c r="P97" s="35">
        <f t="shared" si="43"/>
        <v>2</v>
      </c>
      <c r="Q97" s="35">
        <f t="shared" si="54"/>
        <v>2</v>
      </c>
      <c r="R97" s="35">
        <f t="shared" si="44"/>
        <v>2</v>
      </c>
      <c r="AJ97" s="76">
        <v>44</v>
      </c>
      <c r="AK97" s="76" t="str">
        <f t="shared" ca="1" si="45"/>
        <v/>
      </c>
      <c r="AL97" s="76" t="str">
        <f t="shared" ca="1" si="46"/>
        <v/>
      </c>
      <c r="AM97" s="76"/>
      <c r="AN97" s="76"/>
      <c r="AO97" s="76" t="str">
        <f t="shared" ca="1" si="55"/>
        <v/>
      </c>
      <c r="AP97" s="76" t="str">
        <f t="shared" ca="1" si="56"/>
        <v/>
      </c>
      <c r="AQ97" s="76" t="str">
        <f t="shared" ca="1" si="57"/>
        <v/>
      </c>
      <c r="AR97" s="76">
        <f ca="1">COUNTIF($AQ$54:$AQ97,AR$53)</f>
        <v>0</v>
      </c>
      <c r="AS97" s="76">
        <f ca="1">COUNTIF($AQ$54:$AQ97,AS$53)</f>
        <v>0</v>
      </c>
      <c r="AT97" s="76">
        <f ca="1">COUNTIF($AQ$54:$AQ97,AT$53)</f>
        <v>0</v>
      </c>
      <c r="AU97" s="76" t="str">
        <f t="shared" ca="1" si="58"/>
        <v/>
      </c>
      <c r="AV97" s="76" t="str">
        <f t="shared" ca="1" si="59"/>
        <v/>
      </c>
      <c r="AW97" s="76" t="str">
        <f t="shared" ca="1" si="60"/>
        <v/>
      </c>
      <c r="AX97" s="76"/>
      <c r="AY97" s="76">
        <f t="shared" si="61"/>
        <v>44</v>
      </c>
      <c r="AZ97" s="76" t="str">
        <f t="shared" ca="1" si="62"/>
        <v/>
      </c>
      <c r="BA97" s="76" t="str">
        <f t="shared" ca="1" si="63"/>
        <v/>
      </c>
      <c r="BB97" s="76" t="str">
        <f ca="1">IF(AZ97="","",COUNTIF(BA$53:BA96,BA97))</f>
        <v/>
      </c>
      <c r="BC97" s="76" t="str">
        <f t="shared" ca="1" si="64"/>
        <v/>
      </c>
      <c r="BD97" s="76" t="str">
        <f ca="1">IF(AZ97="","",IF(BC97=0,0,MATCH(BA97,BA$54:BA97,0)))</f>
        <v/>
      </c>
      <c r="BE97" s="76" t="str">
        <f t="shared" ca="1" si="65"/>
        <v/>
      </c>
      <c r="BF97" s="76" t="str">
        <f t="shared" ca="1" si="66"/>
        <v/>
      </c>
      <c r="BG97" s="76" t="str">
        <f ca="1">IF(AZ97="","",COUNTIF(BF$54:BF97,BF97))</f>
        <v/>
      </c>
      <c r="BH97" s="76" t="str">
        <f t="shared" ca="1" si="67"/>
        <v/>
      </c>
      <c r="BI97" s="76" t="str">
        <f t="shared" ca="1" si="68"/>
        <v/>
      </c>
      <c r="BJ97" s="76">
        <f t="shared" si="51"/>
        <v>44</v>
      </c>
      <c r="BK97" s="76" t="str">
        <f t="shared" ca="1" si="69"/>
        <v/>
      </c>
      <c r="BL97" s="76" t="str">
        <f t="shared" ca="1" si="70"/>
        <v/>
      </c>
      <c r="BM97" s="76" t="str">
        <f ca="1">IF(BK97="","",COUNTIF(BL$53:BL96,BL97))</f>
        <v/>
      </c>
      <c r="BN97" s="76" t="str">
        <f t="shared" ca="1" si="71"/>
        <v/>
      </c>
      <c r="BO97" s="76" t="str">
        <f ca="1">IF(BK97="","",IF(BN97=0,0,MATCH(BL97,BL$54:BL97,0)))</f>
        <v/>
      </c>
      <c r="BP97" s="76" t="str">
        <f t="shared" ca="1" si="72"/>
        <v/>
      </c>
      <c r="BQ97" s="76" t="str">
        <f t="shared" ca="1" si="73"/>
        <v/>
      </c>
      <c r="BR97" s="76" t="str">
        <f ca="1">IF(BK97="","",COUNTIF(BQ$54:BQ97,BQ97))</f>
        <v/>
      </c>
      <c r="BS97" s="76" t="str">
        <f t="shared" ca="1" si="74"/>
        <v/>
      </c>
      <c r="BT97" s="76" t="str">
        <f t="shared" ca="1" si="75"/>
        <v/>
      </c>
      <c r="BU97" s="76">
        <f t="shared" si="52"/>
        <v>44</v>
      </c>
      <c r="BV97" s="76" t="str">
        <f t="shared" ca="1" si="76"/>
        <v/>
      </c>
      <c r="BW97" s="76" t="str">
        <f t="shared" ca="1" si="77"/>
        <v/>
      </c>
      <c r="BX97" s="76" t="str">
        <f ca="1">IF(BV97="","",COUNTIF(BW$53:BW96,BW97))</f>
        <v/>
      </c>
      <c r="BY97" s="76" t="str">
        <f t="shared" ca="1" si="78"/>
        <v/>
      </c>
      <c r="BZ97" s="76" t="str">
        <f ca="1">IF(BV97="","",IF(BY97=0,0,MATCH(BW97,BW$54:BW97,0)))</f>
        <v/>
      </c>
      <c r="CA97" s="76" t="str">
        <f t="shared" ca="1" si="79"/>
        <v/>
      </c>
      <c r="CB97" s="76" t="str">
        <f t="shared" ca="1" si="80"/>
        <v/>
      </c>
      <c r="CC97" s="76" t="str">
        <f ca="1">IF(BV97="","",COUNTIF(CB$54:CB97,CB97))</f>
        <v/>
      </c>
      <c r="CD97" s="76" t="str">
        <f t="shared" ca="1" si="81"/>
        <v/>
      </c>
      <c r="CE97" s="76" t="str">
        <f t="shared" ca="1" si="82"/>
        <v/>
      </c>
    </row>
    <row r="98" spans="14:83">
      <c r="N98" s="35">
        <f t="shared" si="42"/>
        <v>1</v>
      </c>
      <c r="O98" s="35">
        <f t="shared" si="53"/>
        <v>15</v>
      </c>
      <c r="P98" s="35">
        <f t="shared" si="43"/>
        <v>3</v>
      </c>
      <c r="Q98" s="35">
        <f t="shared" si="54"/>
        <v>3</v>
      </c>
      <c r="R98" s="35">
        <f t="shared" si="44"/>
        <v>3</v>
      </c>
      <c r="AJ98" s="76">
        <v>45</v>
      </c>
      <c r="AK98" s="76" t="str">
        <f t="shared" ca="1" si="45"/>
        <v/>
      </c>
      <c r="AL98" s="76" t="str">
        <f t="shared" ca="1" si="46"/>
        <v/>
      </c>
      <c r="AM98" s="76"/>
      <c r="AN98" s="76"/>
      <c r="AO98" s="76" t="str">
        <f t="shared" ca="1" si="55"/>
        <v/>
      </c>
      <c r="AP98" s="76" t="str">
        <f t="shared" ca="1" si="56"/>
        <v/>
      </c>
      <c r="AQ98" s="76" t="str">
        <f t="shared" ca="1" si="57"/>
        <v/>
      </c>
      <c r="AR98" s="76">
        <f ca="1">COUNTIF($AQ$54:$AQ98,AR$53)</f>
        <v>0</v>
      </c>
      <c r="AS98" s="76">
        <f ca="1">COUNTIF($AQ$54:$AQ98,AS$53)</f>
        <v>0</v>
      </c>
      <c r="AT98" s="76">
        <f ca="1">COUNTIF($AQ$54:$AQ98,AT$53)</f>
        <v>0</v>
      </c>
      <c r="AU98" s="76" t="str">
        <f t="shared" ca="1" si="58"/>
        <v/>
      </c>
      <c r="AV98" s="76" t="str">
        <f t="shared" ca="1" si="59"/>
        <v/>
      </c>
      <c r="AW98" s="76" t="str">
        <f t="shared" ca="1" si="60"/>
        <v/>
      </c>
      <c r="AX98" s="76"/>
      <c r="AY98" s="76">
        <f t="shared" si="61"/>
        <v>45</v>
      </c>
      <c r="AZ98" s="76" t="str">
        <f t="shared" ca="1" si="62"/>
        <v/>
      </c>
      <c r="BA98" s="76" t="str">
        <f t="shared" ca="1" si="63"/>
        <v/>
      </c>
      <c r="BB98" s="76" t="str">
        <f ca="1">IF(AZ98="","",COUNTIF(BA$53:BA97,BA98))</f>
        <v/>
      </c>
      <c r="BC98" s="76" t="str">
        <f t="shared" ca="1" si="64"/>
        <v/>
      </c>
      <c r="BD98" s="76" t="str">
        <f ca="1">IF(AZ98="","",IF(BC98=0,0,MATCH(BA98,BA$54:BA98,0)))</f>
        <v/>
      </c>
      <c r="BE98" s="76" t="str">
        <f t="shared" ca="1" si="65"/>
        <v/>
      </c>
      <c r="BF98" s="76" t="str">
        <f t="shared" ca="1" si="66"/>
        <v/>
      </c>
      <c r="BG98" s="76" t="str">
        <f ca="1">IF(AZ98="","",COUNTIF(BF$54:BF98,BF98))</f>
        <v/>
      </c>
      <c r="BH98" s="76" t="str">
        <f t="shared" ca="1" si="67"/>
        <v/>
      </c>
      <c r="BI98" s="76" t="str">
        <f t="shared" ca="1" si="68"/>
        <v/>
      </c>
      <c r="BJ98" s="76">
        <f t="shared" si="51"/>
        <v>45</v>
      </c>
      <c r="BK98" s="76" t="str">
        <f t="shared" ca="1" si="69"/>
        <v/>
      </c>
      <c r="BL98" s="76" t="str">
        <f t="shared" ca="1" si="70"/>
        <v/>
      </c>
      <c r="BM98" s="76" t="str">
        <f ca="1">IF(BK98="","",COUNTIF(BL$53:BL97,BL98))</f>
        <v/>
      </c>
      <c r="BN98" s="76" t="str">
        <f t="shared" ca="1" si="71"/>
        <v/>
      </c>
      <c r="BO98" s="76" t="str">
        <f ca="1">IF(BK98="","",IF(BN98=0,0,MATCH(BL98,BL$54:BL98,0)))</f>
        <v/>
      </c>
      <c r="BP98" s="76" t="str">
        <f t="shared" ca="1" si="72"/>
        <v/>
      </c>
      <c r="BQ98" s="76" t="str">
        <f t="shared" ca="1" si="73"/>
        <v/>
      </c>
      <c r="BR98" s="76" t="str">
        <f ca="1">IF(BK98="","",COUNTIF(BQ$54:BQ98,BQ98))</f>
        <v/>
      </c>
      <c r="BS98" s="76" t="str">
        <f t="shared" ca="1" si="74"/>
        <v/>
      </c>
      <c r="BT98" s="76" t="str">
        <f t="shared" ca="1" si="75"/>
        <v/>
      </c>
      <c r="BU98" s="76">
        <f t="shared" si="52"/>
        <v>45</v>
      </c>
      <c r="BV98" s="76" t="str">
        <f t="shared" ca="1" si="76"/>
        <v/>
      </c>
      <c r="BW98" s="76" t="str">
        <f t="shared" ca="1" si="77"/>
        <v/>
      </c>
      <c r="BX98" s="76" t="str">
        <f ca="1">IF(BV98="","",COUNTIF(BW$53:BW97,BW98))</f>
        <v/>
      </c>
      <c r="BY98" s="76" t="str">
        <f t="shared" ca="1" si="78"/>
        <v/>
      </c>
      <c r="BZ98" s="76" t="str">
        <f ca="1">IF(BV98="","",IF(BY98=0,0,MATCH(BW98,BW$54:BW98,0)))</f>
        <v/>
      </c>
      <c r="CA98" s="76" t="str">
        <f t="shared" ca="1" si="79"/>
        <v/>
      </c>
      <c r="CB98" s="76" t="str">
        <f t="shared" ca="1" si="80"/>
        <v/>
      </c>
      <c r="CC98" s="76" t="str">
        <f ca="1">IF(BV98="","",COUNTIF(CB$54:CB98,CB98))</f>
        <v/>
      </c>
      <c r="CD98" s="76" t="str">
        <f t="shared" ca="1" si="81"/>
        <v/>
      </c>
      <c r="CE98" s="76" t="str">
        <f t="shared" ca="1" si="82"/>
        <v/>
      </c>
    </row>
    <row r="99" spans="14:83">
      <c r="N99" s="35">
        <f t="shared" si="42"/>
        <v>0</v>
      </c>
      <c r="O99" s="35">
        <f t="shared" si="53"/>
        <v>16</v>
      </c>
      <c r="P99" s="35">
        <f t="shared" si="43"/>
        <v>3</v>
      </c>
      <c r="Q99" s="35">
        <f t="shared" si="54"/>
        <v>1</v>
      </c>
      <c r="R99" s="35">
        <f t="shared" si="44"/>
        <v>3</v>
      </c>
      <c r="AJ99" s="76">
        <v>46</v>
      </c>
      <c r="AK99" s="76" t="str">
        <f t="shared" ca="1" si="45"/>
        <v/>
      </c>
      <c r="AL99" s="76" t="str">
        <f t="shared" ca="1" si="46"/>
        <v/>
      </c>
      <c r="AM99" s="76"/>
      <c r="AN99" s="76"/>
      <c r="AO99" s="76" t="str">
        <f t="shared" ca="1" si="55"/>
        <v/>
      </c>
      <c r="AP99" s="76" t="str">
        <f t="shared" ca="1" si="56"/>
        <v/>
      </c>
      <c r="AQ99" s="76" t="str">
        <f t="shared" ca="1" si="57"/>
        <v/>
      </c>
      <c r="AR99" s="76">
        <f ca="1">COUNTIF($AQ$54:$AQ99,AR$53)</f>
        <v>0</v>
      </c>
      <c r="AS99" s="76">
        <f ca="1">COUNTIF($AQ$54:$AQ99,AS$53)</f>
        <v>0</v>
      </c>
      <c r="AT99" s="76">
        <f ca="1">COUNTIF($AQ$54:$AQ99,AT$53)</f>
        <v>0</v>
      </c>
      <c r="AU99" s="76" t="str">
        <f t="shared" ca="1" si="58"/>
        <v/>
      </c>
      <c r="AV99" s="76" t="str">
        <f t="shared" ca="1" si="59"/>
        <v/>
      </c>
      <c r="AW99" s="76" t="str">
        <f t="shared" ca="1" si="60"/>
        <v/>
      </c>
      <c r="AX99" s="76"/>
      <c r="AY99" s="76">
        <f t="shared" si="61"/>
        <v>46</v>
      </c>
      <c r="AZ99" s="76" t="str">
        <f t="shared" ca="1" si="62"/>
        <v/>
      </c>
      <c r="BA99" s="76" t="str">
        <f t="shared" ca="1" si="63"/>
        <v/>
      </c>
      <c r="BB99" s="76" t="str">
        <f ca="1">IF(AZ99="","",COUNTIF(BA$53:BA98,BA99))</f>
        <v/>
      </c>
      <c r="BC99" s="76" t="str">
        <f t="shared" ca="1" si="64"/>
        <v/>
      </c>
      <c r="BD99" s="76" t="str">
        <f ca="1">IF(AZ99="","",IF(BC99=0,0,MATCH(BA99,BA$54:BA99,0)))</f>
        <v/>
      </c>
      <c r="BE99" s="76" t="str">
        <f t="shared" ca="1" si="65"/>
        <v/>
      </c>
      <c r="BF99" s="76" t="str">
        <f t="shared" ca="1" si="66"/>
        <v/>
      </c>
      <c r="BG99" s="76" t="str">
        <f ca="1">IF(AZ99="","",COUNTIF(BF$54:BF99,BF99))</f>
        <v/>
      </c>
      <c r="BH99" s="76" t="str">
        <f t="shared" ca="1" si="67"/>
        <v/>
      </c>
      <c r="BI99" s="76" t="str">
        <f t="shared" ca="1" si="68"/>
        <v/>
      </c>
      <c r="BJ99" s="76">
        <f t="shared" si="51"/>
        <v>46</v>
      </c>
      <c r="BK99" s="76" t="str">
        <f t="shared" ca="1" si="69"/>
        <v/>
      </c>
      <c r="BL99" s="76" t="str">
        <f t="shared" ca="1" si="70"/>
        <v/>
      </c>
      <c r="BM99" s="76" t="str">
        <f ca="1">IF(BK99="","",COUNTIF(BL$53:BL98,BL99))</f>
        <v/>
      </c>
      <c r="BN99" s="76" t="str">
        <f t="shared" ca="1" si="71"/>
        <v/>
      </c>
      <c r="BO99" s="76" t="str">
        <f ca="1">IF(BK99="","",IF(BN99=0,0,MATCH(BL99,BL$54:BL99,0)))</f>
        <v/>
      </c>
      <c r="BP99" s="76" t="str">
        <f t="shared" ca="1" si="72"/>
        <v/>
      </c>
      <c r="BQ99" s="76" t="str">
        <f t="shared" ca="1" si="73"/>
        <v/>
      </c>
      <c r="BR99" s="76" t="str">
        <f ca="1">IF(BK99="","",COUNTIF(BQ$54:BQ99,BQ99))</f>
        <v/>
      </c>
      <c r="BS99" s="76" t="str">
        <f t="shared" ca="1" si="74"/>
        <v/>
      </c>
      <c r="BT99" s="76" t="str">
        <f t="shared" ca="1" si="75"/>
        <v/>
      </c>
      <c r="BU99" s="76">
        <f t="shared" si="52"/>
        <v>46</v>
      </c>
      <c r="BV99" s="76" t="str">
        <f t="shared" ca="1" si="76"/>
        <v/>
      </c>
      <c r="BW99" s="76" t="str">
        <f t="shared" ca="1" si="77"/>
        <v/>
      </c>
      <c r="BX99" s="76" t="str">
        <f ca="1">IF(BV99="","",COUNTIF(BW$53:BW98,BW99))</f>
        <v/>
      </c>
      <c r="BY99" s="76" t="str">
        <f t="shared" ca="1" si="78"/>
        <v/>
      </c>
      <c r="BZ99" s="76" t="str">
        <f ca="1">IF(BV99="","",IF(BY99=0,0,MATCH(BW99,BW$54:BW99,0)))</f>
        <v/>
      </c>
      <c r="CA99" s="76" t="str">
        <f t="shared" ca="1" si="79"/>
        <v/>
      </c>
      <c r="CB99" s="76" t="str">
        <f t="shared" ca="1" si="80"/>
        <v/>
      </c>
      <c r="CC99" s="76" t="str">
        <f ca="1">IF(BV99="","",COUNTIF(CB$54:CB99,CB99))</f>
        <v/>
      </c>
      <c r="CD99" s="76" t="str">
        <f t="shared" ca="1" si="81"/>
        <v/>
      </c>
      <c r="CE99" s="76" t="str">
        <f t="shared" ca="1" si="82"/>
        <v/>
      </c>
    </row>
    <row r="100" spans="14:83">
      <c r="N100" s="35">
        <f t="shared" si="42"/>
        <v>0</v>
      </c>
      <c r="O100" s="35">
        <f t="shared" si="53"/>
        <v>16</v>
      </c>
      <c r="P100" s="35">
        <f t="shared" si="43"/>
        <v>2</v>
      </c>
      <c r="Q100" s="35">
        <f t="shared" si="54"/>
        <v>2</v>
      </c>
      <c r="R100" s="35">
        <f t="shared" si="44"/>
        <v>2</v>
      </c>
      <c r="AJ100" s="76">
        <v>47</v>
      </c>
      <c r="AK100" s="76" t="str">
        <f t="shared" ca="1" si="45"/>
        <v/>
      </c>
      <c r="AL100" s="76" t="str">
        <f t="shared" ca="1" si="46"/>
        <v/>
      </c>
      <c r="AM100" s="76"/>
      <c r="AN100" s="76"/>
      <c r="AO100" s="76" t="str">
        <f t="shared" ca="1" si="55"/>
        <v/>
      </c>
      <c r="AP100" s="76" t="str">
        <f t="shared" ca="1" si="56"/>
        <v/>
      </c>
      <c r="AQ100" s="76" t="str">
        <f t="shared" ca="1" si="57"/>
        <v/>
      </c>
      <c r="AR100" s="76">
        <f ca="1">COUNTIF($AQ$54:$AQ100,AR$53)</f>
        <v>0</v>
      </c>
      <c r="AS100" s="76">
        <f ca="1">COUNTIF($AQ$54:$AQ100,AS$53)</f>
        <v>0</v>
      </c>
      <c r="AT100" s="76">
        <f ca="1">COUNTIF($AQ$54:$AQ100,AT$53)</f>
        <v>0</v>
      </c>
      <c r="AU100" s="76" t="str">
        <f t="shared" ca="1" si="58"/>
        <v/>
      </c>
      <c r="AV100" s="76" t="str">
        <f t="shared" ca="1" si="59"/>
        <v/>
      </c>
      <c r="AW100" s="76" t="str">
        <f t="shared" ca="1" si="60"/>
        <v/>
      </c>
      <c r="AX100" s="76"/>
      <c r="AY100" s="76">
        <f t="shared" si="61"/>
        <v>47</v>
      </c>
      <c r="AZ100" s="76" t="str">
        <f t="shared" ca="1" si="62"/>
        <v/>
      </c>
      <c r="BA100" s="76" t="str">
        <f t="shared" ca="1" si="63"/>
        <v/>
      </c>
      <c r="BB100" s="76" t="str">
        <f ca="1">IF(AZ100="","",COUNTIF(BA$53:BA99,BA100))</f>
        <v/>
      </c>
      <c r="BC100" s="76" t="str">
        <f t="shared" ca="1" si="64"/>
        <v/>
      </c>
      <c r="BD100" s="76" t="str">
        <f ca="1">IF(AZ100="","",IF(BC100=0,0,MATCH(BA100,BA$54:BA100,0)))</f>
        <v/>
      </c>
      <c r="BE100" s="76" t="str">
        <f t="shared" ca="1" si="65"/>
        <v/>
      </c>
      <c r="BF100" s="76" t="str">
        <f t="shared" ca="1" si="66"/>
        <v/>
      </c>
      <c r="BG100" s="76" t="str">
        <f ca="1">IF(AZ100="","",COUNTIF(BF$54:BF100,BF100))</f>
        <v/>
      </c>
      <c r="BH100" s="76" t="str">
        <f t="shared" ca="1" si="67"/>
        <v/>
      </c>
      <c r="BI100" s="76" t="str">
        <f t="shared" ca="1" si="68"/>
        <v/>
      </c>
      <c r="BJ100" s="76">
        <f t="shared" si="51"/>
        <v>47</v>
      </c>
      <c r="BK100" s="76" t="str">
        <f t="shared" ca="1" si="69"/>
        <v/>
      </c>
      <c r="BL100" s="76" t="str">
        <f t="shared" ca="1" si="70"/>
        <v/>
      </c>
      <c r="BM100" s="76" t="str">
        <f ca="1">IF(BK100="","",COUNTIF(BL$53:BL99,BL100))</f>
        <v/>
      </c>
      <c r="BN100" s="76" t="str">
        <f t="shared" ca="1" si="71"/>
        <v/>
      </c>
      <c r="BO100" s="76" t="str">
        <f ca="1">IF(BK100="","",IF(BN100=0,0,MATCH(BL100,BL$54:BL100,0)))</f>
        <v/>
      </c>
      <c r="BP100" s="76" t="str">
        <f t="shared" ca="1" si="72"/>
        <v/>
      </c>
      <c r="BQ100" s="76" t="str">
        <f t="shared" ca="1" si="73"/>
        <v/>
      </c>
      <c r="BR100" s="76" t="str">
        <f ca="1">IF(BK100="","",COUNTIF(BQ$54:BQ100,BQ100))</f>
        <v/>
      </c>
      <c r="BS100" s="76" t="str">
        <f t="shared" ca="1" si="74"/>
        <v/>
      </c>
      <c r="BT100" s="76" t="str">
        <f t="shared" ca="1" si="75"/>
        <v/>
      </c>
      <c r="BU100" s="76">
        <f t="shared" si="52"/>
        <v>47</v>
      </c>
      <c r="BV100" s="76" t="str">
        <f t="shared" ca="1" si="76"/>
        <v/>
      </c>
      <c r="BW100" s="76" t="str">
        <f t="shared" ca="1" si="77"/>
        <v/>
      </c>
      <c r="BX100" s="76" t="str">
        <f ca="1">IF(BV100="","",COUNTIF(BW$53:BW99,BW100))</f>
        <v/>
      </c>
      <c r="BY100" s="76" t="str">
        <f t="shared" ca="1" si="78"/>
        <v/>
      </c>
      <c r="BZ100" s="76" t="str">
        <f ca="1">IF(BV100="","",IF(BY100=0,0,MATCH(BW100,BW$54:BW100,0)))</f>
        <v/>
      </c>
      <c r="CA100" s="76" t="str">
        <f t="shared" ca="1" si="79"/>
        <v/>
      </c>
      <c r="CB100" s="76" t="str">
        <f t="shared" ca="1" si="80"/>
        <v/>
      </c>
      <c r="CC100" s="76" t="str">
        <f ca="1">IF(BV100="","",COUNTIF(CB$54:CB100,CB100))</f>
        <v/>
      </c>
      <c r="CD100" s="76" t="str">
        <f t="shared" ca="1" si="81"/>
        <v/>
      </c>
      <c r="CE100" s="76" t="str">
        <f t="shared" ca="1" si="82"/>
        <v/>
      </c>
    </row>
    <row r="101" spans="14:83">
      <c r="N101" s="35">
        <f t="shared" si="42"/>
        <v>0</v>
      </c>
      <c r="O101" s="35">
        <f t="shared" si="53"/>
        <v>16</v>
      </c>
      <c r="P101" s="35">
        <f t="shared" si="43"/>
        <v>1</v>
      </c>
      <c r="Q101" s="35">
        <f t="shared" si="54"/>
        <v>3</v>
      </c>
      <c r="R101" s="35">
        <f t="shared" si="44"/>
        <v>1</v>
      </c>
      <c r="AJ101" s="76">
        <v>48</v>
      </c>
      <c r="AK101" s="76" t="str">
        <f t="shared" ca="1" si="45"/>
        <v/>
      </c>
      <c r="AL101" s="76" t="str">
        <f t="shared" ca="1" si="46"/>
        <v/>
      </c>
      <c r="AM101" s="76"/>
      <c r="AN101" s="76"/>
      <c r="AO101" s="76" t="str">
        <f t="shared" ca="1" si="55"/>
        <v/>
      </c>
      <c r="AP101" s="76" t="str">
        <f t="shared" ca="1" si="56"/>
        <v/>
      </c>
      <c r="AQ101" s="76" t="str">
        <f t="shared" ca="1" si="57"/>
        <v/>
      </c>
      <c r="AR101" s="76">
        <f ca="1">COUNTIF($AQ$54:$AQ101,AR$53)</f>
        <v>0</v>
      </c>
      <c r="AS101" s="76">
        <f ca="1">COUNTIF($AQ$54:$AQ101,AS$53)</f>
        <v>0</v>
      </c>
      <c r="AT101" s="76">
        <f ca="1">COUNTIF($AQ$54:$AQ101,AT$53)</f>
        <v>0</v>
      </c>
      <c r="AU101" s="76" t="str">
        <f t="shared" ca="1" si="58"/>
        <v/>
      </c>
      <c r="AV101" s="76" t="str">
        <f t="shared" ca="1" si="59"/>
        <v/>
      </c>
      <c r="AW101" s="76" t="str">
        <f t="shared" ca="1" si="60"/>
        <v/>
      </c>
      <c r="AX101" s="76"/>
      <c r="AY101" s="76">
        <f t="shared" si="61"/>
        <v>48</v>
      </c>
      <c r="AZ101" s="76" t="str">
        <f t="shared" ca="1" si="62"/>
        <v/>
      </c>
      <c r="BA101" s="76" t="str">
        <f t="shared" ca="1" si="63"/>
        <v/>
      </c>
      <c r="BB101" s="76" t="str">
        <f ca="1">IF(AZ101="","",COUNTIF(BA$53:BA100,BA101))</f>
        <v/>
      </c>
      <c r="BC101" s="76" t="str">
        <f t="shared" ca="1" si="64"/>
        <v/>
      </c>
      <c r="BD101" s="76" t="str">
        <f ca="1">IF(AZ101="","",IF(BC101=0,0,MATCH(BA101,BA$54:BA101,0)))</f>
        <v/>
      </c>
      <c r="BE101" s="76" t="str">
        <f t="shared" ca="1" si="65"/>
        <v/>
      </c>
      <c r="BF101" s="76" t="str">
        <f t="shared" ca="1" si="66"/>
        <v/>
      </c>
      <c r="BG101" s="76" t="str">
        <f ca="1">IF(AZ101="","",COUNTIF(BF$54:BF101,BF101))</f>
        <v/>
      </c>
      <c r="BH101" s="76" t="str">
        <f t="shared" ca="1" si="67"/>
        <v/>
      </c>
      <c r="BI101" s="76" t="str">
        <f t="shared" ca="1" si="68"/>
        <v/>
      </c>
      <c r="BJ101" s="76">
        <f t="shared" si="51"/>
        <v>48</v>
      </c>
      <c r="BK101" s="76" t="str">
        <f t="shared" ca="1" si="69"/>
        <v/>
      </c>
      <c r="BL101" s="76" t="str">
        <f t="shared" ca="1" si="70"/>
        <v/>
      </c>
      <c r="BM101" s="76" t="str">
        <f ca="1">IF(BK101="","",COUNTIF(BL$53:BL100,BL101))</f>
        <v/>
      </c>
      <c r="BN101" s="76" t="str">
        <f t="shared" ca="1" si="71"/>
        <v/>
      </c>
      <c r="BO101" s="76" t="str">
        <f ca="1">IF(BK101="","",IF(BN101=0,0,MATCH(BL101,BL$54:BL101,0)))</f>
        <v/>
      </c>
      <c r="BP101" s="76" t="str">
        <f t="shared" ca="1" si="72"/>
        <v/>
      </c>
      <c r="BQ101" s="76" t="str">
        <f t="shared" ca="1" si="73"/>
        <v/>
      </c>
      <c r="BR101" s="76" t="str">
        <f ca="1">IF(BK101="","",COUNTIF(BQ$54:BQ101,BQ101))</f>
        <v/>
      </c>
      <c r="BS101" s="76" t="str">
        <f t="shared" ca="1" si="74"/>
        <v/>
      </c>
      <c r="BT101" s="76" t="str">
        <f t="shared" ca="1" si="75"/>
        <v/>
      </c>
      <c r="BU101" s="76">
        <f t="shared" si="52"/>
        <v>48</v>
      </c>
      <c r="BV101" s="76" t="str">
        <f t="shared" ca="1" si="76"/>
        <v/>
      </c>
      <c r="BW101" s="76" t="str">
        <f t="shared" ca="1" si="77"/>
        <v/>
      </c>
      <c r="BX101" s="76" t="str">
        <f ca="1">IF(BV101="","",COUNTIF(BW$53:BW100,BW101))</f>
        <v/>
      </c>
      <c r="BY101" s="76" t="str">
        <f t="shared" ca="1" si="78"/>
        <v/>
      </c>
      <c r="BZ101" s="76" t="str">
        <f ca="1">IF(BV101="","",IF(BY101=0,0,MATCH(BW101,BW$54:BW101,0)))</f>
        <v/>
      </c>
      <c r="CA101" s="76" t="str">
        <f t="shared" ca="1" si="79"/>
        <v/>
      </c>
      <c r="CB101" s="76" t="str">
        <f t="shared" ca="1" si="80"/>
        <v/>
      </c>
      <c r="CC101" s="76" t="str">
        <f ca="1">IF(BV101="","",COUNTIF(CB$54:CB101,CB101))</f>
        <v/>
      </c>
      <c r="CD101" s="76" t="str">
        <f t="shared" ca="1" si="81"/>
        <v/>
      </c>
      <c r="CE101" s="76" t="str">
        <f t="shared" ca="1" si="82"/>
        <v/>
      </c>
    </row>
    <row r="102" spans="14:83">
      <c r="N102" s="35">
        <f t="shared" si="42"/>
        <v>1</v>
      </c>
      <c r="O102" s="35">
        <f t="shared" si="53"/>
        <v>17</v>
      </c>
      <c r="P102" s="35">
        <f t="shared" si="43"/>
        <v>1</v>
      </c>
      <c r="Q102" s="35">
        <f t="shared" si="54"/>
        <v>1</v>
      </c>
      <c r="R102" s="35">
        <f t="shared" si="44"/>
        <v>1</v>
      </c>
      <c r="AJ102" s="76">
        <v>49</v>
      </c>
      <c r="AK102" s="76" t="str">
        <f t="shared" ca="1" si="45"/>
        <v/>
      </c>
      <c r="AL102" s="76" t="str">
        <f t="shared" ca="1" si="46"/>
        <v/>
      </c>
      <c r="AM102" s="76"/>
      <c r="AN102" s="76"/>
      <c r="AO102" s="76" t="str">
        <f t="shared" ca="1" si="55"/>
        <v/>
      </c>
      <c r="AP102" s="76" t="str">
        <f t="shared" ca="1" si="56"/>
        <v/>
      </c>
      <c r="AQ102" s="76" t="str">
        <f t="shared" ca="1" si="57"/>
        <v/>
      </c>
      <c r="AR102" s="76">
        <f ca="1">COUNTIF($AQ$54:$AQ102,AR$53)</f>
        <v>0</v>
      </c>
      <c r="AS102" s="76">
        <f ca="1">COUNTIF($AQ$54:$AQ102,AS$53)</f>
        <v>0</v>
      </c>
      <c r="AT102" s="76">
        <f ca="1">COUNTIF($AQ$54:$AQ102,AT$53)</f>
        <v>0</v>
      </c>
      <c r="AU102" s="76" t="str">
        <f t="shared" ca="1" si="58"/>
        <v/>
      </c>
      <c r="AV102" s="76" t="str">
        <f t="shared" ca="1" si="59"/>
        <v/>
      </c>
      <c r="AW102" s="76" t="str">
        <f t="shared" ca="1" si="60"/>
        <v/>
      </c>
      <c r="AX102" s="76"/>
      <c r="AY102" s="76">
        <f t="shared" si="61"/>
        <v>49</v>
      </c>
      <c r="AZ102" s="76" t="str">
        <f t="shared" ca="1" si="62"/>
        <v/>
      </c>
      <c r="BA102" s="76" t="str">
        <f t="shared" ca="1" si="63"/>
        <v/>
      </c>
      <c r="BB102" s="76" t="str">
        <f ca="1">IF(AZ102="","",COUNTIF(BA$53:BA101,BA102))</f>
        <v/>
      </c>
      <c r="BC102" s="76" t="str">
        <f t="shared" ca="1" si="64"/>
        <v/>
      </c>
      <c r="BD102" s="76" t="str">
        <f ca="1">IF(AZ102="","",IF(BC102=0,0,MATCH(BA102,BA$54:BA102,0)))</f>
        <v/>
      </c>
      <c r="BE102" s="76" t="str">
        <f t="shared" ca="1" si="65"/>
        <v/>
      </c>
      <c r="BF102" s="76" t="str">
        <f t="shared" ca="1" si="66"/>
        <v/>
      </c>
      <c r="BG102" s="76" t="str">
        <f ca="1">IF(AZ102="","",COUNTIF(BF$54:BF102,BF102))</f>
        <v/>
      </c>
      <c r="BH102" s="76" t="str">
        <f t="shared" ca="1" si="67"/>
        <v/>
      </c>
      <c r="BI102" s="76" t="str">
        <f t="shared" ca="1" si="68"/>
        <v/>
      </c>
      <c r="BJ102" s="76">
        <f t="shared" si="51"/>
        <v>49</v>
      </c>
      <c r="BK102" s="76" t="str">
        <f t="shared" ca="1" si="69"/>
        <v/>
      </c>
      <c r="BL102" s="76" t="str">
        <f t="shared" ca="1" si="70"/>
        <v/>
      </c>
      <c r="BM102" s="76" t="str">
        <f ca="1">IF(BK102="","",COUNTIF(BL$53:BL101,BL102))</f>
        <v/>
      </c>
      <c r="BN102" s="76" t="str">
        <f t="shared" ca="1" si="71"/>
        <v/>
      </c>
      <c r="BO102" s="76" t="str">
        <f ca="1">IF(BK102="","",IF(BN102=0,0,MATCH(BL102,BL$54:BL102,0)))</f>
        <v/>
      </c>
      <c r="BP102" s="76" t="str">
        <f t="shared" ca="1" si="72"/>
        <v/>
      </c>
      <c r="BQ102" s="76" t="str">
        <f t="shared" ca="1" si="73"/>
        <v/>
      </c>
      <c r="BR102" s="76" t="str">
        <f ca="1">IF(BK102="","",COUNTIF(BQ$54:BQ102,BQ102))</f>
        <v/>
      </c>
      <c r="BS102" s="76" t="str">
        <f t="shared" ca="1" si="74"/>
        <v/>
      </c>
      <c r="BT102" s="76" t="str">
        <f t="shared" ca="1" si="75"/>
        <v/>
      </c>
      <c r="BU102" s="76">
        <f t="shared" si="52"/>
        <v>49</v>
      </c>
      <c r="BV102" s="76" t="str">
        <f t="shared" ca="1" si="76"/>
        <v/>
      </c>
      <c r="BW102" s="76" t="str">
        <f t="shared" ca="1" si="77"/>
        <v/>
      </c>
      <c r="BX102" s="76" t="str">
        <f ca="1">IF(BV102="","",COUNTIF(BW$53:BW101,BW102))</f>
        <v/>
      </c>
      <c r="BY102" s="76" t="str">
        <f t="shared" ca="1" si="78"/>
        <v/>
      </c>
      <c r="BZ102" s="76" t="str">
        <f ca="1">IF(BV102="","",IF(BY102=0,0,MATCH(BW102,BW$54:BW102,0)))</f>
        <v/>
      </c>
      <c r="CA102" s="76" t="str">
        <f t="shared" ca="1" si="79"/>
        <v/>
      </c>
      <c r="CB102" s="76" t="str">
        <f t="shared" ca="1" si="80"/>
        <v/>
      </c>
      <c r="CC102" s="76" t="str">
        <f ca="1">IF(BV102="","",COUNTIF(CB$54:CB102,CB102))</f>
        <v/>
      </c>
      <c r="CD102" s="76" t="str">
        <f t="shared" ca="1" si="81"/>
        <v/>
      </c>
      <c r="CE102" s="76" t="str">
        <f t="shared" ca="1" si="82"/>
        <v/>
      </c>
    </row>
    <row r="103" spans="14:83">
      <c r="N103" s="35">
        <f t="shared" si="42"/>
        <v>1</v>
      </c>
      <c r="O103" s="35">
        <f t="shared" si="53"/>
        <v>17</v>
      </c>
      <c r="P103" s="35">
        <f t="shared" si="43"/>
        <v>2</v>
      </c>
      <c r="Q103" s="35">
        <f t="shared" si="54"/>
        <v>2</v>
      </c>
      <c r="R103" s="35">
        <f t="shared" si="44"/>
        <v>2</v>
      </c>
      <c r="AJ103" s="76">
        <v>50</v>
      </c>
      <c r="AK103" s="76" t="str">
        <f t="shared" ca="1" si="45"/>
        <v/>
      </c>
      <c r="AL103" s="76" t="str">
        <f t="shared" ca="1" si="46"/>
        <v/>
      </c>
      <c r="AM103" s="76"/>
      <c r="AN103" s="76"/>
      <c r="AO103" s="76" t="str">
        <f t="shared" ca="1" si="55"/>
        <v/>
      </c>
      <c r="AP103" s="76" t="str">
        <f t="shared" ca="1" si="56"/>
        <v/>
      </c>
      <c r="AQ103" s="76" t="str">
        <f t="shared" ca="1" si="57"/>
        <v/>
      </c>
      <c r="AR103" s="76">
        <f ca="1">COUNTIF($AQ$54:$AQ103,AR$53)</f>
        <v>0</v>
      </c>
      <c r="AS103" s="76">
        <f ca="1">COUNTIF($AQ$54:$AQ103,AS$53)</f>
        <v>0</v>
      </c>
      <c r="AT103" s="76">
        <f ca="1">COUNTIF($AQ$54:$AQ103,AT$53)</f>
        <v>0</v>
      </c>
      <c r="AU103" s="76" t="str">
        <f t="shared" ca="1" si="58"/>
        <v/>
      </c>
      <c r="AV103" s="76" t="str">
        <f t="shared" ca="1" si="59"/>
        <v/>
      </c>
      <c r="AW103" s="76" t="str">
        <f t="shared" ca="1" si="60"/>
        <v/>
      </c>
      <c r="AX103" s="76"/>
      <c r="AY103" s="76">
        <f t="shared" si="61"/>
        <v>50</v>
      </c>
      <c r="AZ103" s="76" t="str">
        <f t="shared" ca="1" si="62"/>
        <v/>
      </c>
      <c r="BA103" s="76" t="str">
        <f t="shared" ca="1" si="63"/>
        <v/>
      </c>
      <c r="BB103" s="76" t="str">
        <f ca="1">IF(AZ103="","",COUNTIF(BA$53:BA102,BA103))</f>
        <v/>
      </c>
      <c r="BC103" s="76" t="str">
        <f t="shared" ca="1" si="64"/>
        <v/>
      </c>
      <c r="BD103" s="76" t="str">
        <f ca="1">IF(AZ103="","",IF(BC103=0,0,MATCH(BA103,BA$54:BA103,0)))</f>
        <v/>
      </c>
      <c r="BE103" s="76" t="str">
        <f t="shared" ca="1" si="65"/>
        <v/>
      </c>
      <c r="BF103" s="76" t="str">
        <f t="shared" ca="1" si="66"/>
        <v/>
      </c>
      <c r="BG103" s="76" t="str">
        <f ca="1">IF(AZ103="","",COUNTIF(BF$54:BF103,BF103))</f>
        <v/>
      </c>
      <c r="BH103" s="76" t="str">
        <f t="shared" ca="1" si="67"/>
        <v/>
      </c>
      <c r="BI103" s="76" t="str">
        <f t="shared" ca="1" si="68"/>
        <v/>
      </c>
      <c r="BJ103" s="76">
        <f t="shared" si="51"/>
        <v>50</v>
      </c>
      <c r="BK103" s="76" t="str">
        <f t="shared" ca="1" si="69"/>
        <v/>
      </c>
      <c r="BL103" s="76" t="str">
        <f t="shared" ca="1" si="70"/>
        <v/>
      </c>
      <c r="BM103" s="76" t="str">
        <f ca="1">IF(BK103="","",COUNTIF(BL$53:BL102,BL103))</f>
        <v/>
      </c>
      <c r="BN103" s="76" t="str">
        <f t="shared" ca="1" si="71"/>
        <v/>
      </c>
      <c r="BO103" s="76" t="str">
        <f ca="1">IF(BK103="","",IF(BN103=0,0,MATCH(BL103,BL$54:BL103,0)))</f>
        <v/>
      </c>
      <c r="BP103" s="76" t="str">
        <f t="shared" ca="1" si="72"/>
        <v/>
      </c>
      <c r="BQ103" s="76" t="str">
        <f t="shared" ca="1" si="73"/>
        <v/>
      </c>
      <c r="BR103" s="76" t="str">
        <f ca="1">IF(BK103="","",COUNTIF(BQ$54:BQ103,BQ103))</f>
        <v/>
      </c>
      <c r="BS103" s="76" t="str">
        <f t="shared" ca="1" si="74"/>
        <v/>
      </c>
      <c r="BT103" s="76" t="str">
        <f t="shared" ca="1" si="75"/>
        <v/>
      </c>
      <c r="BU103" s="76">
        <f t="shared" si="52"/>
        <v>50</v>
      </c>
      <c r="BV103" s="76" t="str">
        <f t="shared" ca="1" si="76"/>
        <v/>
      </c>
      <c r="BW103" s="76" t="str">
        <f t="shared" ca="1" si="77"/>
        <v/>
      </c>
      <c r="BX103" s="76" t="str">
        <f ca="1">IF(BV103="","",COUNTIF(BW$53:BW102,BW103))</f>
        <v/>
      </c>
      <c r="BY103" s="76" t="str">
        <f t="shared" ca="1" si="78"/>
        <v/>
      </c>
      <c r="BZ103" s="76" t="str">
        <f ca="1">IF(BV103="","",IF(BY103=0,0,MATCH(BW103,BW$54:BW103,0)))</f>
        <v/>
      </c>
      <c r="CA103" s="76" t="str">
        <f t="shared" ca="1" si="79"/>
        <v/>
      </c>
      <c r="CB103" s="76" t="str">
        <f t="shared" ca="1" si="80"/>
        <v/>
      </c>
      <c r="CC103" s="76" t="str">
        <f ca="1">IF(BV103="","",COUNTIF(CB$54:CB103,CB103))</f>
        <v/>
      </c>
      <c r="CD103" s="76" t="str">
        <f t="shared" ca="1" si="81"/>
        <v/>
      </c>
      <c r="CE103" s="76" t="str">
        <f t="shared" ca="1" si="82"/>
        <v/>
      </c>
    </row>
    <row r="104" spans="14:83">
      <c r="N104" s="35">
        <f t="shared" si="42"/>
        <v>1</v>
      </c>
      <c r="O104" s="35">
        <f t="shared" si="53"/>
        <v>17</v>
      </c>
      <c r="P104" s="35">
        <f t="shared" si="43"/>
        <v>3</v>
      </c>
      <c r="Q104" s="35">
        <f t="shared" si="54"/>
        <v>3</v>
      </c>
      <c r="R104" s="35">
        <f t="shared" si="44"/>
        <v>3</v>
      </c>
      <c r="AJ104" s="76">
        <v>51</v>
      </c>
      <c r="AK104" s="76" t="str">
        <f t="shared" ca="1" si="45"/>
        <v/>
      </c>
      <c r="AL104" s="76" t="str">
        <f t="shared" ca="1" si="46"/>
        <v/>
      </c>
      <c r="AM104" s="76"/>
      <c r="AN104" s="76"/>
      <c r="AO104" s="76" t="str">
        <f t="shared" ca="1" si="55"/>
        <v/>
      </c>
      <c r="AP104" s="76" t="str">
        <f t="shared" ca="1" si="56"/>
        <v/>
      </c>
      <c r="AQ104" s="76" t="str">
        <f t="shared" ca="1" si="57"/>
        <v/>
      </c>
      <c r="AR104" s="76">
        <f ca="1">COUNTIF($AQ$54:$AQ104,AR$53)</f>
        <v>0</v>
      </c>
      <c r="AS104" s="76">
        <f ca="1">COUNTIF($AQ$54:$AQ104,AS$53)</f>
        <v>0</v>
      </c>
      <c r="AT104" s="76">
        <f ca="1">COUNTIF($AQ$54:$AQ104,AT$53)</f>
        <v>0</v>
      </c>
      <c r="AU104" s="76" t="str">
        <f t="shared" ca="1" si="58"/>
        <v/>
      </c>
      <c r="AV104" s="76" t="str">
        <f t="shared" ca="1" si="59"/>
        <v/>
      </c>
      <c r="AW104" s="76" t="str">
        <f t="shared" ca="1" si="60"/>
        <v/>
      </c>
      <c r="AX104" s="76"/>
      <c r="AY104" s="76">
        <f t="shared" si="61"/>
        <v>51</v>
      </c>
      <c r="AZ104" s="76" t="str">
        <f t="shared" ca="1" si="62"/>
        <v/>
      </c>
      <c r="BA104" s="76" t="str">
        <f t="shared" ca="1" si="63"/>
        <v/>
      </c>
      <c r="BB104" s="76" t="str">
        <f ca="1">IF(AZ104="","",COUNTIF(BA$53:BA103,BA104))</f>
        <v/>
      </c>
      <c r="BC104" s="76" t="str">
        <f t="shared" ca="1" si="64"/>
        <v/>
      </c>
      <c r="BD104" s="76" t="str">
        <f ca="1">IF(AZ104="","",IF(BC104=0,0,MATCH(BA104,BA$54:BA104,0)))</f>
        <v/>
      </c>
      <c r="BE104" s="76" t="str">
        <f t="shared" ca="1" si="65"/>
        <v/>
      </c>
      <c r="BF104" s="76" t="str">
        <f t="shared" ca="1" si="66"/>
        <v/>
      </c>
      <c r="BG104" s="76" t="str">
        <f ca="1">IF(AZ104="","",COUNTIF(BF$54:BF104,BF104))</f>
        <v/>
      </c>
      <c r="BH104" s="76" t="str">
        <f t="shared" ca="1" si="67"/>
        <v/>
      </c>
      <c r="BI104" s="76" t="str">
        <f t="shared" ca="1" si="68"/>
        <v/>
      </c>
      <c r="BJ104" s="76">
        <f t="shared" si="51"/>
        <v>51</v>
      </c>
      <c r="BK104" s="76" t="str">
        <f t="shared" ca="1" si="69"/>
        <v/>
      </c>
      <c r="BL104" s="76" t="str">
        <f t="shared" ca="1" si="70"/>
        <v/>
      </c>
      <c r="BM104" s="76" t="str">
        <f ca="1">IF(BK104="","",COUNTIF(BL$53:BL103,BL104))</f>
        <v/>
      </c>
      <c r="BN104" s="76" t="str">
        <f t="shared" ca="1" si="71"/>
        <v/>
      </c>
      <c r="BO104" s="76" t="str">
        <f ca="1">IF(BK104="","",IF(BN104=0,0,MATCH(BL104,BL$54:BL104,0)))</f>
        <v/>
      </c>
      <c r="BP104" s="76" t="str">
        <f t="shared" ca="1" si="72"/>
        <v/>
      </c>
      <c r="BQ104" s="76" t="str">
        <f t="shared" ca="1" si="73"/>
        <v/>
      </c>
      <c r="BR104" s="76" t="str">
        <f ca="1">IF(BK104="","",COUNTIF(BQ$54:BQ104,BQ104))</f>
        <v/>
      </c>
      <c r="BS104" s="76" t="str">
        <f t="shared" ca="1" si="74"/>
        <v/>
      </c>
      <c r="BT104" s="76" t="str">
        <f t="shared" ca="1" si="75"/>
        <v/>
      </c>
      <c r="BU104" s="76">
        <f t="shared" si="52"/>
        <v>51</v>
      </c>
      <c r="BV104" s="76" t="str">
        <f t="shared" ca="1" si="76"/>
        <v/>
      </c>
      <c r="BW104" s="76" t="str">
        <f t="shared" ca="1" si="77"/>
        <v/>
      </c>
      <c r="BX104" s="76" t="str">
        <f ca="1">IF(BV104="","",COUNTIF(BW$53:BW103,BW104))</f>
        <v/>
      </c>
      <c r="BY104" s="76" t="str">
        <f t="shared" ca="1" si="78"/>
        <v/>
      </c>
      <c r="BZ104" s="76" t="str">
        <f ca="1">IF(BV104="","",IF(BY104=0,0,MATCH(BW104,BW$54:BW104,0)))</f>
        <v/>
      </c>
      <c r="CA104" s="76" t="str">
        <f t="shared" ca="1" si="79"/>
        <v/>
      </c>
      <c r="CB104" s="76" t="str">
        <f t="shared" ca="1" si="80"/>
        <v/>
      </c>
      <c r="CC104" s="76" t="str">
        <f ca="1">IF(BV104="","",COUNTIF(CB$54:CB104,CB104))</f>
        <v/>
      </c>
      <c r="CD104" s="76" t="str">
        <f t="shared" ca="1" si="81"/>
        <v/>
      </c>
      <c r="CE104" s="76" t="str">
        <f t="shared" ca="1" si="82"/>
        <v/>
      </c>
    </row>
    <row r="105" spans="14:83">
      <c r="N105" s="35">
        <f t="shared" si="42"/>
        <v>0</v>
      </c>
      <c r="O105" s="35">
        <f t="shared" si="53"/>
        <v>18</v>
      </c>
      <c r="P105" s="35">
        <f t="shared" si="43"/>
        <v>3</v>
      </c>
      <c r="Q105" s="35">
        <f t="shared" si="54"/>
        <v>1</v>
      </c>
      <c r="R105" s="35">
        <f t="shared" si="44"/>
        <v>3</v>
      </c>
      <c r="AJ105" s="76">
        <v>52</v>
      </c>
      <c r="AK105" s="76" t="str">
        <f t="shared" ca="1" si="45"/>
        <v/>
      </c>
      <c r="AL105" s="76" t="str">
        <f t="shared" ca="1" si="46"/>
        <v/>
      </c>
      <c r="AM105" s="76"/>
      <c r="AN105" s="76"/>
      <c r="AO105" s="76" t="str">
        <f t="shared" ca="1" si="55"/>
        <v/>
      </c>
      <c r="AP105" s="76" t="str">
        <f t="shared" ca="1" si="56"/>
        <v/>
      </c>
      <c r="AQ105" s="76" t="str">
        <f t="shared" ca="1" si="57"/>
        <v/>
      </c>
      <c r="AR105" s="76">
        <f ca="1">COUNTIF($AQ$54:$AQ105,AR$53)</f>
        <v>0</v>
      </c>
      <c r="AS105" s="76">
        <f ca="1">COUNTIF($AQ$54:$AQ105,AS$53)</f>
        <v>0</v>
      </c>
      <c r="AT105" s="76">
        <f ca="1">COUNTIF($AQ$54:$AQ105,AT$53)</f>
        <v>0</v>
      </c>
      <c r="AU105" s="76" t="str">
        <f t="shared" ca="1" si="58"/>
        <v/>
      </c>
      <c r="AV105" s="76" t="str">
        <f t="shared" ca="1" si="59"/>
        <v/>
      </c>
      <c r="AW105" s="76" t="str">
        <f t="shared" ca="1" si="60"/>
        <v/>
      </c>
      <c r="AX105" s="76"/>
      <c r="AY105" s="76">
        <f t="shared" si="61"/>
        <v>52</v>
      </c>
      <c r="AZ105" s="76" t="str">
        <f t="shared" ca="1" si="62"/>
        <v/>
      </c>
      <c r="BA105" s="76" t="str">
        <f t="shared" ca="1" si="63"/>
        <v/>
      </c>
      <c r="BB105" s="76" t="str">
        <f ca="1">IF(AZ105="","",COUNTIF(BA$53:BA104,BA105))</f>
        <v/>
      </c>
      <c r="BC105" s="76" t="str">
        <f t="shared" ca="1" si="64"/>
        <v/>
      </c>
      <c r="BD105" s="76" t="str">
        <f ca="1">IF(AZ105="","",IF(BC105=0,0,MATCH(BA105,BA$54:BA105,0)))</f>
        <v/>
      </c>
      <c r="BE105" s="76" t="str">
        <f t="shared" ca="1" si="65"/>
        <v/>
      </c>
      <c r="BF105" s="76" t="str">
        <f t="shared" ca="1" si="66"/>
        <v/>
      </c>
      <c r="BG105" s="76" t="str">
        <f ca="1">IF(AZ105="","",COUNTIF(BF$54:BF105,BF105))</f>
        <v/>
      </c>
      <c r="BH105" s="76" t="str">
        <f t="shared" ca="1" si="67"/>
        <v/>
      </c>
      <c r="BI105" s="76" t="str">
        <f t="shared" ca="1" si="68"/>
        <v/>
      </c>
      <c r="BJ105" s="76">
        <f t="shared" si="51"/>
        <v>52</v>
      </c>
      <c r="BK105" s="76" t="str">
        <f t="shared" ca="1" si="69"/>
        <v/>
      </c>
      <c r="BL105" s="76" t="str">
        <f t="shared" ca="1" si="70"/>
        <v/>
      </c>
      <c r="BM105" s="76" t="str">
        <f ca="1">IF(BK105="","",COUNTIF(BL$53:BL104,BL105))</f>
        <v/>
      </c>
      <c r="BN105" s="76" t="str">
        <f t="shared" ca="1" si="71"/>
        <v/>
      </c>
      <c r="BO105" s="76" t="str">
        <f ca="1">IF(BK105="","",IF(BN105=0,0,MATCH(BL105,BL$54:BL105,0)))</f>
        <v/>
      </c>
      <c r="BP105" s="76" t="str">
        <f t="shared" ca="1" si="72"/>
        <v/>
      </c>
      <c r="BQ105" s="76" t="str">
        <f t="shared" ca="1" si="73"/>
        <v/>
      </c>
      <c r="BR105" s="76" t="str">
        <f ca="1">IF(BK105="","",COUNTIF(BQ$54:BQ105,BQ105))</f>
        <v/>
      </c>
      <c r="BS105" s="76" t="str">
        <f t="shared" ca="1" si="74"/>
        <v/>
      </c>
      <c r="BT105" s="76" t="str">
        <f t="shared" ca="1" si="75"/>
        <v/>
      </c>
      <c r="BU105" s="76">
        <f t="shared" si="52"/>
        <v>52</v>
      </c>
      <c r="BV105" s="76" t="str">
        <f t="shared" ca="1" si="76"/>
        <v/>
      </c>
      <c r="BW105" s="76" t="str">
        <f t="shared" ca="1" si="77"/>
        <v/>
      </c>
      <c r="BX105" s="76" t="str">
        <f ca="1">IF(BV105="","",COUNTIF(BW$53:BW104,BW105))</f>
        <v/>
      </c>
      <c r="BY105" s="76" t="str">
        <f t="shared" ca="1" si="78"/>
        <v/>
      </c>
      <c r="BZ105" s="76" t="str">
        <f ca="1">IF(BV105="","",IF(BY105=0,0,MATCH(BW105,BW$54:BW105,0)))</f>
        <v/>
      </c>
      <c r="CA105" s="76" t="str">
        <f t="shared" ca="1" si="79"/>
        <v/>
      </c>
      <c r="CB105" s="76" t="str">
        <f t="shared" ca="1" si="80"/>
        <v/>
      </c>
      <c r="CC105" s="76" t="str">
        <f ca="1">IF(BV105="","",COUNTIF(CB$54:CB105,CB105))</f>
        <v/>
      </c>
      <c r="CD105" s="76" t="str">
        <f t="shared" ca="1" si="81"/>
        <v/>
      </c>
      <c r="CE105" s="76" t="str">
        <f t="shared" ca="1" si="82"/>
        <v/>
      </c>
    </row>
    <row r="106" spans="14:83">
      <c r="N106" s="35">
        <f t="shared" si="42"/>
        <v>0</v>
      </c>
      <c r="O106" s="35">
        <f t="shared" si="53"/>
        <v>18</v>
      </c>
      <c r="P106" s="35">
        <f t="shared" si="43"/>
        <v>2</v>
      </c>
      <c r="Q106" s="35">
        <f t="shared" si="54"/>
        <v>2</v>
      </c>
      <c r="R106" s="35">
        <f t="shared" si="44"/>
        <v>2</v>
      </c>
      <c r="AJ106" s="76">
        <v>53</v>
      </c>
      <c r="AK106" s="76" t="str">
        <f t="shared" ca="1" si="45"/>
        <v/>
      </c>
      <c r="AL106" s="76" t="str">
        <f t="shared" ca="1" si="46"/>
        <v/>
      </c>
      <c r="AM106" s="76"/>
      <c r="AN106" s="76"/>
      <c r="AO106" s="76" t="str">
        <f t="shared" ca="1" si="55"/>
        <v/>
      </c>
      <c r="AP106" s="76" t="str">
        <f t="shared" ca="1" si="56"/>
        <v/>
      </c>
      <c r="AQ106" s="76" t="str">
        <f t="shared" ca="1" si="57"/>
        <v/>
      </c>
      <c r="AR106" s="76">
        <f ca="1">COUNTIF($AQ$54:$AQ106,AR$53)</f>
        <v>0</v>
      </c>
      <c r="AS106" s="76">
        <f ca="1">COUNTIF($AQ$54:$AQ106,AS$53)</f>
        <v>0</v>
      </c>
      <c r="AT106" s="76">
        <f ca="1">COUNTIF($AQ$54:$AQ106,AT$53)</f>
        <v>0</v>
      </c>
      <c r="AU106" s="76" t="str">
        <f t="shared" ca="1" si="58"/>
        <v/>
      </c>
      <c r="AV106" s="76" t="str">
        <f t="shared" ca="1" si="59"/>
        <v/>
      </c>
      <c r="AW106" s="76" t="str">
        <f t="shared" ca="1" si="60"/>
        <v/>
      </c>
      <c r="AX106" s="76"/>
      <c r="AY106" s="76">
        <f t="shared" si="61"/>
        <v>53</v>
      </c>
      <c r="AZ106" s="76" t="str">
        <f t="shared" ca="1" si="62"/>
        <v/>
      </c>
      <c r="BA106" s="76" t="str">
        <f t="shared" ca="1" si="63"/>
        <v/>
      </c>
      <c r="BB106" s="76" t="str">
        <f ca="1">IF(AZ106="","",COUNTIF(BA$53:BA105,BA106))</f>
        <v/>
      </c>
      <c r="BC106" s="76" t="str">
        <f t="shared" ca="1" si="64"/>
        <v/>
      </c>
      <c r="BD106" s="76" t="str">
        <f ca="1">IF(AZ106="","",IF(BC106=0,0,MATCH(BA106,BA$54:BA106,0)))</f>
        <v/>
      </c>
      <c r="BE106" s="76" t="str">
        <f t="shared" ca="1" si="65"/>
        <v/>
      </c>
      <c r="BF106" s="76" t="str">
        <f t="shared" ca="1" si="66"/>
        <v/>
      </c>
      <c r="BG106" s="76" t="str">
        <f ca="1">IF(AZ106="","",COUNTIF(BF$54:BF106,BF106))</f>
        <v/>
      </c>
      <c r="BH106" s="76" t="str">
        <f t="shared" ca="1" si="67"/>
        <v/>
      </c>
      <c r="BI106" s="76" t="str">
        <f t="shared" ca="1" si="68"/>
        <v/>
      </c>
      <c r="BJ106" s="76">
        <f t="shared" si="51"/>
        <v>53</v>
      </c>
      <c r="BK106" s="76" t="str">
        <f t="shared" ca="1" si="69"/>
        <v/>
      </c>
      <c r="BL106" s="76" t="str">
        <f t="shared" ca="1" si="70"/>
        <v/>
      </c>
      <c r="BM106" s="76" t="str">
        <f ca="1">IF(BK106="","",COUNTIF(BL$53:BL105,BL106))</f>
        <v/>
      </c>
      <c r="BN106" s="76" t="str">
        <f t="shared" ca="1" si="71"/>
        <v/>
      </c>
      <c r="BO106" s="76" t="str">
        <f ca="1">IF(BK106="","",IF(BN106=0,0,MATCH(BL106,BL$54:BL106,0)))</f>
        <v/>
      </c>
      <c r="BP106" s="76" t="str">
        <f t="shared" ca="1" si="72"/>
        <v/>
      </c>
      <c r="BQ106" s="76" t="str">
        <f t="shared" ca="1" si="73"/>
        <v/>
      </c>
      <c r="BR106" s="76" t="str">
        <f ca="1">IF(BK106="","",COUNTIF(BQ$54:BQ106,BQ106))</f>
        <v/>
      </c>
      <c r="BS106" s="76" t="str">
        <f t="shared" ca="1" si="74"/>
        <v/>
      </c>
      <c r="BT106" s="76" t="str">
        <f t="shared" ca="1" si="75"/>
        <v/>
      </c>
      <c r="BU106" s="76">
        <f t="shared" si="52"/>
        <v>53</v>
      </c>
      <c r="BV106" s="76" t="str">
        <f t="shared" ca="1" si="76"/>
        <v/>
      </c>
      <c r="BW106" s="76" t="str">
        <f t="shared" ca="1" si="77"/>
        <v/>
      </c>
      <c r="BX106" s="76" t="str">
        <f ca="1">IF(BV106="","",COUNTIF(BW$53:BW105,BW106))</f>
        <v/>
      </c>
      <c r="BY106" s="76" t="str">
        <f t="shared" ca="1" si="78"/>
        <v/>
      </c>
      <c r="BZ106" s="76" t="str">
        <f ca="1">IF(BV106="","",IF(BY106=0,0,MATCH(BW106,BW$54:BW106,0)))</f>
        <v/>
      </c>
      <c r="CA106" s="76" t="str">
        <f t="shared" ca="1" si="79"/>
        <v/>
      </c>
      <c r="CB106" s="76" t="str">
        <f t="shared" ca="1" si="80"/>
        <v/>
      </c>
      <c r="CC106" s="76" t="str">
        <f ca="1">IF(BV106="","",COUNTIF(CB$54:CB106,CB106))</f>
        <v/>
      </c>
      <c r="CD106" s="76" t="str">
        <f t="shared" ca="1" si="81"/>
        <v/>
      </c>
      <c r="CE106" s="76" t="str">
        <f t="shared" ca="1" si="82"/>
        <v/>
      </c>
    </row>
    <row r="107" spans="14:83">
      <c r="N107" s="35">
        <f t="shared" si="42"/>
        <v>0</v>
      </c>
      <c r="O107" s="35">
        <f t="shared" si="53"/>
        <v>18</v>
      </c>
      <c r="P107" s="35">
        <f t="shared" si="43"/>
        <v>1</v>
      </c>
      <c r="Q107" s="35">
        <f t="shared" si="54"/>
        <v>3</v>
      </c>
      <c r="R107" s="35">
        <f t="shared" si="44"/>
        <v>1</v>
      </c>
      <c r="AJ107" s="76">
        <v>54</v>
      </c>
      <c r="AK107" s="76" t="str">
        <f t="shared" ca="1" si="45"/>
        <v/>
      </c>
      <c r="AL107" s="76" t="str">
        <f t="shared" ca="1" si="46"/>
        <v/>
      </c>
      <c r="AM107" s="76"/>
      <c r="AN107" s="76"/>
      <c r="AO107" s="76" t="str">
        <f t="shared" ca="1" si="55"/>
        <v/>
      </c>
      <c r="AP107" s="76" t="str">
        <f t="shared" ca="1" si="56"/>
        <v/>
      </c>
      <c r="AQ107" s="76" t="str">
        <f t="shared" ca="1" si="57"/>
        <v/>
      </c>
      <c r="AR107" s="76">
        <f ca="1">COUNTIF($AQ$54:$AQ107,AR$53)</f>
        <v>0</v>
      </c>
      <c r="AS107" s="76">
        <f ca="1">COUNTIF($AQ$54:$AQ107,AS$53)</f>
        <v>0</v>
      </c>
      <c r="AT107" s="76">
        <f ca="1">COUNTIF($AQ$54:$AQ107,AT$53)</f>
        <v>0</v>
      </c>
      <c r="AU107" s="76" t="str">
        <f t="shared" ca="1" si="58"/>
        <v/>
      </c>
      <c r="AV107" s="76" t="str">
        <f t="shared" ca="1" si="59"/>
        <v/>
      </c>
      <c r="AW107" s="76" t="str">
        <f t="shared" ca="1" si="60"/>
        <v/>
      </c>
      <c r="AX107" s="76"/>
      <c r="AY107" s="76">
        <f t="shared" si="61"/>
        <v>54</v>
      </c>
      <c r="AZ107" s="76" t="str">
        <f t="shared" ca="1" si="62"/>
        <v/>
      </c>
      <c r="BA107" s="76" t="str">
        <f t="shared" ca="1" si="63"/>
        <v/>
      </c>
      <c r="BB107" s="76" t="str">
        <f ca="1">IF(AZ107="","",COUNTIF(BA$53:BA106,BA107))</f>
        <v/>
      </c>
      <c r="BC107" s="76" t="str">
        <f t="shared" ca="1" si="64"/>
        <v/>
      </c>
      <c r="BD107" s="76" t="str">
        <f ca="1">IF(AZ107="","",IF(BC107=0,0,MATCH(BA107,BA$54:BA107,0)))</f>
        <v/>
      </c>
      <c r="BE107" s="76" t="str">
        <f t="shared" ca="1" si="65"/>
        <v/>
      </c>
      <c r="BF107" s="76" t="str">
        <f t="shared" ca="1" si="66"/>
        <v/>
      </c>
      <c r="BG107" s="76" t="str">
        <f ca="1">IF(AZ107="","",COUNTIF(BF$54:BF107,BF107))</f>
        <v/>
      </c>
      <c r="BH107" s="76" t="str">
        <f t="shared" ca="1" si="67"/>
        <v/>
      </c>
      <c r="BI107" s="76" t="str">
        <f t="shared" ca="1" si="68"/>
        <v/>
      </c>
      <c r="BJ107" s="76">
        <f t="shared" si="51"/>
        <v>54</v>
      </c>
      <c r="BK107" s="76" t="str">
        <f t="shared" ca="1" si="69"/>
        <v/>
      </c>
      <c r="BL107" s="76" t="str">
        <f t="shared" ca="1" si="70"/>
        <v/>
      </c>
      <c r="BM107" s="76" t="str">
        <f ca="1">IF(BK107="","",COUNTIF(BL$53:BL106,BL107))</f>
        <v/>
      </c>
      <c r="BN107" s="76" t="str">
        <f t="shared" ca="1" si="71"/>
        <v/>
      </c>
      <c r="BO107" s="76" t="str">
        <f ca="1">IF(BK107="","",IF(BN107=0,0,MATCH(BL107,BL$54:BL107,0)))</f>
        <v/>
      </c>
      <c r="BP107" s="76" t="str">
        <f t="shared" ca="1" si="72"/>
        <v/>
      </c>
      <c r="BQ107" s="76" t="str">
        <f t="shared" ca="1" si="73"/>
        <v/>
      </c>
      <c r="BR107" s="76" t="str">
        <f ca="1">IF(BK107="","",COUNTIF(BQ$54:BQ107,BQ107))</f>
        <v/>
      </c>
      <c r="BS107" s="76" t="str">
        <f t="shared" ca="1" si="74"/>
        <v/>
      </c>
      <c r="BT107" s="76" t="str">
        <f t="shared" ca="1" si="75"/>
        <v/>
      </c>
      <c r="BU107" s="76">
        <f t="shared" si="52"/>
        <v>54</v>
      </c>
      <c r="BV107" s="76" t="str">
        <f t="shared" ca="1" si="76"/>
        <v/>
      </c>
      <c r="BW107" s="76" t="str">
        <f t="shared" ca="1" si="77"/>
        <v/>
      </c>
      <c r="BX107" s="76" t="str">
        <f ca="1">IF(BV107="","",COUNTIF(BW$53:BW106,BW107))</f>
        <v/>
      </c>
      <c r="BY107" s="76" t="str">
        <f t="shared" ca="1" si="78"/>
        <v/>
      </c>
      <c r="BZ107" s="76" t="str">
        <f ca="1">IF(BV107="","",IF(BY107=0,0,MATCH(BW107,BW$54:BW107,0)))</f>
        <v/>
      </c>
      <c r="CA107" s="76" t="str">
        <f t="shared" ca="1" si="79"/>
        <v/>
      </c>
      <c r="CB107" s="76" t="str">
        <f t="shared" ca="1" si="80"/>
        <v/>
      </c>
      <c r="CC107" s="76" t="str">
        <f ca="1">IF(BV107="","",COUNTIF(CB$54:CB107,CB107))</f>
        <v/>
      </c>
      <c r="CD107" s="76" t="str">
        <f t="shared" ca="1" si="81"/>
        <v/>
      </c>
      <c r="CE107" s="76" t="str">
        <f t="shared" ca="1" si="82"/>
        <v/>
      </c>
    </row>
    <row r="108" spans="14:83">
      <c r="N108" s="35">
        <f t="shared" si="42"/>
        <v>1</v>
      </c>
      <c r="O108" s="35">
        <f t="shared" si="53"/>
        <v>19</v>
      </c>
      <c r="P108" s="35">
        <f t="shared" si="43"/>
        <v>1</v>
      </c>
      <c r="Q108" s="35">
        <f t="shared" si="54"/>
        <v>1</v>
      </c>
      <c r="R108" s="35">
        <f t="shared" si="44"/>
        <v>1</v>
      </c>
      <c r="AJ108" s="76">
        <v>55</v>
      </c>
      <c r="AK108" s="76" t="str">
        <f t="shared" ca="1" si="45"/>
        <v/>
      </c>
      <c r="AL108" s="76" t="str">
        <f t="shared" ca="1" si="46"/>
        <v/>
      </c>
      <c r="AM108" s="76"/>
      <c r="AN108" s="76"/>
      <c r="AO108" s="76" t="str">
        <f t="shared" ca="1" si="55"/>
        <v/>
      </c>
      <c r="AP108" s="76" t="str">
        <f t="shared" ca="1" si="56"/>
        <v/>
      </c>
      <c r="AQ108" s="76" t="str">
        <f t="shared" ca="1" si="57"/>
        <v/>
      </c>
      <c r="AR108" s="76">
        <f ca="1">COUNTIF($AQ$54:$AQ108,AR$53)</f>
        <v>0</v>
      </c>
      <c r="AS108" s="76">
        <f ca="1">COUNTIF($AQ$54:$AQ108,AS$53)</f>
        <v>0</v>
      </c>
      <c r="AT108" s="76">
        <f ca="1">COUNTIF($AQ$54:$AQ108,AT$53)</f>
        <v>0</v>
      </c>
      <c r="AU108" s="76" t="str">
        <f t="shared" ca="1" si="58"/>
        <v/>
      </c>
      <c r="AV108" s="76" t="str">
        <f t="shared" ca="1" si="59"/>
        <v/>
      </c>
      <c r="AW108" s="76" t="str">
        <f t="shared" ca="1" si="60"/>
        <v/>
      </c>
      <c r="AX108" s="76"/>
      <c r="AY108" s="76">
        <f t="shared" si="61"/>
        <v>55</v>
      </c>
      <c r="AZ108" s="76" t="str">
        <f t="shared" ca="1" si="62"/>
        <v/>
      </c>
      <c r="BA108" s="76" t="str">
        <f t="shared" ca="1" si="63"/>
        <v/>
      </c>
      <c r="BB108" s="76" t="str">
        <f ca="1">IF(AZ108="","",COUNTIF(BA$53:BA107,BA108))</f>
        <v/>
      </c>
      <c r="BC108" s="76" t="str">
        <f t="shared" ca="1" si="64"/>
        <v/>
      </c>
      <c r="BD108" s="76" t="str">
        <f ca="1">IF(AZ108="","",IF(BC108=0,0,MATCH(BA108,BA$54:BA108,0)))</f>
        <v/>
      </c>
      <c r="BE108" s="76" t="str">
        <f t="shared" ca="1" si="65"/>
        <v/>
      </c>
      <c r="BF108" s="76" t="str">
        <f t="shared" ca="1" si="66"/>
        <v/>
      </c>
      <c r="BG108" s="76" t="str">
        <f ca="1">IF(AZ108="","",COUNTIF(BF$54:BF108,BF108))</f>
        <v/>
      </c>
      <c r="BH108" s="76" t="str">
        <f t="shared" ca="1" si="67"/>
        <v/>
      </c>
      <c r="BI108" s="76" t="str">
        <f t="shared" ca="1" si="68"/>
        <v/>
      </c>
      <c r="BJ108" s="76">
        <f t="shared" si="51"/>
        <v>55</v>
      </c>
      <c r="BK108" s="76" t="str">
        <f t="shared" ca="1" si="69"/>
        <v/>
      </c>
      <c r="BL108" s="76" t="str">
        <f t="shared" ca="1" si="70"/>
        <v/>
      </c>
      <c r="BM108" s="76" t="str">
        <f ca="1">IF(BK108="","",COUNTIF(BL$53:BL107,BL108))</f>
        <v/>
      </c>
      <c r="BN108" s="76" t="str">
        <f t="shared" ca="1" si="71"/>
        <v/>
      </c>
      <c r="BO108" s="76" t="str">
        <f ca="1">IF(BK108="","",IF(BN108=0,0,MATCH(BL108,BL$54:BL108,0)))</f>
        <v/>
      </c>
      <c r="BP108" s="76" t="str">
        <f t="shared" ca="1" si="72"/>
        <v/>
      </c>
      <c r="BQ108" s="76" t="str">
        <f t="shared" ca="1" si="73"/>
        <v/>
      </c>
      <c r="BR108" s="76" t="str">
        <f ca="1">IF(BK108="","",COUNTIF(BQ$54:BQ108,BQ108))</f>
        <v/>
      </c>
      <c r="BS108" s="76" t="str">
        <f t="shared" ca="1" si="74"/>
        <v/>
      </c>
      <c r="BT108" s="76" t="str">
        <f t="shared" ca="1" si="75"/>
        <v/>
      </c>
      <c r="BU108" s="76">
        <f t="shared" si="52"/>
        <v>55</v>
      </c>
      <c r="BV108" s="76" t="str">
        <f t="shared" ca="1" si="76"/>
        <v/>
      </c>
      <c r="BW108" s="76" t="str">
        <f t="shared" ca="1" si="77"/>
        <v/>
      </c>
      <c r="BX108" s="76" t="str">
        <f ca="1">IF(BV108="","",COUNTIF(BW$53:BW107,BW108))</f>
        <v/>
      </c>
      <c r="BY108" s="76" t="str">
        <f t="shared" ca="1" si="78"/>
        <v/>
      </c>
      <c r="BZ108" s="76" t="str">
        <f ca="1">IF(BV108="","",IF(BY108=0,0,MATCH(BW108,BW$54:BW108,0)))</f>
        <v/>
      </c>
      <c r="CA108" s="76" t="str">
        <f t="shared" ca="1" si="79"/>
        <v/>
      </c>
      <c r="CB108" s="76" t="str">
        <f t="shared" ca="1" si="80"/>
        <v/>
      </c>
      <c r="CC108" s="76" t="str">
        <f ca="1">IF(BV108="","",COUNTIF(CB$54:CB108,CB108))</f>
        <v/>
      </c>
      <c r="CD108" s="76" t="str">
        <f t="shared" ca="1" si="81"/>
        <v/>
      </c>
      <c r="CE108" s="76" t="str">
        <f t="shared" ca="1" si="82"/>
        <v/>
      </c>
    </row>
    <row r="109" spans="14:83">
      <c r="N109" s="35">
        <f t="shared" si="42"/>
        <v>1</v>
      </c>
      <c r="O109" s="35">
        <f t="shared" si="53"/>
        <v>19</v>
      </c>
      <c r="P109" s="35">
        <f t="shared" si="43"/>
        <v>2</v>
      </c>
      <c r="Q109" s="35">
        <f t="shared" si="54"/>
        <v>2</v>
      </c>
      <c r="R109" s="35">
        <f t="shared" si="44"/>
        <v>2</v>
      </c>
      <c r="AJ109" s="76">
        <v>56</v>
      </c>
      <c r="AK109" s="76" t="str">
        <f t="shared" ca="1" si="45"/>
        <v/>
      </c>
      <c r="AL109" s="76" t="str">
        <f t="shared" ca="1" si="46"/>
        <v/>
      </c>
      <c r="AM109" s="76"/>
      <c r="AN109" s="76"/>
      <c r="AO109" s="76" t="str">
        <f t="shared" ca="1" si="55"/>
        <v/>
      </c>
      <c r="AP109" s="76" t="str">
        <f t="shared" ca="1" si="56"/>
        <v/>
      </c>
      <c r="AQ109" s="76" t="str">
        <f t="shared" ca="1" si="57"/>
        <v/>
      </c>
      <c r="AR109" s="76">
        <f ca="1">COUNTIF($AQ$54:$AQ109,AR$53)</f>
        <v>0</v>
      </c>
      <c r="AS109" s="76">
        <f ca="1">COUNTIF($AQ$54:$AQ109,AS$53)</f>
        <v>0</v>
      </c>
      <c r="AT109" s="76">
        <f ca="1">COUNTIF($AQ$54:$AQ109,AT$53)</f>
        <v>0</v>
      </c>
      <c r="AU109" s="76" t="str">
        <f t="shared" ca="1" si="58"/>
        <v/>
      </c>
      <c r="AV109" s="76" t="str">
        <f t="shared" ca="1" si="59"/>
        <v/>
      </c>
      <c r="AW109" s="76" t="str">
        <f t="shared" ca="1" si="60"/>
        <v/>
      </c>
      <c r="AX109" s="76"/>
      <c r="AY109" s="76">
        <f t="shared" si="61"/>
        <v>56</v>
      </c>
      <c r="AZ109" s="76" t="str">
        <f t="shared" ca="1" si="62"/>
        <v/>
      </c>
      <c r="BA109" s="76" t="str">
        <f t="shared" ca="1" si="63"/>
        <v/>
      </c>
      <c r="BB109" s="76" t="str">
        <f ca="1">IF(AZ109="","",COUNTIF(BA$53:BA108,BA109))</f>
        <v/>
      </c>
      <c r="BC109" s="76" t="str">
        <f t="shared" ca="1" si="64"/>
        <v/>
      </c>
      <c r="BD109" s="76" t="str">
        <f ca="1">IF(AZ109="","",IF(BC109=0,0,MATCH(BA109,BA$54:BA109,0)))</f>
        <v/>
      </c>
      <c r="BE109" s="76" t="str">
        <f t="shared" ca="1" si="65"/>
        <v/>
      </c>
      <c r="BF109" s="76" t="str">
        <f t="shared" ca="1" si="66"/>
        <v/>
      </c>
      <c r="BG109" s="76" t="str">
        <f ca="1">IF(AZ109="","",COUNTIF(BF$54:BF109,BF109))</f>
        <v/>
      </c>
      <c r="BH109" s="76" t="str">
        <f t="shared" ca="1" si="67"/>
        <v/>
      </c>
      <c r="BI109" s="76" t="str">
        <f t="shared" ca="1" si="68"/>
        <v/>
      </c>
      <c r="BJ109" s="76">
        <f t="shared" si="51"/>
        <v>56</v>
      </c>
      <c r="BK109" s="76" t="str">
        <f t="shared" ca="1" si="69"/>
        <v/>
      </c>
      <c r="BL109" s="76" t="str">
        <f t="shared" ca="1" si="70"/>
        <v/>
      </c>
      <c r="BM109" s="76" t="str">
        <f ca="1">IF(BK109="","",COUNTIF(BL$53:BL108,BL109))</f>
        <v/>
      </c>
      <c r="BN109" s="76" t="str">
        <f t="shared" ca="1" si="71"/>
        <v/>
      </c>
      <c r="BO109" s="76" t="str">
        <f ca="1">IF(BK109="","",IF(BN109=0,0,MATCH(BL109,BL$54:BL109,0)))</f>
        <v/>
      </c>
      <c r="BP109" s="76" t="str">
        <f t="shared" ca="1" si="72"/>
        <v/>
      </c>
      <c r="BQ109" s="76" t="str">
        <f t="shared" ca="1" si="73"/>
        <v/>
      </c>
      <c r="BR109" s="76" t="str">
        <f ca="1">IF(BK109="","",COUNTIF(BQ$54:BQ109,BQ109))</f>
        <v/>
      </c>
      <c r="BS109" s="76" t="str">
        <f t="shared" ca="1" si="74"/>
        <v/>
      </c>
      <c r="BT109" s="76" t="str">
        <f t="shared" ca="1" si="75"/>
        <v/>
      </c>
      <c r="BU109" s="76">
        <f t="shared" si="52"/>
        <v>56</v>
      </c>
      <c r="BV109" s="76" t="str">
        <f t="shared" ca="1" si="76"/>
        <v/>
      </c>
      <c r="BW109" s="76" t="str">
        <f t="shared" ca="1" si="77"/>
        <v/>
      </c>
      <c r="BX109" s="76" t="str">
        <f ca="1">IF(BV109="","",COUNTIF(BW$53:BW108,BW109))</f>
        <v/>
      </c>
      <c r="BY109" s="76" t="str">
        <f t="shared" ca="1" si="78"/>
        <v/>
      </c>
      <c r="BZ109" s="76" t="str">
        <f ca="1">IF(BV109="","",IF(BY109=0,0,MATCH(BW109,BW$54:BW109,0)))</f>
        <v/>
      </c>
      <c r="CA109" s="76" t="str">
        <f t="shared" ca="1" si="79"/>
        <v/>
      </c>
      <c r="CB109" s="76" t="str">
        <f t="shared" ca="1" si="80"/>
        <v/>
      </c>
      <c r="CC109" s="76" t="str">
        <f ca="1">IF(BV109="","",COUNTIF(CB$54:CB109,CB109))</f>
        <v/>
      </c>
      <c r="CD109" s="76" t="str">
        <f t="shared" ca="1" si="81"/>
        <v/>
      </c>
      <c r="CE109" s="76" t="str">
        <f t="shared" ca="1" si="82"/>
        <v/>
      </c>
    </row>
    <row r="110" spans="14:83">
      <c r="N110" s="35">
        <f t="shared" si="42"/>
        <v>1</v>
      </c>
      <c r="O110" s="35">
        <f t="shared" si="53"/>
        <v>19</v>
      </c>
      <c r="P110" s="35">
        <f t="shared" si="43"/>
        <v>3</v>
      </c>
      <c r="Q110" s="35">
        <f t="shared" si="54"/>
        <v>3</v>
      </c>
      <c r="R110" s="35">
        <f t="shared" si="44"/>
        <v>3</v>
      </c>
      <c r="AJ110" s="76">
        <v>57</v>
      </c>
      <c r="AK110" s="76" t="str">
        <f t="shared" ca="1" si="45"/>
        <v/>
      </c>
      <c r="AL110" s="76" t="str">
        <f t="shared" ca="1" si="46"/>
        <v/>
      </c>
      <c r="AM110" s="76"/>
      <c r="AN110" s="76"/>
      <c r="AO110" s="76" t="str">
        <f t="shared" ca="1" si="55"/>
        <v/>
      </c>
      <c r="AP110" s="76" t="str">
        <f t="shared" ca="1" si="56"/>
        <v/>
      </c>
      <c r="AQ110" s="76" t="str">
        <f t="shared" ca="1" si="57"/>
        <v/>
      </c>
      <c r="AR110" s="76">
        <f ca="1">COUNTIF($AQ$54:$AQ110,AR$53)</f>
        <v>0</v>
      </c>
      <c r="AS110" s="76">
        <f ca="1">COUNTIF($AQ$54:$AQ110,AS$53)</f>
        <v>0</v>
      </c>
      <c r="AT110" s="76">
        <f ca="1">COUNTIF($AQ$54:$AQ110,AT$53)</f>
        <v>0</v>
      </c>
      <c r="AU110" s="76" t="str">
        <f t="shared" ca="1" si="58"/>
        <v/>
      </c>
      <c r="AV110" s="76" t="str">
        <f t="shared" ca="1" si="59"/>
        <v/>
      </c>
      <c r="AW110" s="76" t="str">
        <f t="shared" ca="1" si="60"/>
        <v/>
      </c>
      <c r="AX110" s="76"/>
      <c r="AY110" s="76">
        <f t="shared" si="61"/>
        <v>57</v>
      </c>
      <c r="AZ110" s="76" t="str">
        <f t="shared" ca="1" si="62"/>
        <v/>
      </c>
      <c r="BA110" s="76" t="str">
        <f t="shared" ca="1" si="63"/>
        <v/>
      </c>
      <c r="BB110" s="76" t="str">
        <f ca="1">IF(AZ110="","",COUNTIF(BA$53:BA109,BA110))</f>
        <v/>
      </c>
      <c r="BC110" s="76" t="str">
        <f t="shared" ca="1" si="64"/>
        <v/>
      </c>
      <c r="BD110" s="76" t="str">
        <f ca="1">IF(AZ110="","",IF(BC110=0,0,MATCH(BA110,BA$54:BA110,0)))</f>
        <v/>
      </c>
      <c r="BE110" s="76" t="str">
        <f t="shared" ca="1" si="65"/>
        <v/>
      </c>
      <c r="BF110" s="76" t="str">
        <f t="shared" ca="1" si="66"/>
        <v/>
      </c>
      <c r="BG110" s="76" t="str">
        <f ca="1">IF(AZ110="","",COUNTIF(BF$54:BF110,BF110))</f>
        <v/>
      </c>
      <c r="BH110" s="76" t="str">
        <f t="shared" ca="1" si="67"/>
        <v/>
      </c>
      <c r="BI110" s="76" t="str">
        <f t="shared" ca="1" si="68"/>
        <v/>
      </c>
      <c r="BJ110" s="76">
        <f t="shared" si="51"/>
        <v>57</v>
      </c>
      <c r="BK110" s="76" t="str">
        <f t="shared" ca="1" si="69"/>
        <v/>
      </c>
      <c r="BL110" s="76" t="str">
        <f t="shared" ca="1" si="70"/>
        <v/>
      </c>
      <c r="BM110" s="76" t="str">
        <f ca="1">IF(BK110="","",COUNTIF(BL$53:BL109,BL110))</f>
        <v/>
      </c>
      <c r="BN110" s="76" t="str">
        <f t="shared" ca="1" si="71"/>
        <v/>
      </c>
      <c r="BO110" s="76" t="str">
        <f ca="1">IF(BK110="","",IF(BN110=0,0,MATCH(BL110,BL$54:BL110,0)))</f>
        <v/>
      </c>
      <c r="BP110" s="76" t="str">
        <f t="shared" ca="1" si="72"/>
        <v/>
      </c>
      <c r="BQ110" s="76" t="str">
        <f t="shared" ca="1" si="73"/>
        <v/>
      </c>
      <c r="BR110" s="76" t="str">
        <f ca="1">IF(BK110="","",COUNTIF(BQ$54:BQ110,BQ110))</f>
        <v/>
      </c>
      <c r="BS110" s="76" t="str">
        <f t="shared" ca="1" si="74"/>
        <v/>
      </c>
      <c r="BT110" s="76" t="str">
        <f t="shared" ca="1" si="75"/>
        <v/>
      </c>
      <c r="BU110" s="76">
        <f t="shared" si="52"/>
        <v>57</v>
      </c>
      <c r="BV110" s="76" t="str">
        <f t="shared" ca="1" si="76"/>
        <v/>
      </c>
      <c r="BW110" s="76" t="str">
        <f t="shared" ca="1" si="77"/>
        <v/>
      </c>
      <c r="BX110" s="76" t="str">
        <f ca="1">IF(BV110="","",COUNTIF(BW$53:BW109,BW110))</f>
        <v/>
      </c>
      <c r="BY110" s="76" t="str">
        <f t="shared" ca="1" si="78"/>
        <v/>
      </c>
      <c r="BZ110" s="76" t="str">
        <f ca="1">IF(BV110="","",IF(BY110=0,0,MATCH(BW110,BW$54:BW110,0)))</f>
        <v/>
      </c>
      <c r="CA110" s="76" t="str">
        <f t="shared" ca="1" si="79"/>
        <v/>
      </c>
      <c r="CB110" s="76" t="str">
        <f t="shared" ca="1" si="80"/>
        <v/>
      </c>
      <c r="CC110" s="76" t="str">
        <f ca="1">IF(BV110="","",COUNTIF(CB$54:CB110,CB110))</f>
        <v/>
      </c>
      <c r="CD110" s="76" t="str">
        <f t="shared" ca="1" si="81"/>
        <v/>
      </c>
      <c r="CE110" s="76" t="str">
        <f t="shared" ca="1" si="82"/>
        <v/>
      </c>
    </row>
    <row r="111" spans="14:83">
      <c r="N111" s="35">
        <f t="shared" si="42"/>
        <v>0</v>
      </c>
      <c r="O111" s="35">
        <f t="shared" si="53"/>
        <v>20</v>
      </c>
      <c r="P111" s="35">
        <f t="shared" si="43"/>
        <v>3</v>
      </c>
      <c r="Q111" s="35">
        <f t="shared" si="54"/>
        <v>1</v>
      </c>
      <c r="R111" s="35">
        <f t="shared" si="44"/>
        <v>3</v>
      </c>
      <c r="AJ111" s="76">
        <v>58</v>
      </c>
      <c r="AK111" s="76" t="str">
        <f t="shared" ca="1" si="45"/>
        <v/>
      </c>
      <c r="AL111" s="76" t="str">
        <f t="shared" ca="1" si="46"/>
        <v/>
      </c>
      <c r="AM111" s="76"/>
      <c r="AN111" s="76"/>
      <c r="AO111" s="76" t="str">
        <f t="shared" ca="1" si="55"/>
        <v/>
      </c>
      <c r="AP111" s="76" t="str">
        <f t="shared" ca="1" si="56"/>
        <v/>
      </c>
      <c r="AQ111" s="76" t="str">
        <f t="shared" ca="1" si="57"/>
        <v/>
      </c>
      <c r="AR111" s="76">
        <f ca="1">COUNTIF($AQ$54:$AQ111,AR$53)</f>
        <v>0</v>
      </c>
      <c r="AS111" s="76">
        <f ca="1">COUNTIF($AQ$54:$AQ111,AS$53)</f>
        <v>0</v>
      </c>
      <c r="AT111" s="76">
        <f ca="1">COUNTIF($AQ$54:$AQ111,AT$53)</f>
        <v>0</v>
      </c>
      <c r="AU111" s="76" t="str">
        <f t="shared" ca="1" si="58"/>
        <v/>
      </c>
      <c r="AV111" s="76" t="str">
        <f t="shared" ca="1" si="59"/>
        <v/>
      </c>
      <c r="AW111" s="76" t="str">
        <f t="shared" ca="1" si="60"/>
        <v/>
      </c>
      <c r="AX111" s="76"/>
      <c r="AY111" s="76">
        <f t="shared" si="61"/>
        <v>58</v>
      </c>
      <c r="AZ111" s="76" t="str">
        <f t="shared" ca="1" si="62"/>
        <v/>
      </c>
      <c r="BA111" s="76" t="str">
        <f t="shared" ca="1" si="63"/>
        <v/>
      </c>
      <c r="BB111" s="76" t="str">
        <f ca="1">IF(AZ111="","",COUNTIF(BA$53:BA110,BA111))</f>
        <v/>
      </c>
      <c r="BC111" s="76" t="str">
        <f t="shared" ca="1" si="64"/>
        <v/>
      </c>
      <c r="BD111" s="76" t="str">
        <f ca="1">IF(AZ111="","",IF(BC111=0,0,MATCH(BA111,BA$54:BA111,0)))</f>
        <v/>
      </c>
      <c r="BE111" s="76" t="str">
        <f t="shared" ca="1" si="65"/>
        <v/>
      </c>
      <c r="BF111" s="76" t="str">
        <f t="shared" ca="1" si="66"/>
        <v/>
      </c>
      <c r="BG111" s="76" t="str">
        <f ca="1">IF(AZ111="","",COUNTIF(BF$54:BF111,BF111))</f>
        <v/>
      </c>
      <c r="BH111" s="76" t="str">
        <f t="shared" ca="1" si="67"/>
        <v/>
      </c>
      <c r="BI111" s="76" t="str">
        <f t="shared" ca="1" si="68"/>
        <v/>
      </c>
      <c r="BJ111" s="76">
        <f t="shared" si="51"/>
        <v>58</v>
      </c>
      <c r="BK111" s="76" t="str">
        <f t="shared" ca="1" si="69"/>
        <v/>
      </c>
      <c r="BL111" s="76" t="str">
        <f t="shared" ca="1" si="70"/>
        <v/>
      </c>
      <c r="BM111" s="76" t="str">
        <f ca="1">IF(BK111="","",COUNTIF(BL$53:BL110,BL111))</f>
        <v/>
      </c>
      <c r="BN111" s="76" t="str">
        <f t="shared" ca="1" si="71"/>
        <v/>
      </c>
      <c r="BO111" s="76" t="str">
        <f ca="1">IF(BK111="","",IF(BN111=0,0,MATCH(BL111,BL$54:BL111,0)))</f>
        <v/>
      </c>
      <c r="BP111" s="76" t="str">
        <f t="shared" ca="1" si="72"/>
        <v/>
      </c>
      <c r="BQ111" s="76" t="str">
        <f t="shared" ca="1" si="73"/>
        <v/>
      </c>
      <c r="BR111" s="76" t="str">
        <f ca="1">IF(BK111="","",COUNTIF(BQ$54:BQ111,BQ111))</f>
        <v/>
      </c>
      <c r="BS111" s="76" t="str">
        <f t="shared" ca="1" si="74"/>
        <v/>
      </c>
      <c r="BT111" s="76" t="str">
        <f t="shared" ca="1" si="75"/>
        <v/>
      </c>
      <c r="BU111" s="76">
        <f t="shared" si="52"/>
        <v>58</v>
      </c>
      <c r="BV111" s="76" t="str">
        <f t="shared" ca="1" si="76"/>
        <v/>
      </c>
      <c r="BW111" s="76" t="str">
        <f t="shared" ca="1" si="77"/>
        <v/>
      </c>
      <c r="BX111" s="76" t="str">
        <f ca="1">IF(BV111="","",COUNTIF(BW$53:BW110,BW111))</f>
        <v/>
      </c>
      <c r="BY111" s="76" t="str">
        <f t="shared" ca="1" si="78"/>
        <v/>
      </c>
      <c r="BZ111" s="76" t="str">
        <f ca="1">IF(BV111="","",IF(BY111=0,0,MATCH(BW111,BW$54:BW111,0)))</f>
        <v/>
      </c>
      <c r="CA111" s="76" t="str">
        <f t="shared" ca="1" si="79"/>
        <v/>
      </c>
      <c r="CB111" s="76" t="str">
        <f t="shared" ca="1" si="80"/>
        <v/>
      </c>
      <c r="CC111" s="76" t="str">
        <f ca="1">IF(BV111="","",COUNTIF(CB$54:CB111,CB111))</f>
        <v/>
      </c>
      <c r="CD111" s="76" t="str">
        <f t="shared" ca="1" si="81"/>
        <v/>
      </c>
      <c r="CE111" s="76" t="str">
        <f t="shared" ca="1" si="82"/>
        <v/>
      </c>
    </row>
    <row r="112" spans="14:83">
      <c r="N112" s="35">
        <f t="shared" si="42"/>
        <v>0</v>
      </c>
      <c r="O112" s="35">
        <f t="shared" si="53"/>
        <v>20</v>
      </c>
      <c r="P112" s="35">
        <f t="shared" si="43"/>
        <v>2</v>
      </c>
      <c r="Q112" s="35">
        <f t="shared" si="54"/>
        <v>2</v>
      </c>
      <c r="R112" s="35">
        <f t="shared" si="44"/>
        <v>2</v>
      </c>
      <c r="AJ112" s="76">
        <v>59</v>
      </c>
      <c r="AK112" s="76" t="str">
        <f t="shared" ca="1" si="45"/>
        <v/>
      </c>
      <c r="AL112" s="76" t="str">
        <f t="shared" ca="1" si="46"/>
        <v/>
      </c>
      <c r="AM112" s="76"/>
      <c r="AN112" s="76"/>
      <c r="AO112" s="76" t="str">
        <f t="shared" ca="1" si="55"/>
        <v/>
      </c>
      <c r="AP112" s="76" t="str">
        <f t="shared" ca="1" si="56"/>
        <v/>
      </c>
      <c r="AQ112" s="76" t="str">
        <f t="shared" ca="1" si="57"/>
        <v/>
      </c>
      <c r="AR112" s="76">
        <f ca="1">COUNTIF($AQ$54:$AQ112,AR$53)</f>
        <v>0</v>
      </c>
      <c r="AS112" s="76">
        <f ca="1">COUNTIF($AQ$54:$AQ112,AS$53)</f>
        <v>0</v>
      </c>
      <c r="AT112" s="76">
        <f ca="1">COUNTIF($AQ$54:$AQ112,AT$53)</f>
        <v>0</v>
      </c>
      <c r="AU112" s="76" t="str">
        <f t="shared" ca="1" si="58"/>
        <v/>
      </c>
      <c r="AV112" s="76" t="str">
        <f t="shared" ca="1" si="59"/>
        <v/>
      </c>
      <c r="AW112" s="76" t="str">
        <f t="shared" ca="1" si="60"/>
        <v/>
      </c>
      <c r="AX112" s="76"/>
      <c r="AY112" s="76">
        <f t="shared" si="61"/>
        <v>59</v>
      </c>
      <c r="AZ112" s="76" t="str">
        <f t="shared" ca="1" si="62"/>
        <v/>
      </c>
      <c r="BA112" s="76" t="str">
        <f t="shared" ca="1" si="63"/>
        <v/>
      </c>
      <c r="BB112" s="76" t="str">
        <f ca="1">IF(AZ112="","",COUNTIF(BA$53:BA111,BA112))</f>
        <v/>
      </c>
      <c r="BC112" s="76" t="str">
        <f t="shared" ca="1" si="64"/>
        <v/>
      </c>
      <c r="BD112" s="76" t="str">
        <f ca="1">IF(AZ112="","",IF(BC112=0,0,MATCH(BA112,BA$54:BA112,0)))</f>
        <v/>
      </c>
      <c r="BE112" s="76" t="str">
        <f t="shared" ca="1" si="65"/>
        <v/>
      </c>
      <c r="BF112" s="76" t="str">
        <f t="shared" ca="1" si="66"/>
        <v/>
      </c>
      <c r="BG112" s="76" t="str">
        <f ca="1">IF(AZ112="","",COUNTIF(BF$54:BF112,BF112))</f>
        <v/>
      </c>
      <c r="BH112" s="76" t="str">
        <f t="shared" ca="1" si="67"/>
        <v/>
      </c>
      <c r="BI112" s="76" t="str">
        <f t="shared" ca="1" si="68"/>
        <v/>
      </c>
      <c r="BJ112" s="76">
        <f t="shared" si="51"/>
        <v>59</v>
      </c>
      <c r="BK112" s="76" t="str">
        <f t="shared" ca="1" si="69"/>
        <v/>
      </c>
      <c r="BL112" s="76" t="str">
        <f t="shared" ca="1" si="70"/>
        <v/>
      </c>
      <c r="BM112" s="76" t="str">
        <f ca="1">IF(BK112="","",COUNTIF(BL$53:BL111,BL112))</f>
        <v/>
      </c>
      <c r="BN112" s="76" t="str">
        <f t="shared" ca="1" si="71"/>
        <v/>
      </c>
      <c r="BO112" s="76" t="str">
        <f ca="1">IF(BK112="","",IF(BN112=0,0,MATCH(BL112,BL$54:BL112,0)))</f>
        <v/>
      </c>
      <c r="BP112" s="76" t="str">
        <f t="shared" ca="1" si="72"/>
        <v/>
      </c>
      <c r="BQ112" s="76" t="str">
        <f t="shared" ca="1" si="73"/>
        <v/>
      </c>
      <c r="BR112" s="76" t="str">
        <f ca="1">IF(BK112="","",COUNTIF(BQ$54:BQ112,BQ112))</f>
        <v/>
      </c>
      <c r="BS112" s="76" t="str">
        <f t="shared" ca="1" si="74"/>
        <v/>
      </c>
      <c r="BT112" s="76" t="str">
        <f t="shared" ca="1" si="75"/>
        <v/>
      </c>
      <c r="BU112" s="76">
        <f t="shared" si="52"/>
        <v>59</v>
      </c>
      <c r="BV112" s="76" t="str">
        <f t="shared" ca="1" si="76"/>
        <v/>
      </c>
      <c r="BW112" s="76" t="str">
        <f t="shared" ca="1" si="77"/>
        <v/>
      </c>
      <c r="BX112" s="76" t="str">
        <f ca="1">IF(BV112="","",COUNTIF(BW$53:BW111,BW112))</f>
        <v/>
      </c>
      <c r="BY112" s="76" t="str">
        <f t="shared" ca="1" si="78"/>
        <v/>
      </c>
      <c r="BZ112" s="76" t="str">
        <f ca="1">IF(BV112="","",IF(BY112=0,0,MATCH(BW112,BW$54:BW112,0)))</f>
        <v/>
      </c>
      <c r="CA112" s="76" t="str">
        <f t="shared" ca="1" si="79"/>
        <v/>
      </c>
      <c r="CB112" s="76" t="str">
        <f t="shared" ca="1" si="80"/>
        <v/>
      </c>
      <c r="CC112" s="76" t="str">
        <f ca="1">IF(BV112="","",COUNTIF(CB$54:CB112,CB112))</f>
        <v/>
      </c>
      <c r="CD112" s="76" t="str">
        <f t="shared" ca="1" si="81"/>
        <v/>
      </c>
      <c r="CE112" s="76" t="str">
        <f t="shared" ca="1" si="82"/>
        <v/>
      </c>
    </row>
    <row r="113" spans="14:83">
      <c r="N113" s="35">
        <f t="shared" si="42"/>
        <v>0</v>
      </c>
      <c r="O113" s="35">
        <f t="shared" si="53"/>
        <v>20</v>
      </c>
      <c r="P113" s="35">
        <f t="shared" si="43"/>
        <v>1</v>
      </c>
      <c r="Q113" s="35">
        <f t="shared" si="54"/>
        <v>3</v>
      </c>
      <c r="R113" s="35">
        <f t="shared" si="44"/>
        <v>1</v>
      </c>
      <c r="AJ113" s="76">
        <v>60</v>
      </c>
      <c r="AK113" s="76" t="str">
        <f t="shared" ca="1" si="45"/>
        <v/>
      </c>
      <c r="AL113" s="76" t="str">
        <f t="shared" ca="1" si="46"/>
        <v/>
      </c>
      <c r="AM113" s="76"/>
      <c r="AN113" s="76"/>
      <c r="AO113" s="76" t="str">
        <f t="shared" ca="1" si="55"/>
        <v/>
      </c>
      <c r="AP113" s="76" t="str">
        <f t="shared" ca="1" si="56"/>
        <v/>
      </c>
      <c r="AQ113" s="76" t="str">
        <f t="shared" ca="1" si="57"/>
        <v/>
      </c>
      <c r="AR113" s="76">
        <f ca="1">COUNTIF($AQ$54:$AQ113,AR$53)</f>
        <v>0</v>
      </c>
      <c r="AS113" s="76">
        <f ca="1">COUNTIF($AQ$54:$AQ113,AS$53)</f>
        <v>0</v>
      </c>
      <c r="AT113" s="76">
        <f ca="1">COUNTIF($AQ$54:$AQ113,AT$53)</f>
        <v>0</v>
      </c>
      <c r="AU113" s="76" t="str">
        <f t="shared" ca="1" si="58"/>
        <v/>
      </c>
      <c r="AV113" s="76" t="str">
        <f t="shared" ca="1" si="59"/>
        <v/>
      </c>
      <c r="AW113" s="76" t="str">
        <f t="shared" ca="1" si="60"/>
        <v/>
      </c>
      <c r="AX113" s="76"/>
      <c r="AY113" s="76">
        <f t="shared" si="61"/>
        <v>60</v>
      </c>
      <c r="AZ113" s="76" t="str">
        <f t="shared" ca="1" si="62"/>
        <v/>
      </c>
      <c r="BA113" s="76" t="str">
        <f t="shared" ca="1" si="63"/>
        <v/>
      </c>
      <c r="BB113" s="76" t="str">
        <f ca="1">IF(AZ113="","",COUNTIF(BA$53:BA112,BA113))</f>
        <v/>
      </c>
      <c r="BC113" s="76" t="str">
        <f t="shared" ca="1" si="64"/>
        <v/>
      </c>
      <c r="BD113" s="76" t="str">
        <f ca="1">IF(AZ113="","",IF(BC113=0,0,MATCH(BA113,BA$54:BA113,0)))</f>
        <v/>
      </c>
      <c r="BE113" s="76" t="str">
        <f t="shared" ca="1" si="65"/>
        <v/>
      </c>
      <c r="BF113" s="76" t="str">
        <f t="shared" ca="1" si="66"/>
        <v/>
      </c>
      <c r="BG113" s="76" t="str">
        <f ca="1">IF(AZ113="","",COUNTIF(BF$54:BF113,BF113))</f>
        <v/>
      </c>
      <c r="BH113" s="76" t="str">
        <f t="shared" ca="1" si="67"/>
        <v/>
      </c>
      <c r="BI113" s="76" t="str">
        <f t="shared" ca="1" si="68"/>
        <v/>
      </c>
      <c r="BJ113" s="76">
        <f t="shared" si="51"/>
        <v>60</v>
      </c>
      <c r="BK113" s="76" t="str">
        <f t="shared" ca="1" si="69"/>
        <v/>
      </c>
      <c r="BL113" s="76" t="str">
        <f t="shared" ca="1" si="70"/>
        <v/>
      </c>
      <c r="BM113" s="76" t="str">
        <f ca="1">IF(BK113="","",COUNTIF(BL$53:BL112,BL113))</f>
        <v/>
      </c>
      <c r="BN113" s="76" t="str">
        <f t="shared" ca="1" si="71"/>
        <v/>
      </c>
      <c r="BO113" s="76" t="str">
        <f ca="1">IF(BK113="","",IF(BN113=0,0,MATCH(BL113,BL$54:BL113,0)))</f>
        <v/>
      </c>
      <c r="BP113" s="76" t="str">
        <f t="shared" ca="1" si="72"/>
        <v/>
      </c>
      <c r="BQ113" s="76" t="str">
        <f t="shared" ca="1" si="73"/>
        <v/>
      </c>
      <c r="BR113" s="76" t="str">
        <f ca="1">IF(BK113="","",COUNTIF(BQ$54:BQ113,BQ113))</f>
        <v/>
      </c>
      <c r="BS113" s="76" t="str">
        <f t="shared" ca="1" si="74"/>
        <v/>
      </c>
      <c r="BT113" s="76" t="str">
        <f t="shared" ca="1" si="75"/>
        <v/>
      </c>
      <c r="BU113" s="76">
        <f t="shared" si="52"/>
        <v>60</v>
      </c>
      <c r="BV113" s="76" t="str">
        <f t="shared" ca="1" si="76"/>
        <v/>
      </c>
      <c r="BW113" s="76" t="str">
        <f t="shared" ca="1" si="77"/>
        <v/>
      </c>
      <c r="BX113" s="76" t="str">
        <f ca="1">IF(BV113="","",COUNTIF(BW$53:BW112,BW113))</f>
        <v/>
      </c>
      <c r="BY113" s="76" t="str">
        <f t="shared" ca="1" si="78"/>
        <v/>
      </c>
      <c r="BZ113" s="76" t="str">
        <f ca="1">IF(BV113="","",IF(BY113=0,0,MATCH(BW113,BW$54:BW113,0)))</f>
        <v/>
      </c>
      <c r="CA113" s="76" t="str">
        <f t="shared" ca="1" si="79"/>
        <v/>
      </c>
      <c r="CB113" s="76" t="str">
        <f t="shared" ca="1" si="80"/>
        <v/>
      </c>
      <c r="CC113" s="76" t="str">
        <f ca="1">IF(BV113="","",COUNTIF(CB$54:CB113,CB113))</f>
        <v/>
      </c>
      <c r="CD113" s="76" t="str">
        <f t="shared" ca="1" si="81"/>
        <v/>
      </c>
      <c r="CE113" s="76" t="str">
        <f t="shared" ca="1" si="82"/>
        <v/>
      </c>
    </row>
    <row r="114" spans="14:83">
      <c r="N114" s="35">
        <f t="shared" si="42"/>
        <v>1</v>
      </c>
      <c r="O114" s="35">
        <f t="shared" si="53"/>
        <v>21</v>
      </c>
      <c r="P114" s="35">
        <f t="shared" si="43"/>
        <v>1</v>
      </c>
      <c r="Q114" s="35">
        <f t="shared" si="54"/>
        <v>1</v>
      </c>
      <c r="R114" s="35">
        <f t="shared" si="44"/>
        <v>1</v>
      </c>
      <c r="AJ114" s="76">
        <v>61</v>
      </c>
      <c r="AK114" s="76" t="str">
        <f t="shared" ca="1" si="45"/>
        <v/>
      </c>
      <c r="AL114" s="76" t="str">
        <f t="shared" ca="1" si="46"/>
        <v/>
      </c>
      <c r="AM114" s="76"/>
      <c r="AN114" s="76"/>
      <c r="AO114" s="76" t="str">
        <f t="shared" ca="1" si="55"/>
        <v/>
      </c>
      <c r="AP114" s="76" t="str">
        <f t="shared" ca="1" si="56"/>
        <v/>
      </c>
      <c r="AQ114" s="76" t="str">
        <f t="shared" ca="1" si="57"/>
        <v/>
      </c>
      <c r="AR114" s="76">
        <f ca="1">COUNTIF($AQ$54:$AQ114,AR$53)</f>
        <v>0</v>
      </c>
      <c r="AS114" s="76">
        <f ca="1">COUNTIF($AQ$54:$AQ114,AS$53)</f>
        <v>0</v>
      </c>
      <c r="AT114" s="76">
        <f ca="1">COUNTIF($AQ$54:$AQ114,AT$53)</f>
        <v>0</v>
      </c>
      <c r="AU114" s="76" t="str">
        <f t="shared" ca="1" si="58"/>
        <v/>
      </c>
      <c r="AV114" s="76" t="str">
        <f t="shared" ca="1" si="59"/>
        <v/>
      </c>
      <c r="AW114" s="76" t="str">
        <f t="shared" ca="1" si="60"/>
        <v/>
      </c>
      <c r="AX114" s="76"/>
      <c r="AY114" s="76">
        <f t="shared" si="61"/>
        <v>61</v>
      </c>
      <c r="AZ114" s="76" t="str">
        <f t="shared" ca="1" si="62"/>
        <v/>
      </c>
      <c r="BA114" s="76" t="str">
        <f t="shared" ca="1" si="63"/>
        <v/>
      </c>
      <c r="BB114" s="76" t="str">
        <f ca="1">IF(AZ114="","",COUNTIF(BA$53:BA113,BA114))</f>
        <v/>
      </c>
      <c r="BC114" s="76" t="str">
        <f t="shared" ca="1" si="64"/>
        <v/>
      </c>
      <c r="BD114" s="76" t="str">
        <f ca="1">IF(AZ114="","",IF(BC114=0,0,MATCH(BA114,BA$54:BA114,0)))</f>
        <v/>
      </c>
      <c r="BE114" s="76" t="str">
        <f t="shared" ca="1" si="65"/>
        <v/>
      </c>
      <c r="BF114" s="76" t="str">
        <f t="shared" ca="1" si="66"/>
        <v/>
      </c>
      <c r="BG114" s="76" t="str">
        <f ca="1">IF(AZ114="","",COUNTIF(BF$54:BF114,BF114))</f>
        <v/>
      </c>
      <c r="BH114" s="76" t="str">
        <f t="shared" ca="1" si="67"/>
        <v/>
      </c>
      <c r="BI114" s="76" t="str">
        <f t="shared" ca="1" si="68"/>
        <v/>
      </c>
      <c r="BJ114" s="76">
        <f t="shared" si="51"/>
        <v>61</v>
      </c>
      <c r="BK114" s="76" t="str">
        <f t="shared" ca="1" si="69"/>
        <v/>
      </c>
      <c r="BL114" s="76" t="str">
        <f t="shared" ca="1" si="70"/>
        <v/>
      </c>
      <c r="BM114" s="76" t="str">
        <f ca="1">IF(BK114="","",COUNTIF(BL$53:BL113,BL114))</f>
        <v/>
      </c>
      <c r="BN114" s="76" t="str">
        <f t="shared" ca="1" si="71"/>
        <v/>
      </c>
      <c r="BO114" s="76" t="str">
        <f ca="1">IF(BK114="","",IF(BN114=0,0,MATCH(BL114,BL$54:BL114,0)))</f>
        <v/>
      </c>
      <c r="BP114" s="76" t="str">
        <f t="shared" ca="1" si="72"/>
        <v/>
      </c>
      <c r="BQ114" s="76" t="str">
        <f t="shared" ca="1" si="73"/>
        <v/>
      </c>
      <c r="BR114" s="76" t="str">
        <f ca="1">IF(BK114="","",COUNTIF(BQ$54:BQ114,BQ114))</f>
        <v/>
      </c>
      <c r="BS114" s="76" t="str">
        <f t="shared" ca="1" si="74"/>
        <v/>
      </c>
      <c r="BT114" s="76" t="str">
        <f t="shared" ca="1" si="75"/>
        <v/>
      </c>
      <c r="BU114" s="76">
        <f t="shared" si="52"/>
        <v>61</v>
      </c>
      <c r="BV114" s="76" t="str">
        <f t="shared" ca="1" si="76"/>
        <v/>
      </c>
      <c r="BW114" s="76" t="str">
        <f t="shared" ca="1" si="77"/>
        <v/>
      </c>
      <c r="BX114" s="76" t="str">
        <f ca="1">IF(BV114="","",COUNTIF(BW$53:BW113,BW114))</f>
        <v/>
      </c>
      <c r="BY114" s="76" t="str">
        <f t="shared" ca="1" si="78"/>
        <v/>
      </c>
      <c r="BZ114" s="76" t="str">
        <f ca="1">IF(BV114="","",IF(BY114=0,0,MATCH(BW114,BW$54:BW114,0)))</f>
        <v/>
      </c>
      <c r="CA114" s="76" t="str">
        <f t="shared" ca="1" si="79"/>
        <v/>
      </c>
      <c r="CB114" s="76" t="str">
        <f t="shared" ca="1" si="80"/>
        <v/>
      </c>
      <c r="CC114" s="76" t="str">
        <f ca="1">IF(BV114="","",COUNTIF(CB$54:CB114,CB114))</f>
        <v/>
      </c>
      <c r="CD114" s="76" t="str">
        <f t="shared" ca="1" si="81"/>
        <v/>
      </c>
      <c r="CE114" s="76" t="str">
        <f t="shared" ca="1" si="82"/>
        <v/>
      </c>
    </row>
    <row r="115" spans="14:83">
      <c r="N115" s="35">
        <f t="shared" si="42"/>
        <v>1</v>
      </c>
      <c r="O115" s="35">
        <f t="shared" si="53"/>
        <v>21</v>
      </c>
      <c r="P115" s="35">
        <f t="shared" si="43"/>
        <v>2</v>
      </c>
      <c r="Q115" s="35">
        <f t="shared" si="54"/>
        <v>2</v>
      </c>
      <c r="R115" s="35">
        <f t="shared" si="44"/>
        <v>2</v>
      </c>
      <c r="AJ115" s="76">
        <v>62</v>
      </c>
      <c r="AK115" s="76" t="str">
        <f t="shared" ca="1" si="45"/>
        <v/>
      </c>
      <c r="AL115" s="76" t="str">
        <f t="shared" ca="1" si="46"/>
        <v/>
      </c>
      <c r="AM115" s="76"/>
      <c r="AN115" s="76"/>
      <c r="AO115" s="76" t="str">
        <f t="shared" ca="1" si="55"/>
        <v/>
      </c>
      <c r="AP115" s="76" t="str">
        <f t="shared" ca="1" si="56"/>
        <v/>
      </c>
      <c r="AQ115" s="76" t="str">
        <f t="shared" ca="1" si="57"/>
        <v/>
      </c>
      <c r="AR115" s="76">
        <f ca="1">COUNTIF($AQ$54:$AQ115,AR$53)</f>
        <v>0</v>
      </c>
      <c r="AS115" s="76">
        <f ca="1">COUNTIF($AQ$54:$AQ115,AS$53)</f>
        <v>0</v>
      </c>
      <c r="AT115" s="76">
        <f ca="1">COUNTIF($AQ$54:$AQ115,AT$53)</f>
        <v>0</v>
      </c>
      <c r="AU115" s="76" t="str">
        <f t="shared" ca="1" si="58"/>
        <v/>
      </c>
      <c r="AV115" s="76" t="str">
        <f t="shared" ca="1" si="59"/>
        <v/>
      </c>
      <c r="AW115" s="76" t="str">
        <f t="shared" ca="1" si="60"/>
        <v/>
      </c>
      <c r="AX115" s="76"/>
      <c r="AY115" s="76">
        <f t="shared" si="61"/>
        <v>62</v>
      </c>
      <c r="AZ115" s="76" t="str">
        <f t="shared" ca="1" si="62"/>
        <v/>
      </c>
      <c r="BA115" s="76" t="str">
        <f t="shared" ca="1" si="63"/>
        <v/>
      </c>
      <c r="BB115" s="76" t="str">
        <f ca="1">IF(AZ115="","",COUNTIF(BA$53:BA114,BA115))</f>
        <v/>
      </c>
      <c r="BC115" s="76" t="str">
        <f t="shared" ca="1" si="64"/>
        <v/>
      </c>
      <c r="BD115" s="76" t="str">
        <f ca="1">IF(AZ115="","",IF(BC115=0,0,MATCH(BA115,BA$54:BA115,0)))</f>
        <v/>
      </c>
      <c r="BE115" s="76" t="str">
        <f t="shared" ca="1" si="65"/>
        <v/>
      </c>
      <c r="BF115" s="76" t="str">
        <f t="shared" ca="1" si="66"/>
        <v/>
      </c>
      <c r="BG115" s="76" t="str">
        <f ca="1">IF(AZ115="","",COUNTIF(BF$54:BF115,BF115))</f>
        <v/>
      </c>
      <c r="BH115" s="76" t="str">
        <f t="shared" ca="1" si="67"/>
        <v/>
      </c>
      <c r="BI115" s="76" t="str">
        <f t="shared" ca="1" si="68"/>
        <v/>
      </c>
      <c r="BJ115" s="76">
        <f t="shared" si="51"/>
        <v>62</v>
      </c>
      <c r="BK115" s="76" t="str">
        <f t="shared" ca="1" si="69"/>
        <v/>
      </c>
      <c r="BL115" s="76" t="str">
        <f t="shared" ca="1" si="70"/>
        <v/>
      </c>
      <c r="BM115" s="76" t="str">
        <f ca="1">IF(BK115="","",COUNTIF(BL$53:BL114,BL115))</f>
        <v/>
      </c>
      <c r="BN115" s="76" t="str">
        <f t="shared" ca="1" si="71"/>
        <v/>
      </c>
      <c r="BO115" s="76" t="str">
        <f ca="1">IF(BK115="","",IF(BN115=0,0,MATCH(BL115,BL$54:BL115,0)))</f>
        <v/>
      </c>
      <c r="BP115" s="76" t="str">
        <f t="shared" ca="1" si="72"/>
        <v/>
      </c>
      <c r="BQ115" s="76" t="str">
        <f t="shared" ca="1" si="73"/>
        <v/>
      </c>
      <c r="BR115" s="76" t="str">
        <f ca="1">IF(BK115="","",COUNTIF(BQ$54:BQ115,BQ115))</f>
        <v/>
      </c>
      <c r="BS115" s="76" t="str">
        <f t="shared" ca="1" si="74"/>
        <v/>
      </c>
      <c r="BT115" s="76" t="str">
        <f t="shared" ca="1" si="75"/>
        <v/>
      </c>
      <c r="BU115" s="76">
        <f t="shared" si="52"/>
        <v>62</v>
      </c>
      <c r="BV115" s="76" t="str">
        <f t="shared" ca="1" si="76"/>
        <v/>
      </c>
      <c r="BW115" s="76" t="str">
        <f t="shared" ca="1" si="77"/>
        <v/>
      </c>
      <c r="BX115" s="76" t="str">
        <f ca="1">IF(BV115="","",COUNTIF(BW$53:BW114,BW115))</f>
        <v/>
      </c>
      <c r="BY115" s="76" t="str">
        <f t="shared" ca="1" si="78"/>
        <v/>
      </c>
      <c r="BZ115" s="76" t="str">
        <f ca="1">IF(BV115="","",IF(BY115=0,0,MATCH(BW115,BW$54:BW115,0)))</f>
        <v/>
      </c>
      <c r="CA115" s="76" t="str">
        <f t="shared" ca="1" si="79"/>
        <v/>
      </c>
      <c r="CB115" s="76" t="str">
        <f t="shared" ca="1" si="80"/>
        <v/>
      </c>
      <c r="CC115" s="76" t="str">
        <f ca="1">IF(BV115="","",COUNTIF(CB$54:CB115,CB115))</f>
        <v/>
      </c>
      <c r="CD115" s="76" t="str">
        <f t="shared" ca="1" si="81"/>
        <v/>
      </c>
      <c r="CE115" s="76" t="str">
        <f t="shared" ca="1" si="82"/>
        <v/>
      </c>
    </row>
    <row r="116" spans="14:83">
      <c r="N116" s="35">
        <f t="shared" si="42"/>
        <v>1</v>
      </c>
      <c r="O116" s="35">
        <f t="shared" si="53"/>
        <v>21</v>
      </c>
      <c r="P116" s="35">
        <f t="shared" si="43"/>
        <v>3</v>
      </c>
      <c r="Q116" s="35">
        <f t="shared" si="54"/>
        <v>3</v>
      </c>
      <c r="R116" s="35">
        <f t="shared" si="44"/>
        <v>3</v>
      </c>
      <c r="AJ116" s="76">
        <v>63</v>
      </c>
      <c r="AK116" s="76" t="str">
        <f t="shared" ca="1" si="45"/>
        <v/>
      </c>
      <c r="AL116" s="76" t="str">
        <f t="shared" ca="1" si="46"/>
        <v/>
      </c>
      <c r="AM116" s="76"/>
      <c r="AN116" s="76"/>
      <c r="AO116" s="76" t="str">
        <f t="shared" ca="1" si="55"/>
        <v/>
      </c>
      <c r="AP116" s="76" t="str">
        <f t="shared" ca="1" si="56"/>
        <v/>
      </c>
      <c r="AQ116" s="76" t="str">
        <f t="shared" ca="1" si="57"/>
        <v/>
      </c>
      <c r="AR116" s="76">
        <f ca="1">COUNTIF($AQ$54:$AQ116,AR$53)</f>
        <v>0</v>
      </c>
      <c r="AS116" s="76">
        <f ca="1">COUNTIF($AQ$54:$AQ116,AS$53)</f>
        <v>0</v>
      </c>
      <c r="AT116" s="76">
        <f ca="1">COUNTIF($AQ$54:$AQ116,AT$53)</f>
        <v>0</v>
      </c>
      <c r="AU116" s="76" t="str">
        <f t="shared" ca="1" si="58"/>
        <v/>
      </c>
      <c r="AV116" s="76" t="str">
        <f t="shared" ca="1" si="59"/>
        <v/>
      </c>
      <c r="AW116" s="76" t="str">
        <f t="shared" ca="1" si="60"/>
        <v/>
      </c>
      <c r="AX116" s="76"/>
      <c r="AY116" s="76">
        <f t="shared" si="61"/>
        <v>63</v>
      </c>
      <c r="AZ116" s="76" t="str">
        <f t="shared" ca="1" si="62"/>
        <v/>
      </c>
      <c r="BA116" s="76" t="str">
        <f t="shared" ca="1" si="63"/>
        <v/>
      </c>
      <c r="BB116" s="76" t="str">
        <f ca="1">IF(AZ116="","",COUNTIF(BA$53:BA115,BA116))</f>
        <v/>
      </c>
      <c r="BC116" s="76" t="str">
        <f t="shared" ca="1" si="64"/>
        <v/>
      </c>
      <c r="BD116" s="76" t="str">
        <f ca="1">IF(AZ116="","",IF(BC116=0,0,MATCH(BA116,BA$54:BA116,0)))</f>
        <v/>
      </c>
      <c r="BE116" s="76" t="str">
        <f t="shared" ca="1" si="65"/>
        <v/>
      </c>
      <c r="BF116" s="76" t="str">
        <f t="shared" ca="1" si="66"/>
        <v/>
      </c>
      <c r="BG116" s="76" t="str">
        <f ca="1">IF(AZ116="","",COUNTIF(BF$54:BF116,BF116))</f>
        <v/>
      </c>
      <c r="BH116" s="76" t="str">
        <f t="shared" ca="1" si="67"/>
        <v/>
      </c>
      <c r="BI116" s="76" t="str">
        <f t="shared" ca="1" si="68"/>
        <v/>
      </c>
      <c r="BJ116" s="76">
        <f t="shared" si="51"/>
        <v>63</v>
      </c>
      <c r="BK116" s="76" t="str">
        <f t="shared" ca="1" si="69"/>
        <v/>
      </c>
      <c r="BL116" s="76" t="str">
        <f t="shared" ca="1" si="70"/>
        <v/>
      </c>
      <c r="BM116" s="76" t="str">
        <f ca="1">IF(BK116="","",COUNTIF(BL$53:BL115,BL116))</f>
        <v/>
      </c>
      <c r="BN116" s="76" t="str">
        <f t="shared" ca="1" si="71"/>
        <v/>
      </c>
      <c r="BO116" s="76" t="str">
        <f ca="1">IF(BK116="","",IF(BN116=0,0,MATCH(BL116,BL$54:BL116,0)))</f>
        <v/>
      </c>
      <c r="BP116" s="76" t="str">
        <f t="shared" ca="1" si="72"/>
        <v/>
      </c>
      <c r="BQ116" s="76" t="str">
        <f t="shared" ca="1" si="73"/>
        <v/>
      </c>
      <c r="BR116" s="76" t="str">
        <f ca="1">IF(BK116="","",COUNTIF(BQ$54:BQ116,BQ116))</f>
        <v/>
      </c>
      <c r="BS116" s="76" t="str">
        <f t="shared" ca="1" si="74"/>
        <v/>
      </c>
      <c r="BT116" s="76" t="str">
        <f t="shared" ca="1" si="75"/>
        <v/>
      </c>
      <c r="BU116" s="76">
        <f t="shared" si="52"/>
        <v>63</v>
      </c>
      <c r="BV116" s="76" t="str">
        <f t="shared" ca="1" si="76"/>
        <v/>
      </c>
      <c r="BW116" s="76" t="str">
        <f t="shared" ca="1" si="77"/>
        <v/>
      </c>
      <c r="BX116" s="76" t="str">
        <f ca="1">IF(BV116="","",COUNTIF(BW$53:BW115,BW116))</f>
        <v/>
      </c>
      <c r="BY116" s="76" t="str">
        <f t="shared" ca="1" si="78"/>
        <v/>
      </c>
      <c r="BZ116" s="76" t="str">
        <f ca="1">IF(BV116="","",IF(BY116=0,0,MATCH(BW116,BW$54:BW116,0)))</f>
        <v/>
      </c>
      <c r="CA116" s="76" t="str">
        <f t="shared" ca="1" si="79"/>
        <v/>
      </c>
      <c r="CB116" s="76" t="str">
        <f t="shared" ca="1" si="80"/>
        <v/>
      </c>
      <c r="CC116" s="76" t="str">
        <f ca="1">IF(BV116="","",COUNTIF(CB$54:CB116,CB116))</f>
        <v/>
      </c>
      <c r="CD116" s="76" t="str">
        <f t="shared" ca="1" si="81"/>
        <v/>
      </c>
      <c r="CE116" s="76" t="str">
        <f t="shared" ca="1" si="82"/>
        <v/>
      </c>
    </row>
    <row r="117" spans="14:83">
      <c r="N117" s="35">
        <f t="shared" si="42"/>
        <v>0</v>
      </c>
      <c r="O117" s="35">
        <f t="shared" si="53"/>
        <v>22</v>
      </c>
      <c r="P117" s="35">
        <f t="shared" si="43"/>
        <v>3</v>
      </c>
      <c r="Q117" s="35">
        <f t="shared" si="54"/>
        <v>1</v>
      </c>
      <c r="R117" s="35">
        <f t="shared" si="44"/>
        <v>3</v>
      </c>
      <c r="AJ117" s="76">
        <v>64</v>
      </c>
      <c r="AK117" s="76" t="str">
        <f t="shared" ca="1" si="45"/>
        <v/>
      </c>
      <c r="AL117" s="76" t="str">
        <f t="shared" ca="1" si="46"/>
        <v/>
      </c>
      <c r="AM117" s="76"/>
      <c r="AN117" s="76"/>
      <c r="AO117" s="76" t="str">
        <f t="shared" ca="1" si="55"/>
        <v/>
      </c>
      <c r="AP117" s="76" t="str">
        <f t="shared" ca="1" si="56"/>
        <v/>
      </c>
      <c r="AQ117" s="76" t="str">
        <f t="shared" ca="1" si="57"/>
        <v/>
      </c>
      <c r="AR117" s="76">
        <f ca="1">COUNTIF($AQ$54:$AQ117,AR$53)</f>
        <v>0</v>
      </c>
      <c r="AS117" s="76">
        <f ca="1">COUNTIF($AQ$54:$AQ117,AS$53)</f>
        <v>0</v>
      </c>
      <c r="AT117" s="76">
        <f ca="1">COUNTIF($AQ$54:$AQ117,AT$53)</f>
        <v>0</v>
      </c>
      <c r="AU117" s="76" t="str">
        <f t="shared" ca="1" si="58"/>
        <v/>
      </c>
      <c r="AV117" s="76" t="str">
        <f t="shared" ca="1" si="59"/>
        <v/>
      </c>
      <c r="AW117" s="76" t="str">
        <f t="shared" ca="1" si="60"/>
        <v/>
      </c>
      <c r="AX117" s="76"/>
      <c r="AY117" s="76">
        <f t="shared" si="61"/>
        <v>64</v>
      </c>
      <c r="AZ117" s="76" t="str">
        <f t="shared" ca="1" si="62"/>
        <v/>
      </c>
      <c r="BA117" s="76" t="str">
        <f t="shared" ca="1" si="63"/>
        <v/>
      </c>
      <c r="BB117" s="76" t="str">
        <f ca="1">IF(AZ117="","",COUNTIF(BA$53:BA116,BA117))</f>
        <v/>
      </c>
      <c r="BC117" s="76" t="str">
        <f t="shared" ca="1" si="64"/>
        <v/>
      </c>
      <c r="BD117" s="76" t="str">
        <f ca="1">IF(AZ117="","",IF(BC117=0,0,MATCH(BA117,BA$54:BA117,0)))</f>
        <v/>
      </c>
      <c r="BE117" s="76" t="str">
        <f t="shared" ca="1" si="65"/>
        <v/>
      </c>
      <c r="BF117" s="76" t="str">
        <f t="shared" ca="1" si="66"/>
        <v/>
      </c>
      <c r="BG117" s="76" t="str">
        <f ca="1">IF(AZ117="","",COUNTIF(BF$54:BF117,BF117))</f>
        <v/>
      </c>
      <c r="BH117" s="76" t="str">
        <f t="shared" ca="1" si="67"/>
        <v/>
      </c>
      <c r="BI117" s="76" t="str">
        <f t="shared" ca="1" si="68"/>
        <v/>
      </c>
      <c r="BJ117" s="76">
        <f t="shared" si="51"/>
        <v>64</v>
      </c>
      <c r="BK117" s="76" t="str">
        <f t="shared" ca="1" si="69"/>
        <v/>
      </c>
      <c r="BL117" s="76" t="str">
        <f t="shared" ca="1" si="70"/>
        <v/>
      </c>
      <c r="BM117" s="76" t="str">
        <f ca="1">IF(BK117="","",COUNTIF(BL$53:BL116,BL117))</f>
        <v/>
      </c>
      <c r="BN117" s="76" t="str">
        <f t="shared" ca="1" si="71"/>
        <v/>
      </c>
      <c r="BO117" s="76" t="str">
        <f ca="1">IF(BK117="","",IF(BN117=0,0,MATCH(BL117,BL$54:BL117,0)))</f>
        <v/>
      </c>
      <c r="BP117" s="76" t="str">
        <f t="shared" ca="1" si="72"/>
        <v/>
      </c>
      <c r="BQ117" s="76" t="str">
        <f t="shared" ca="1" si="73"/>
        <v/>
      </c>
      <c r="BR117" s="76" t="str">
        <f ca="1">IF(BK117="","",COUNTIF(BQ$54:BQ117,BQ117))</f>
        <v/>
      </c>
      <c r="BS117" s="76" t="str">
        <f t="shared" ca="1" si="74"/>
        <v/>
      </c>
      <c r="BT117" s="76" t="str">
        <f t="shared" ca="1" si="75"/>
        <v/>
      </c>
      <c r="BU117" s="76">
        <f t="shared" si="52"/>
        <v>64</v>
      </c>
      <c r="BV117" s="76" t="str">
        <f t="shared" ca="1" si="76"/>
        <v/>
      </c>
      <c r="BW117" s="76" t="str">
        <f t="shared" ca="1" si="77"/>
        <v/>
      </c>
      <c r="BX117" s="76" t="str">
        <f ca="1">IF(BV117="","",COUNTIF(BW$53:BW116,BW117))</f>
        <v/>
      </c>
      <c r="BY117" s="76" t="str">
        <f t="shared" ca="1" si="78"/>
        <v/>
      </c>
      <c r="BZ117" s="76" t="str">
        <f ca="1">IF(BV117="","",IF(BY117=0,0,MATCH(BW117,BW$54:BW117,0)))</f>
        <v/>
      </c>
      <c r="CA117" s="76" t="str">
        <f t="shared" ca="1" si="79"/>
        <v/>
      </c>
      <c r="CB117" s="76" t="str">
        <f t="shared" ca="1" si="80"/>
        <v/>
      </c>
      <c r="CC117" s="76" t="str">
        <f ca="1">IF(BV117="","",COUNTIF(CB$54:CB117,CB117))</f>
        <v/>
      </c>
      <c r="CD117" s="76" t="str">
        <f t="shared" ca="1" si="81"/>
        <v/>
      </c>
      <c r="CE117" s="76" t="str">
        <f t="shared" ca="1" si="82"/>
        <v/>
      </c>
    </row>
    <row r="118" spans="14:83">
      <c r="N118" s="35">
        <f t="shared" si="42"/>
        <v>0</v>
      </c>
      <c r="O118" s="35">
        <f t="shared" ref="O118:O153" si="83">INT((AJ118-1)/$AL$3)+1</f>
        <v>22</v>
      </c>
      <c r="P118" s="35">
        <f t="shared" si="43"/>
        <v>2</v>
      </c>
      <c r="Q118" s="35">
        <f t="shared" ref="Q118:Q153" si="84">MOD(AJ118-1,$AL$3)+1</f>
        <v>2</v>
      </c>
      <c r="R118" s="35">
        <f t="shared" si="44"/>
        <v>2</v>
      </c>
      <c r="AJ118" s="76">
        <v>65</v>
      </c>
      <c r="AK118" s="76" t="str">
        <f t="shared" ca="1" si="45"/>
        <v/>
      </c>
      <c r="AL118" s="76" t="str">
        <f t="shared" ca="1" si="46"/>
        <v/>
      </c>
      <c r="AM118" s="76"/>
      <c r="AN118" s="76"/>
      <c r="AO118" s="76" t="str">
        <f t="shared" ref="AO118:AO153" ca="1" si="85">IF(AK118="","",IF(AJ118&lt;=$AL$7,1,IF(AJ118&lt;=$AL$7+$AL$8,2,3)))</f>
        <v/>
      </c>
      <c r="AP118" s="76" t="str">
        <f t="shared" ref="AP118:AP153" ca="1" si="86">IF(AK118="","",IF(ISNA(MATCH(AK118,$AK$12:$AK$21,0)),1,0))</f>
        <v/>
      </c>
      <c r="AQ118" s="76" t="str">
        <f t="shared" ref="AQ118:AQ149" ca="1" si="87">IF(AK118="","",IF(ISNA(MATCH(AK118,$AK$23:$AK$32,0)),AO118*AP118,1))</f>
        <v/>
      </c>
      <c r="AR118" s="76">
        <f ca="1">COUNTIF($AQ$54:$AQ118,AR$53)</f>
        <v>0</v>
      </c>
      <c r="AS118" s="76">
        <f ca="1">COUNTIF($AQ$54:$AQ118,AS$53)</f>
        <v>0</v>
      </c>
      <c r="AT118" s="76">
        <f ca="1">COUNTIF($AQ$54:$AQ118,AT$53)</f>
        <v>0</v>
      </c>
      <c r="AU118" s="76" t="str">
        <f t="shared" ref="AU118:AU153" ca="1" si="88">IF(ISNA(MATCH(AY118,$AR$54:$AR$153,0)),"",MATCH(AY118,$AR$54:$AR$153,0))</f>
        <v/>
      </c>
      <c r="AV118" s="76" t="str">
        <f t="shared" ref="AV118:AV153" ca="1" si="89">IF(ISNA(MATCH(BJ118,$AS$54:$AS$153,0)),"",MATCH(BJ118,$AS$54:$AS$153,0))</f>
        <v/>
      </c>
      <c r="AW118" s="76" t="str">
        <f t="shared" ref="AW118:AW153" ca="1" si="90">IF(ISNA(MATCH(BU118,$AT$54:$AT$153,0)),"",MATCH(BU118,$AT$54:$AT$153,0))</f>
        <v/>
      </c>
      <c r="AX118" s="76"/>
      <c r="AY118" s="76">
        <f t="shared" ref="AY118:AY153" si="91">AJ118</f>
        <v>65</v>
      </c>
      <c r="AZ118" s="76" t="str">
        <f t="shared" ref="AZ118:AZ153" ca="1" si="92">IF($AU118="","",OFFSET(AK$53,$AU118,0))</f>
        <v/>
      </c>
      <c r="BA118" s="76" t="str">
        <f t="shared" ref="BA118:BA153" ca="1" si="93">IF($AU118="","",OFFSET(AL$53,$AU118,0))</f>
        <v/>
      </c>
      <c r="BB118" s="76" t="str">
        <f ca="1">IF(AZ118="","",COUNTIF(BA$53:BA117,BA118))</f>
        <v/>
      </c>
      <c r="BC118" s="76" t="str">
        <f t="shared" ref="BC118:BC149" ca="1" si="94">IF(AZ118="","",IF(BB118=1,1,0))</f>
        <v/>
      </c>
      <c r="BD118" s="76" t="str">
        <f ca="1">IF(AZ118="","",IF(BC118=0,0,MATCH(BA118,BA$54:BA118,0)))</f>
        <v/>
      </c>
      <c r="BE118" s="76" t="str">
        <f t="shared" ref="BE118:BE153" ca="1" si="95">IF(AZ118="","",OFFSET($CG$53,MATCH(AY118,OFFSET($CG$53,1,AY$52,AY$53),0),1+AY$52))</f>
        <v/>
      </c>
      <c r="BF118" s="76" t="str">
        <f t="shared" ref="BF118:BF149" ca="1" si="96">IF(AZ118="","",IF(BC118=0,BE118,1-OFFSET(BE$53,BD118,0)))</f>
        <v/>
      </c>
      <c r="BG118" s="76" t="str">
        <f ca="1">IF(AZ118="","",COUNTIF(BF$54:BF118,BF118))</f>
        <v/>
      </c>
      <c r="BH118" s="76" t="str">
        <f t="shared" ref="BH118:BH149" ca="1" si="97">IF(AZ118="","",MATCH(BG118,OFFSET($CG$53,1+BF118*BH$51,BH$52,BH$51),0))</f>
        <v/>
      </c>
      <c r="BI118" s="76" t="str">
        <f t="shared" ref="BI118:BI149" ca="1" si="98">IF(AZ118="","",OFFSET($CG$53,BH118+BF118*BH$51,AY$52))</f>
        <v/>
      </c>
      <c r="BJ118" s="76">
        <f t="shared" si="51"/>
        <v>65</v>
      </c>
      <c r="BK118" s="76" t="str">
        <f t="shared" ref="BK118:BK153" ca="1" si="99">IF($AV118="","",OFFSET(AK$53,$AV118,0))</f>
        <v/>
      </c>
      <c r="BL118" s="76" t="str">
        <f t="shared" ref="BL118:BL153" ca="1" si="100">IF($AV118="","",OFFSET(AL$53,$AV118,0))</f>
        <v/>
      </c>
      <c r="BM118" s="76" t="str">
        <f ca="1">IF(BK118="","",COUNTIF(BL$53:BL117,BL118))</f>
        <v/>
      </c>
      <c r="BN118" s="76" t="str">
        <f t="shared" ref="BN118:BN149" ca="1" si="101">IF(BK118="","",IF(BM118=1,1,0))</f>
        <v/>
      </c>
      <c r="BO118" s="76" t="str">
        <f ca="1">IF(BK118="","",IF(BN118=0,0,MATCH(BL118,BL$54:BL118,0)))</f>
        <v/>
      </c>
      <c r="BP118" s="76" t="str">
        <f t="shared" ref="BP118:BP153" ca="1" si="102">IF(BK118="","",OFFSET($CG$53,MATCH(BJ118,OFFSET($CG$53,1,BJ$52,BJ$53),0),1+BJ$52))</f>
        <v/>
      </c>
      <c r="BQ118" s="76" t="str">
        <f t="shared" ref="BQ118:BQ149" ca="1" si="103">IF(BK118="","",IF(BN118=0,BP118,1-OFFSET(BP$53,BO118,0)))</f>
        <v/>
      </c>
      <c r="BR118" s="76" t="str">
        <f ca="1">IF(BK118="","",COUNTIF(BQ$54:BQ118,BQ118))</f>
        <v/>
      </c>
      <c r="BS118" s="76" t="str">
        <f t="shared" ref="BS118:BS149" ca="1" si="104">IF(BK118="","",MATCH(BR118,OFFSET($CG$53,1+BQ118*BS$51,BS$52,BS$51),0))</f>
        <v/>
      </c>
      <c r="BT118" s="76" t="str">
        <f t="shared" ref="BT118:BT149" ca="1" si="105">IF(BK118="","",OFFSET($CG$53,BS118+BQ118*BS$51,BJ$52))</f>
        <v/>
      </c>
      <c r="BU118" s="76">
        <f t="shared" si="52"/>
        <v>65</v>
      </c>
      <c r="BV118" s="76" t="str">
        <f t="shared" ref="BV118:BV153" ca="1" si="106">IF($AW118="","",OFFSET(AK$53,$AW118,0))</f>
        <v/>
      </c>
      <c r="BW118" s="76" t="str">
        <f t="shared" ref="BW118:BW153" ca="1" si="107">IF($AW118="","",OFFSET(AL$53,$AW118,0))</f>
        <v/>
      </c>
      <c r="BX118" s="76" t="str">
        <f ca="1">IF(BV118="","",COUNTIF(BW$53:BW117,BW118))</f>
        <v/>
      </c>
      <c r="BY118" s="76" t="str">
        <f t="shared" ref="BY118:BY149" ca="1" si="108">IF(BV118="","",IF(BX118=1,1,0))</f>
        <v/>
      </c>
      <c r="BZ118" s="76" t="str">
        <f ca="1">IF(BV118="","",IF(BY118=0,0,MATCH(BW118,BW$54:BW118,0)))</f>
        <v/>
      </c>
      <c r="CA118" s="76" t="str">
        <f t="shared" ref="CA118:CA153" ca="1" si="109">IF(BV118="","",OFFSET($CG$53,MATCH(BU118,OFFSET($CG$53,1,BU$52,BU$53),0),1+BU$52))</f>
        <v/>
      </c>
      <c r="CB118" s="76" t="str">
        <f t="shared" ref="CB118:CB149" ca="1" si="110">IF(BV118="","",IF(BY118=0,CA118,1-OFFSET(CA$53,BZ118,0)))</f>
        <v/>
      </c>
      <c r="CC118" s="76" t="str">
        <f ca="1">IF(BV118="","",COUNTIF(CB$54:CB118,CB118))</f>
        <v/>
      </c>
      <c r="CD118" s="76" t="str">
        <f t="shared" ref="CD118:CD149" ca="1" si="111">IF(BV118="","",MATCH(CC118,OFFSET($CG$53,1+CB118*CD$51,CD$52,CD$51),0))</f>
        <v/>
      </c>
      <c r="CE118" s="76" t="str">
        <f t="shared" ref="CE118:CE149" ca="1" si="112">IF(BV118="","",OFFSET($CG$53,CD118+CB118*CD$51,BU$52))</f>
        <v/>
      </c>
    </row>
    <row r="119" spans="14:83">
      <c r="N119" s="35">
        <f t="shared" ref="N119:N153" si="113">MOD(O119,2)</f>
        <v>0</v>
      </c>
      <c r="O119" s="35">
        <f t="shared" si="83"/>
        <v>22</v>
      </c>
      <c r="P119" s="35">
        <f t="shared" ref="P119:P153" si="114">IF(N119=1,Q119,($AL$3-Q119)+1)</f>
        <v>1</v>
      </c>
      <c r="Q119" s="35">
        <f t="shared" si="84"/>
        <v>3</v>
      </c>
      <c r="R119" s="35">
        <f t="shared" ref="R119:R153" si="115">IF($R$52=$P$53,P119,Q119)</f>
        <v>1</v>
      </c>
      <c r="AJ119" s="76">
        <v>66</v>
      </c>
      <c r="AK119" s="76" t="str">
        <f t="shared" ref="AK119:AK153" ca="1" si="116">IF(AJ119&gt;$AL$4,"",OFFSET($B$3,O119,R119))</f>
        <v/>
      </c>
      <c r="AL119" s="76" t="str">
        <f t="shared" ref="AL119:AL153" ca="1" si="117">IF(AJ119&gt;$AL$4,"",OFFSET($B$3,0,R119))</f>
        <v/>
      </c>
      <c r="AM119" s="76"/>
      <c r="AN119" s="76"/>
      <c r="AO119" s="76" t="str">
        <f t="shared" ca="1" si="85"/>
        <v/>
      </c>
      <c r="AP119" s="76" t="str">
        <f t="shared" ca="1" si="86"/>
        <v/>
      </c>
      <c r="AQ119" s="76" t="str">
        <f t="shared" ca="1" si="87"/>
        <v/>
      </c>
      <c r="AR119" s="76">
        <f ca="1">COUNTIF($AQ$54:$AQ119,AR$53)</f>
        <v>0</v>
      </c>
      <c r="AS119" s="76">
        <f ca="1">COUNTIF($AQ$54:$AQ119,AS$53)</f>
        <v>0</v>
      </c>
      <c r="AT119" s="76">
        <f ca="1">COUNTIF($AQ$54:$AQ119,AT$53)</f>
        <v>0</v>
      </c>
      <c r="AU119" s="76" t="str">
        <f t="shared" ca="1" si="88"/>
        <v/>
      </c>
      <c r="AV119" s="76" t="str">
        <f t="shared" ca="1" si="89"/>
        <v/>
      </c>
      <c r="AW119" s="76" t="str">
        <f t="shared" ca="1" si="90"/>
        <v/>
      </c>
      <c r="AX119" s="76"/>
      <c r="AY119" s="76">
        <f t="shared" si="91"/>
        <v>66</v>
      </c>
      <c r="AZ119" s="76" t="str">
        <f t="shared" ca="1" si="92"/>
        <v/>
      </c>
      <c r="BA119" s="76" t="str">
        <f t="shared" ca="1" si="93"/>
        <v/>
      </c>
      <c r="BB119" s="76" t="str">
        <f ca="1">IF(AZ119="","",COUNTIF(BA$53:BA118,BA119))</f>
        <v/>
      </c>
      <c r="BC119" s="76" t="str">
        <f t="shared" ca="1" si="94"/>
        <v/>
      </c>
      <c r="BD119" s="76" t="str">
        <f ca="1">IF(AZ119="","",IF(BC119=0,0,MATCH(BA119,BA$54:BA119,0)))</f>
        <v/>
      </c>
      <c r="BE119" s="76" t="str">
        <f t="shared" ca="1" si="95"/>
        <v/>
      </c>
      <c r="BF119" s="76" t="str">
        <f t="shared" ca="1" si="96"/>
        <v/>
      </c>
      <c r="BG119" s="76" t="str">
        <f ca="1">IF(AZ119="","",COUNTIF(BF$54:BF119,BF119))</f>
        <v/>
      </c>
      <c r="BH119" s="76" t="str">
        <f t="shared" ca="1" si="97"/>
        <v/>
      </c>
      <c r="BI119" s="76" t="str">
        <f t="shared" ca="1" si="98"/>
        <v/>
      </c>
      <c r="BJ119" s="76">
        <f t="shared" si="51"/>
        <v>66</v>
      </c>
      <c r="BK119" s="76" t="str">
        <f t="shared" ca="1" si="99"/>
        <v/>
      </c>
      <c r="BL119" s="76" t="str">
        <f t="shared" ca="1" si="100"/>
        <v/>
      </c>
      <c r="BM119" s="76" t="str">
        <f ca="1">IF(BK119="","",COUNTIF(BL$53:BL118,BL119))</f>
        <v/>
      </c>
      <c r="BN119" s="76" t="str">
        <f t="shared" ca="1" si="101"/>
        <v/>
      </c>
      <c r="BO119" s="76" t="str">
        <f ca="1">IF(BK119="","",IF(BN119=0,0,MATCH(BL119,BL$54:BL119,0)))</f>
        <v/>
      </c>
      <c r="BP119" s="76" t="str">
        <f t="shared" ca="1" si="102"/>
        <v/>
      </c>
      <c r="BQ119" s="76" t="str">
        <f t="shared" ca="1" si="103"/>
        <v/>
      </c>
      <c r="BR119" s="76" t="str">
        <f ca="1">IF(BK119="","",COUNTIF(BQ$54:BQ119,BQ119))</f>
        <v/>
      </c>
      <c r="BS119" s="76" t="str">
        <f t="shared" ca="1" si="104"/>
        <v/>
      </c>
      <c r="BT119" s="76" t="str">
        <f t="shared" ca="1" si="105"/>
        <v/>
      </c>
      <c r="BU119" s="76">
        <f t="shared" si="52"/>
        <v>66</v>
      </c>
      <c r="BV119" s="76" t="str">
        <f t="shared" ca="1" si="106"/>
        <v/>
      </c>
      <c r="BW119" s="76" t="str">
        <f t="shared" ca="1" si="107"/>
        <v/>
      </c>
      <c r="BX119" s="76" t="str">
        <f ca="1">IF(BV119="","",COUNTIF(BW$53:BW118,BW119))</f>
        <v/>
      </c>
      <c r="BY119" s="76" t="str">
        <f t="shared" ca="1" si="108"/>
        <v/>
      </c>
      <c r="BZ119" s="76" t="str">
        <f ca="1">IF(BV119="","",IF(BY119=0,0,MATCH(BW119,BW$54:BW119,0)))</f>
        <v/>
      </c>
      <c r="CA119" s="76" t="str">
        <f t="shared" ca="1" si="109"/>
        <v/>
      </c>
      <c r="CB119" s="76" t="str">
        <f t="shared" ca="1" si="110"/>
        <v/>
      </c>
      <c r="CC119" s="76" t="str">
        <f ca="1">IF(BV119="","",COUNTIF(CB$54:CB119,CB119))</f>
        <v/>
      </c>
      <c r="CD119" s="76" t="str">
        <f t="shared" ca="1" si="111"/>
        <v/>
      </c>
      <c r="CE119" s="76" t="str">
        <f t="shared" ca="1" si="112"/>
        <v/>
      </c>
    </row>
    <row r="120" spans="14:83">
      <c r="N120" s="35">
        <f t="shared" si="113"/>
        <v>1</v>
      </c>
      <c r="O120" s="35">
        <f t="shared" si="83"/>
        <v>23</v>
      </c>
      <c r="P120" s="35">
        <f t="shared" si="114"/>
        <v>1</v>
      </c>
      <c r="Q120" s="35">
        <f t="shared" si="84"/>
        <v>1</v>
      </c>
      <c r="R120" s="35">
        <f t="shared" si="115"/>
        <v>1</v>
      </c>
      <c r="AJ120" s="76">
        <v>67</v>
      </c>
      <c r="AK120" s="76" t="str">
        <f t="shared" ca="1" si="116"/>
        <v/>
      </c>
      <c r="AL120" s="76" t="str">
        <f t="shared" ca="1" si="117"/>
        <v/>
      </c>
      <c r="AM120" s="76"/>
      <c r="AN120" s="76"/>
      <c r="AO120" s="76" t="str">
        <f t="shared" ca="1" si="85"/>
        <v/>
      </c>
      <c r="AP120" s="76" t="str">
        <f t="shared" ca="1" si="86"/>
        <v/>
      </c>
      <c r="AQ120" s="76" t="str">
        <f t="shared" ca="1" si="87"/>
        <v/>
      </c>
      <c r="AR120" s="76">
        <f ca="1">COUNTIF($AQ$54:$AQ120,AR$53)</f>
        <v>0</v>
      </c>
      <c r="AS120" s="76">
        <f ca="1">COUNTIF($AQ$54:$AQ120,AS$53)</f>
        <v>0</v>
      </c>
      <c r="AT120" s="76">
        <f ca="1">COUNTIF($AQ$54:$AQ120,AT$53)</f>
        <v>0</v>
      </c>
      <c r="AU120" s="76" t="str">
        <f t="shared" ca="1" si="88"/>
        <v/>
      </c>
      <c r="AV120" s="76" t="str">
        <f t="shared" ca="1" si="89"/>
        <v/>
      </c>
      <c r="AW120" s="76" t="str">
        <f t="shared" ca="1" si="90"/>
        <v/>
      </c>
      <c r="AX120" s="76"/>
      <c r="AY120" s="76">
        <f t="shared" si="91"/>
        <v>67</v>
      </c>
      <c r="AZ120" s="76" t="str">
        <f t="shared" ca="1" si="92"/>
        <v/>
      </c>
      <c r="BA120" s="76" t="str">
        <f t="shared" ca="1" si="93"/>
        <v/>
      </c>
      <c r="BB120" s="76" t="str">
        <f ca="1">IF(AZ120="","",COUNTIF(BA$53:BA119,BA120))</f>
        <v/>
      </c>
      <c r="BC120" s="76" t="str">
        <f t="shared" ca="1" si="94"/>
        <v/>
      </c>
      <c r="BD120" s="76" t="str">
        <f ca="1">IF(AZ120="","",IF(BC120=0,0,MATCH(BA120,BA$54:BA120,0)))</f>
        <v/>
      </c>
      <c r="BE120" s="76" t="str">
        <f t="shared" ca="1" si="95"/>
        <v/>
      </c>
      <c r="BF120" s="76" t="str">
        <f t="shared" ca="1" si="96"/>
        <v/>
      </c>
      <c r="BG120" s="76" t="str">
        <f ca="1">IF(AZ120="","",COUNTIF(BF$54:BF120,BF120))</f>
        <v/>
      </c>
      <c r="BH120" s="76" t="str">
        <f t="shared" ca="1" si="97"/>
        <v/>
      </c>
      <c r="BI120" s="76" t="str">
        <f t="shared" ca="1" si="98"/>
        <v/>
      </c>
      <c r="BJ120" s="76">
        <f t="shared" si="51"/>
        <v>67</v>
      </c>
      <c r="BK120" s="76" t="str">
        <f t="shared" ca="1" si="99"/>
        <v/>
      </c>
      <c r="BL120" s="76" t="str">
        <f t="shared" ca="1" si="100"/>
        <v/>
      </c>
      <c r="BM120" s="76" t="str">
        <f ca="1">IF(BK120="","",COUNTIF(BL$53:BL119,BL120))</f>
        <v/>
      </c>
      <c r="BN120" s="76" t="str">
        <f t="shared" ca="1" si="101"/>
        <v/>
      </c>
      <c r="BO120" s="76" t="str">
        <f ca="1">IF(BK120="","",IF(BN120=0,0,MATCH(BL120,BL$54:BL120,0)))</f>
        <v/>
      </c>
      <c r="BP120" s="76" t="str">
        <f t="shared" ca="1" si="102"/>
        <v/>
      </c>
      <c r="BQ120" s="76" t="str">
        <f t="shared" ca="1" si="103"/>
        <v/>
      </c>
      <c r="BR120" s="76" t="str">
        <f ca="1">IF(BK120="","",COUNTIF(BQ$54:BQ120,BQ120))</f>
        <v/>
      </c>
      <c r="BS120" s="76" t="str">
        <f t="shared" ca="1" si="104"/>
        <v/>
      </c>
      <c r="BT120" s="76" t="str">
        <f t="shared" ca="1" si="105"/>
        <v/>
      </c>
      <c r="BU120" s="76">
        <f t="shared" si="52"/>
        <v>67</v>
      </c>
      <c r="BV120" s="76" t="str">
        <f t="shared" ca="1" si="106"/>
        <v/>
      </c>
      <c r="BW120" s="76" t="str">
        <f t="shared" ca="1" si="107"/>
        <v/>
      </c>
      <c r="BX120" s="76" t="str">
        <f ca="1">IF(BV120="","",COUNTIF(BW$53:BW119,BW120))</f>
        <v/>
      </c>
      <c r="BY120" s="76" t="str">
        <f t="shared" ca="1" si="108"/>
        <v/>
      </c>
      <c r="BZ120" s="76" t="str">
        <f ca="1">IF(BV120="","",IF(BY120=0,0,MATCH(BW120,BW$54:BW120,0)))</f>
        <v/>
      </c>
      <c r="CA120" s="76" t="str">
        <f t="shared" ca="1" si="109"/>
        <v/>
      </c>
      <c r="CB120" s="76" t="str">
        <f t="shared" ca="1" si="110"/>
        <v/>
      </c>
      <c r="CC120" s="76" t="str">
        <f ca="1">IF(BV120="","",COUNTIF(CB$54:CB120,CB120))</f>
        <v/>
      </c>
      <c r="CD120" s="76" t="str">
        <f t="shared" ca="1" si="111"/>
        <v/>
      </c>
      <c r="CE120" s="76" t="str">
        <f t="shared" ca="1" si="112"/>
        <v/>
      </c>
    </row>
    <row r="121" spans="14:83">
      <c r="N121" s="35">
        <f t="shared" si="113"/>
        <v>1</v>
      </c>
      <c r="O121" s="35">
        <f t="shared" si="83"/>
        <v>23</v>
      </c>
      <c r="P121" s="35">
        <f t="shared" si="114"/>
        <v>2</v>
      </c>
      <c r="Q121" s="35">
        <f t="shared" si="84"/>
        <v>2</v>
      </c>
      <c r="R121" s="35">
        <f t="shared" si="115"/>
        <v>2</v>
      </c>
      <c r="AJ121" s="76">
        <v>68</v>
      </c>
      <c r="AK121" s="76" t="str">
        <f t="shared" ca="1" si="116"/>
        <v/>
      </c>
      <c r="AL121" s="76" t="str">
        <f t="shared" ca="1" si="117"/>
        <v/>
      </c>
      <c r="AM121" s="76"/>
      <c r="AN121" s="76"/>
      <c r="AO121" s="76" t="str">
        <f t="shared" ca="1" si="85"/>
        <v/>
      </c>
      <c r="AP121" s="76" t="str">
        <f t="shared" ca="1" si="86"/>
        <v/>
      </c>
      <c r="AQ121" s="76" t="str">
        <f t="shared" ca="1" si="87"/>
        <v/>
      </c>
      <c r="AR121" s="76">
        <f ca="1">COUNTIF($AQ$54:$AQ121,AR$53)</f>
        <v>0</v>
      </c>
      <c r="AS121" s="76">
        <f ca="1">COUNTIF($AQ$54:$AQ121,AS$53)</f>
        <v>0</v>
      </c>
      <c r="AT121" s="76">
        <f ca="1">COUNTIF($AQ$54:$AQ121,AT$53)</f>
        <v>0</v>
      </c>
      <c r="AU121" s="76" t="str">
        <f t="shared" ca="1" si="88"/>
        <v/>
      </c>
      <c r="AV121" s="76" t="str">
        <f t="shared" ca="1" si="89"/>
        <v/>
      </c>
      <c r="AW121" s="76" t="str">
        <f t="shared" ca="1" si="90"/>
        <v/>
      </c>
      <c r="AX121" s="76"/>
      <c r="AY121" s="76">
        <f t="shared" si="91"/>
        <v>68</v>
      </c>
      <c r="AZ121" s="76" t="str">
        <f t="shared" ca="1" si="92"/>
        <v/>
      </c>
      <c r="BA121" s="76" t="str">
        <f t="shared" ca="1" si="93"/>
        <v/>
      </c>
      <c r="BB121" s="76" t="str">
        <f ca="1">IF(AZ121="","",COUNTIF(BA$53:BA120,BA121))</f>
        <v/>
      </c>
      <c r="BC121" s="76" t="str">
        <f t="shared" ca="1" si="94"/>
        <v/>
      </c>
      <c r="BD121" s="76" t="str">
        <f ca="1">IF(AZ121="","",IF(BC121=0,0,MATCH(BA121,BA$54:BA121,0)))</f>
        <v/>
      </c>
      <c r="BE121" s="76" t="str">
        <f t="shared" ca="1" si="95"/>
        <v/>
      </c>
      <c r="BF121" s="76" t="str">
        <f t="shared" ca="1" si="96"/>
        <v/>
      </c>
      <c r="BG121" s="76" t="str">
        <f ca="1">IF(AZ121="","",COUNTIF(BF$54:BF121,BF121))</f>
        <v/>
      </c>
      <c r="BH121" s="76" t="str">
        <f t="shared" ca="1" si="97"/>
        <v/>
      </c>
      <c r="BI121" s="76" t="str">
        <f t="shared" ca="1" si="98"/>
        <v/>
      </c>
      <c r="BJ121" s="76">
        <f t="shared" si="51"/>
        <v>68</v>
      </c>
      <c r="BK121" s="76" t="str">
        <f t="shared" ca="1" si="99"/>
        <v/>
      </c>
      <c r="BL121" s="76" t="str">
        <f t="shared" ca="1" si="100"/>
        <v/>
      </c>
      <c r="BM121" s="76" t="str">
        <f ca="1">IF(BK121="","",COUNTIF(BL$53:BL120,BL121))</f>
        <v/>
      </c>
      <c r="BN121" s="76" t="str">
        <f t="shared" ca="1" si="101"/>
        <v/>
      </c>
      <c r="BO121" s="76" t="str">
        <f ca="1">IF(BK121="","",IF(BN121=0,0,MATCH(BL121,BL$54:BL121,0)))</f>
        <v/>
      </c>
      <c r="BP121" s="76" t="str">
        <f t="shared" ca="1" si="102"/>
        <v/>
      </c>
      <c r="BQ121" s="76" t="str">
        <f t="shared" ca="1" si="103"/>
        <v/>
      </c>
      <c r="BR121" s="76" t="str">
        <f ca="1">IF(BK121="","",COUNTIF(BQ$54:BQ121,BQ121))</f>
        <v/>
      </c>
      <c r="BS121" s="76" t="str">
        <f t="shared" ca="1" si="104"/>
        <v/>
      </c>
      <c r="BT121" s="76" t="str">
        <f t="shared" ca="1" si="105"/>
        <v/>
      </c>
      <c r="BU121" s="76">
        <f t="shared" si="52"/>
        <v>68</v>
      </c>
      <c r="BV121" s="76" t="str">
        <f t="shared" ca="1" si="106"/>
        <v/>
      </c>
      <c r="BW121" s="76" t="str">
        <f t="shared" ca="1" si="107"/>
        <v/>
      </c>
      <c r="BX121" s="76" t="str">
        <f ca="1">IF(BV121="","",COUNTIF(BW$53:BW120,BW121))</f>
        <v/>
      </c>
      <c r="BY121" s="76" t="str">
        <f t="shared" ca="1" si="108"/>
        <v/>
      </c>
      <c r="BZ121" s="76" t="str">
        <f ca="1">IF(BV121="","",IF(BY121=0,0,MATCH(BW121,BW$54:BW121,0)))</f>
        <v/>
      </c>
      <c r="CA121" s="76" t="str">
        <f t="shared" ca="1" si="109"/>
        <v/>
      </c>
      <c r="CB121" s="76" t="str">
        <f t="shared" ca="1" si="110"/>
        <v/>
      </c>
      <c r="CC121" s="76" t="str">
        <f ca="1">IF(BV121="","",COUNTIF(CB$54:CB121,CB121))</f>
        <v/>
      </c>
      <c r="CD121" s="76" t="str">
        <f t="shared" ca="1" si="111"/>
        <v/>
      </c>
      <c r="CE121" s="76" t="str">
        <f t="shared" ca="1" si="112"/>
        <v/>
      </c>
    </row>
    <row r="122" spans="14:83">
      <c r="N122" s="35">
        <f t="shared" si="113"/>
        <v>1</v>
      </c>
      <c r="O122" s="35">
        <f t="shared" si="83"/>
        <v>23</v>
      </c>
      <c r="P122" s="35">
        <f t="shared" si="114"/>
        <v>3</v>
      </c>
      <c r="Q122" s="35">
        <f t="shared" si="84"/>
        <v>3</v>
      </c>
      <c r="R122" s="35">
        <f t="shared" si="115"/>
        <v>3</v>
      </c>
      <c r="AJ122" s="76">
        <v>69</v>
      </c>
      <c r="AK122" s="76" t="str">
        <f t="shared" ca="1" si="116"/>
        <v/>
      </c>
      <c r="AL122" s="76" t="str">
        <f t="shared" ca="1" si="117"/>
        <v/>
      </c>
      <c r="AM122" s="76"/>
      <c r="AN122" s="76"/>
      <c r="AO122" s="76" t="str">
        <f t="shared" ca="1" si="85"/>
        <v/>
      </c>
      <c r="AP122" s="76" t="str">
        <f t="shared" ca="1" si="86"/>
        <v/>
      </c>
      <c r="AQ122" s="76" t="str">
        <f t="shared" ca="1" si="87"/>
        <v/>
      </c>
      <c r="AR122" s="76">
        <f ca="1">COUNTIF($AQ$54:$AQ122,AR$53)</f>
        <v>0</v>
      </c>
      <c r="AS122" s="76">
        <f ca="1">COUNTIF($AQ$54:$AQ122,AS$53)</f>
        <v>0</v>
      </c>
      <c r="AT122" s="76">
        <f ca="1">COUNTIF($AQ$54:$AQ122,AT$53)</f>
        <v>0</v>
      </c>
      <c r="AU122" s="76" t="str">
        <f t="shared" ca="1" si="88"/>
        <v/>
      </c>
      <c r="AV122" s="76" t="str">
        <f t="shared" ca="1" si="89"/>
        <v/>
      </c>
      <c r="AW122" s="76" t="str">
        <f t="shared" ca="1" si="90"/>
        <v/>
      </c>
      <c r="AX122" s="76"/>
      <c r="AY122" s="76">
        <f t="shared" si="91"/>
        <v>69</v>
      </c>
      <c r="AZ122" s="76" t="str">
        <f t="shared" ca="1" si="92"/>
        <v/>
      </c>
      <c r="BA122" s="76" t="str">
        <f t="shared" ca="1" si="93"/>
        <v/>
      </c>
      <c r="BB122" s="76" t="str">
        <f ca="1">IF(AZ122="","",COUNTIF(BA$53:BA121,BA122))</f>
        <v/>
      </c>
      <c r="BC122" s="76" t="str">
        <f t="shared" ca="1" si="94"/>
        <v/>
      </c>
      <c r="BD122" s="76" t="str">
        <f ca="1">IF(AZ122="","",IF(BC122=0,0,MATCH(BA122,BA$54:BA122,0)))</f>
        <v/>
      </c>
      <c r="BE122" s="76" t="str">
        <f t="shared" ca="1" si="95"/>
        <v/>
      </c>
      <c r="BF122" s="76" t="str">
        <f t="shared" ca="1" si="96"/>
        <v/>
      </c>
      <c r="BG122" s="76" t="str">
        <f ca="1">IF(AZ122="","",COUNTIF(BF$54:BF122,BF122))</f>
        <v/>
      </c>
      <c r="BH122" s="76" t="str">
        <f t="shared" ca="1" si="97"/>
        <v/>
      </c>
      <c r="BI122" s="76" t="str">
        <f t="shared" ca="1" si="98"/>
        <v/>
      </c>
      <c r="BJ122" s="76">
        <f t="shared" si="51"/>
        <v>69</v>
      </c>
      <c r="BK122" s="76" t="str">
        <f t="shared" ca="1" si="99"/>
        <v/>
      </c>
      <c r="BL122" s="76" t="str">
        <f t="shared" ca="1" si="100"/>
        <v/>
      </c>
      <c r="BM122" s="76" t="str">
        <f ca="1">IF(BK122="","",COUNTIF(BL$53:BL121,BL122))</f>
        <v/>
      </c>
      <c r="BN122" s="76" t="str">
        <f t="shared" ca="1" si="101"/>
        <v/>
      </c>
      <c r="BO122" s="76" t="str">
        <f ca="1">IF(BK122="","",IF(BN122=0,0,MATCH(BL122,BL$54:BL122,0)))</f>
        <v/>
      </c>
      <c r="BP122" s="76" t="str">
        <f t="shared" ca="1" si="102"/>
        <v/>
      </c>
      <c r="BQ122" s="76" t="str">
        <f t="shared" ca="1" si="103"/>
        <v/>
      </c>
      <c r="BR122" s="76" t="str">
        <f ca="1">IF(BK122="","",COUNTIF(BQ$54:BQ122,BQ122))</f>
        <v/>
      </c>
      <c r="BS122" s="76" t="str">
        <f t="shared" ca="1" si="104"/>
        <v/>
      </c>
      <c r="BT122" s="76" t="str">
        <f t="shared" ca="1" si="105"/>
        <v/>
      </c>
      <c r="BU122" s="76">
        <f t="shared" si="52"/>
        <v>69</v>
      </c>
      <c r="BV122" s="76" t="str">
        <f t="shared" ca="1" si="106"/>
        <v/>
      </c>
      <c r="BW122" s="76" t="str">
        <f t="shared" ca="1" si="107"/>
        <v/>
      </c>
      <c r="BX122" s="76" t="str">
        <f ca="1">IF(BV122="","",COUNTIF(BW$53:BW121,BW122))</f>
        <v/>
      </c>
      <c r="BY122" s="76" t="str">
        <f t="shared" ca="1" si="108"/>
        <v/>
      </c>
      <c r="BZ122" s="76" t="str">
        <f ca="1">IF(BV122="","",IF(BY122=0,0,MATCH(BW122,BW$54:BW122,0)))</f>
        <v/>
      </c>
      <c r="CA122" s="76" t="str">
        <f t="shared" ca="1" si="109"/>
        <v/>
      </c>
      <c r="CB122" s="76" t="str">
        <f t="shared" ca="1" si="110"/>
        <v/>
      </c>
      <c r="CC122" s="76" t="str">
        <f ca="1">IF(BV122="","",COUNTIF(CB$54:CB122,CB122))</f>
        <v/>
      </c>
      <c r="CD122" s="76" t="str">
        <f t="shared" ca="1" si="111"/>
        <v/>
      </c>
      <c r="CE122" s="76" t="str">
        <f t="shared" ca="1" si="112"/>
        <v/>
      </c>
    </row>
    <row r="123" spans="14:83">
      <c r="N123" s="35">
        <f t="shared" si="113"/>
        <v>0</v>
      </c>
      <c r="O123" s="35">
        <f t="shared" si="83"/>
        <v>24</v>
      </c>
      <c r="P123" s="35">
        <f t="shared" si="114"/>
        <v>3</v>
      </c>
      <c r="Q123" s="35">
        <f t="shared" si="84"/>
        <v>1</v>
      </c>
      <c r="R123" s="35">
        <f t="shared" si="115"/>
        <v>3</v>
      </c>
      <c r="AJ123" s="76">
        <v>70</v>
      </c>
      <c r="AK123" s="76" t="str">
        <f t="shared" ca="1" si="116"/>
        <v/>
      </c>
      <c r="AL123" s="76" t="str">
        <f t="shared" ca="1" si="117"/>
        <v/>
      </c>
      <c r="AM123" s="76"/>
      <c r="AN123" s="76"/>
      <c r="AO123" s="76" t="str">
        <f t="shared" ca="1" si="85"/>
        <v/>
      </c>
      <c r="AP123" s="76" t="str">
        <f t="shared" ca="1" si="86"/>
        <v/>
      </c>
      <c r="AQ123" s="76" t="str">
        <f t="shared" ca="1" si="87"/>
        <v/>
      </c>
      <c r="AR123" s="76">
        <f ca="1">COUNTIF($AQ$54:$AQ123,AR$53)</f>
        <v>0</v>
      </c>
      <c r="AS123" s="76">
        <f ca="1">COUNTIF($AQ$54:$AQ123,AS$53)</f>
        <v>0</v>
      </c>
      <c r="AT123" s="76">
        <f ca="1">COUNTIF($AQ$54:$AQ123,AT$53)</f>
        <v>0</v>
      </c>
      <c r="AU123" s="76" t="str">
        <f t="shared" ca="1" si="88"/>
        <v/>
      </c>
      <c r="AV123" s="76" t="str">
        <f t="shared" ca="1" si="89"/>
        <v/>
      </c>
      <c r="AW123" s="76" t="str">
        <f t="shared" ca="1" si="90"/>
        <v/>
      </c>
      <c r="AX123" s="76"/>
      <c r="AY123" s="76">
        <f t="shared" si="91"/>
        <v>70</v>
      </c>
      <c r="AZ123" s="76" t="str">
        <f t="shared" ca="1" si="92"/>
        <v/>
      </c>
      <c r="BA123" s="76" t="str">
        <f t="shared" ca="1" si="93"/>
        <v/>
      </c>
      <c r="BB123" s="76" t="str">
        <f ca="1">IF(AZ123="","",COUNTIF(BA$53:BA122,BA123))</f>
        <v/>
      </c>
      <c r="BC123" s="76" t="str">
        <f t="shared" ca="1" si="94"/>
        <v/>
      </c>
      <c r="BD123" s="76" t="str">
        <f ca="1">IF(AZ123="","",IF(BC123=0,0,MATCH(BA123,BA$54:BA123,0)))</f>
        <v/>
      </c>
      <c r="BE123" s="76" t="str">
        <f t="shared" ca="1" si="95"/>
        <v/>
      </c>
      <c r="BF123" s="76" t="str">
        <f t="shared" ca="1" si="96"/>
        <v/>
      </c>
      <c r="BG123" s="76" t="str">
        <f ca="1">IF(AZ123="","",COUNTIF(BF$54:BF123,BF123))</f>
        <v/>
      </c>
      <c r="BH123" s="76" t="str">
        <f t="shared" ca="1" si="97"/>
        <v/>
      </c>
      <c r="BI123" s="76" t="str">
        <f t="shared" ca="1" si="98"/>
        <v/>
      </c>
      <c r="BJ123" s="76">
        <f t="shared" si="51"/>
        <v>70</v>
      </c>
      <c r="BK123" s="76" t="str">
        <f t="shared" ca="1" si="99"/>
        <v/>
      </c>
      <c r="BL123" s="76" t="str">
        <f t="shared" ca="1" si="100"/>
        <v/>
      </c>
      <c r="BM123" s="76" t="str">
        <f ca="1">IF(BK123="","",COUNTIF(BL$53:BL122,BL123))</f>
        <v/>
      </c>
      <c r="BN123" s="76" t="str">
        <f t="shared" ca="1" si="101"/>
        <v/>
      </c>
      <c r="BO123" s="76" t="str">
        <f ca="1">IF(BK123="","",IF(BN123=0,0,MATCH(BL123,BL$54:BL123,0)))</f>
        <v/>
      </c>
      <c r="BP123" s="76" t="str">
        <f t="shared" ca="1" si="102"/>
        <v/>
      </c>
      <c r="BQ123" s="76" t="str">
        <f t="shared" ca="1" si="103"/>
        <v/>
      </c>
      <c r="BR123" s="76" t="str">
        <f ca="1">IF(BK123="","",COUNTIF(BQ$54:BQ123,BQ123))</f>
        <v/>
      </c>
      <c r="BS123" s="76" t="str">
        <f t="shared" ca="1" si="104"/>
        <v/>
      </c>
      <c r="BT123" s="76" t="str">
        <f t="shared" ca="1" si="105"/>
        <v/>
      </c>
      <c r="BU123" s="76">
        <f t="shared" si="52"/>
        <v>70</v>
      </c>
      <c r="BV123" s="76" t="str">
        <f t="shared" ca="1" si="106"/>
        <v/>
      </c>
      <c r="BW123" s="76" t="str">
        <f t="shared" ca="1" si="107"/>
        <v/>
      </c>
      <c r="BX123" s="76" t="str">
        <f ca="1">IF(BV123="","",COUNTIF(BW$53:BW122,BW123))</f>
        <v/>
      </c>
      <c r="BY123" s="76" t="str">
        <f t="shared" ca="1" si="108"/>
        <v/>
      </c>
      <c r="BZ123" s="76" t="str">
        <f ca="1">IF(BV123="","",IF(BY123=0,0,MATCH(BW123,BW$54:BW123,0)))</f>
        <v/>
      </c>
      <c r="CA123" s="76" t="str">
        <f t="shared" ca="1" si="109"/>
        <v/>
      </c>
      <c r="CB123" s="76" t="str">
        <f t="shared" ca="1" si="110"/>
        <v/>
      </c>
      <c r="CC123" s="76" t="str">
        <f ca="1">IF(BV123="","",COUNTIF(CB$54:CB123,CB123))</f>
        <v/>
      </c>
      <c r="CD123" s="76" t="str">
        <f t="shared" ca="1" si="111"/>
        <v/>
      </c>
      <c r="CE123" s="76" t="str">
        <f t="shared" ca="1" si="112"/>
        <v/>
      </c>
    </row>
    <row r="124" spans="14:83">
      <c r="N124" s="35">
        <f t="shared" si="113"/>
        <v>0</v>
      </c>
      <c r="O124" s="35">
        <f t="shared" si="83"/>
        <v>24</v>
      </c>
      <c r="P124" s="35">
        <f t="shared" si="114"/>
        <v>2</v>
      </c>
      <c r="Q124" s="35">
        <f t="shared" si="84"/>
        <v>2</v>
      </c>
      <c r="R124" s="35">
        <f t="shared" si="115"/>
        <v>2</v>
      </c>
      <c r="AJ124" s="76">
        <v>71</v>
      </c>
      <c r="AK124" s="76" t="str">
        <f t="shared" ca="1" si="116"/>
        <v/>
      </c>
      <c r="AL124" s="76" t="str">
        <f t="shared" ca="1" si="117"/>
        <v/>
      </c>
      <c r="AM124" s="76"/>
      <c r="AN124" s="76"/>
      <c r="AO124" s="76" t="str">
        <f t="shared" ca="1" si="85"/>
        <v/>
      </c>
      <c r="AP124" s="76" t="str">
        <f t="shared" ca="1" si="86"/>
        <v/>
      </c>
      <c r="AQ124" s="76" t="str">
        <f t="shared" ca="1" si="87"/>
        <v/>
      </c>
      <c r="AR124" s="76">
        <f ca="1">COUNTIF($AQ$54:$AQ124,AR$53)</f>
        <v>0</v>
      </c>
      <c r="AS124" s="76">
        <f ca="1">COUNTIF($AQ$54:$AQ124,AS$53)</f>
        <v>0</v>
      </c>
      <c r="AT124" s="76">
        <f ca="1">COUNTIF($AQ$54:$AQ124,AT$53)</f>
        <v>0</v>
      </c>
      <c r="AU124" s="76" t="str">
        <f t="shared" ca="1" si="88"/>
        <v/>
      </c>
      <c r="AV124" s="76" t="str">
        <f t="shared" ca="1" si="89"/>
        <v/>
      </c>
      <c r="AW124" s="76" t="str">
        <f t="shared" ca="1" si="90"/>
        <v/>
      </c>
      <c r="AX124" s="76"/>
      <c r="AY124" s="76">
        <f t="shared" si="91"/>
        <v>71</v>
      </c>
      <c r="AZ124" s="76" t="str">
        <f t="shared" ca="1" si="92"/>
        <v/>
      </c>
      <c r="BA124" s="76" t="str">
        <f t="shared" ca="1" si="93"/>
        <v/>
      </c>
      <c r="BB124" s="76" t="str">
        <f ca="1">IF(AZ124="","",COUNTIF(BA$53:BA123,BA124))</f>
        <v/>
      </c>
      <c r="BC124" s="76" t="str">
        <f t="shared" ca="1" si="94"/>
        <v/>
      </c>
      <c r="BD124" s="76" t="str">
        <f ca="1">IF(AZ124="","",IF(BC124=0,0,MATCH(BA124,BA$54:BA124,0)))</f>
        <v/>
      </c>
      <c r="BE124" s="76" t="str">
        <f t="shared" ca="1" si="95"/>
        <v/>
      </c>
      <c r="BF124" s="76" t="str">
        <f t="shared" ca="1" si="96"/>
        <v/>
      </c>
      <c r="BG124" s="76" t="str">
        <f ca="1">IF(AZ124="","",COUNTIF(BF$54:BF124,BF124))</f>
        <v/>
      </c>
      <c r="BH124" s="76" t="str">
        <f t="shared" ca="1" si="97"/>
        <v/>
      </c>
      <c r="BI124" s="76" t="str">
        <f t="shared" ca="1" si="98"/>
        <v/>
      </c>
      <c r="BJ124" s="76">
        <f t="shared" si="51"/>
        <v>71</v>
      </c>
      <c r="BK124" s="76" t="str">
        <f t="shared" ca="1" si="99"/>
        <v/>
      </c>
      <c r="BL124" s="76" t="str">
        <f t="shared" ca="1" si="100"/>
        <v/>
      </c>
      <c r="BM124" s="76" t="str">
        <f ca="1">IF(BK124="","",COUNTIF(BL$53:BL123,BL124))</f>
        <v/>
      </c>
      <c r="BN124" s="76" t="str">
        <f t="shared" ca="1" si="101"/>
        <v/>
      </c>
      <c r="BO124" s="76" t="str">
        <f ca="1">IF(BK124="","",IF(BN124=0,0,MATCH(BL124,BL$54:BL124,0)))</f>
        <v/>
      </c>
      <c r="BP124" s="76" t="str">
        <f t="shared" ca="1" si="102"/>
        <v/>
      </c>
      <c r="BQ124" s="76" t="str">
        <f t="shared" ca="1" si="103"/>
        <v/>
      </c>
      <c r="BR124" s="76" t="str">
        <f ca="1">IF(BK124="","",COUNTIF(BQ$54:BQ124,BQ124))</f>
        <v/>
      </c>
      <c r="BS124" s="76" t="str">
        <f t="shared" ca="1" si="104"/>
        <v/>
      </c>
      <c r="BT124" s="76" t="str">
        <f t="shared" ca="1" si="105"/>
        <v/>
      </c>
      <c r="BU124" s="76">
        <f t="shared" si="52"/>
        <v>71</v>
      </c>
      <c r="BV124" s="76" t="str">
        <f t="shared" ca="1" si="106"/>
        <v/>
      </c>
      <c r="BW124" s="76" t="str">
        <f t="shared" ca="1" si="107"/>
        <v/>
      </c>
      <c r="BX124" s="76" t="str">
        <f ca="1">IF(BV124="","",COUNTIF(BW$53:BW123,BW124))</f>
        <v/>
      </c>
      <c r="BY124" s="76" t="str">
        <f t="shared" ca="1" si="108"/>
        <v/>
      </c>
      <c r="BZ124" s="76" t="str">
        <f ca="1">IF(BV124="","",IF(BY124=0,0,MATCH(BW124,BW$54:BW124,0)))</f>
        <v/>
      </c>
      <c r="CA124" s="76" t="str">
        <f t="shared" ca="1" si="109"/>
        <v/>
      </c>
      <c r="CB124" s="76" t="str">
        <f t="shared" ca="1" si="110"/>
        <v/>
      </c>
      <c r="CC124" s="76" t="str">
        <f ca="1">IF(BV124="","",COUNTIF(CB$54:CB124,CB124))</f>
        <v/>
      </c>
      <c r="CD124" s="76" t="str">
        <f t="shared" ca="1" si="111"/>
        <v/>
      </c>
      <c r="CE124" s="76" t="str">
        <f t="shared" ca="1" si="112"/>
        <v/>
      </c>
    </row>
    <row r="125" spans="14:83">
      <c r="N125" s="35">
        <f t="shared" si="113"/>
        <v>0</v>
      </c>
      <c r="O125" s="35">
        <f t="shared" si="83"/>
        <v>24</v>
      </c>
      <c r="P125" s="35">
        <f t="shared" si="114"/>
        <v>1</v>
      </c>
      <c r="Q125" s="35">
        <f t="shared" si="84"/>
        <v>3</v>
      </c>
      <c r="R125" s="35">
        <f t="shared" si="115"/>
        <v>1</v>
      </c>
      <c r="AJ125" s="76">
        <v>72</v>
      </c>
      <c r="AK125" s="76" t="str">
        <f t="shared" ca="1" si="116"/>
        <v/>
      </c>
      <c r="AL125" s="76" t="str">
        <f t="shared" ca="1" si="117"/>
        <v/>
      </c>
      <c r="AM125" s="76"/>
      <c r="AN125" s="76"/>
      <c r="AO125" s="76" t="str">
        <f t="shared" ca="1" si="85"/>
        <v/>
      </c>
      <c r="AP125" s="76" t="str">
        <f t="shared" ca="1" si="86"/>
        <v/>
      </c>
      <c r="AQ125" s="76" t="str">
        <f t="shared" ca="1" si="87"/>
        <v/>
      </c>
      <c r="AR125" s="76">
        <f ca="1">COUNTIF($AQ$54:$AQ125,AR$53)</f>
        <v>0</v>
      </c>
      <c r="AS125" s="76">
        <f ca="1">COUNTIF($AQ$54:$AQ125,AS$53)</f>
        <v>0</v>
      </c>
      <c r="AT125" s="76">
        <f ca="1">COUNTIF($AQ$54:$AQ125,AT$53)</f>
        <v>0</v>
      </c>
      <c r="AU125" s="76" t="str">
        <f t="shared" ca="1" si="88"/>
        <v/>
      </c>
      <c r="AV125" s="76" t="str">
        <f t="shared" ca="1" si="89"/>
        <v/>
      </c>
      <c r="AW125" s="76" t="str">
        <f t="shared" ca="1" si="90"/>
        <v/>
      </c>
      <c r="AX125" s="76"/>
      <c r="AY125" s="76">
        <f t="shared" si="91"/>
        <v>72</v>
      </c>
      <c r="AZ125" s="76" t="str">
        <f t="shared" ca="1" si="92"/>
        <v/>
      </c>
      <c r="BA125" s="76" t="str">
        <f t="shared" ca="1" si="93"/>
        <v/>
      </c>
      <c r="BB125" s="76" t="str">
        <f ca="1">IF(AZ125="","",COUNTIF(BA$53:BA124,BA125))</f>
        <v/>
      </c>
      <c r="BC125" s="76" t="str">
        <f t="shared" ca="1" si="94"/>
        <v/>
      </c>
      <c r="BD125" s="76" t="str">
        <f ca="1">IF(AZ125="","",IF(BC125=0,0,MATCH(BA125,BA$54:BA125,0)))</f>
        <v/>
      </c>
      <c r="BE125" s="76" t="str">
        <f t="shared" ca="1" si="95"/>
        <v/>
      </c>
      <c r="BF125" s="76" t="str">
        <f t="shared" ca="1" si="96"/>
        <v/>
      </c>
      <c r="BG125" s="76" t="str">
        <f ca="1">IF(AZ125="","",COUNTIF(BF$54:BF125,BF125))</f>
        <v/>
      </c>
      <c r="BH125" s="76" t="str">
        <f t="shared" ca="1" si="97"/>
        <v/>
      </c>
      <c r="BI125" s="76" t="str">
        <f t="shared" ca="1" si="98"/>
        <v/>
      </c>
      <c r="BJ125" s="76">
        <f t="shared" si="51"/>
        <v>72</v>
      </c>
      <c r="BK125" s="76" t="str">
        <f t="shared" ca="1" si="99"/>
        <v/>
      </c>
      <c r="BL125" s="76" t="str">
        <f t="shared" ca="1" si="100"/>
        <v/>
      </c>
      <c r="BM125" s="76" t="str">
        <f ca="1">IF(BK125="","",COUNTIF(BL$53:BL124,BL125))</f>
        <v/>
      </c>
      <c r="BN125" s="76" t="str">
        <f t="shared" ca="1" si="101"/>
        <v/>
      </c>
      <c r="BO125" s="76" t="str">
        <f ca="1">IF(BK125="","",IF(BN125=0,0,MATCH(BL125,BL$54:BL125,0)))</f>
        <v/>
      </c>
      <c r="BP125" s="76" t="str">
        <f t="shared" ca="1" si="102"/>
        <v/>
      </c>
      <c r="BQ125" s="76" t="str">
        <f t="shared" ca="1" si="103"/>
        <v/>
      </c>
      <c r="BR125" s="76" t="str">
        <f ca="1">IF(BK125="","",COUNTIF(BQ$54:BQ125,BQ125))</f>
        <v/>
      </c>
      <c r="BS125" s="76" t="str">
        <f t="shared" ca="1" si="104"/>
        <v/>
      </c>
      <c r="BT125" s="76" t="str">
        <f t="shared" ca="1" si="105"/>
        <v/>
      </c>
      <c r="BU125" s="76">
        <f t="shared" si="52"/>
        <v>72</v>
      </c>
      <c r="BV125" s="76" t="str">
        <f t="shared" ca="1" si="106"/>
        <v/>
      </c>
      <c r="BW125" s="76" t="str">
        <f t="shared" ca="1" si="107"/>
        <v/>
      </c>
      <c r="BX125" s="76" t="str">
        <f ca="1">IF(BV125="","",COUNTIF(BW$53:BW124,BW125))</f>
        <v/>
      </c>
      <c r="BY125" s="76" t="str">
        <f t="shared" ca="1" si="108"/>
        <v/>
      </c>
      <c r="BZ125" s="76" t="str">
        <f ca="1">IF(BV125="","",IF(BY125=0,0,MATCH(BW125,BW$54:BW125,0)))</f>
        <v/>
      </c>
      <c r="CA125" s="76" t="str">
        <f t="shared" ca="1" si="109"/>
        <v/>
      </c>
      <c r="CB125" s="76" t="str">
        <f t="shared" ca="1" si="110"/>
        <v/>
      </c>
      <c r="CC125" s="76" t="str">
        <f ca="1">IF(BV125="","",COUNTIF(CB$54:CB125,CB125))</f>
        <v/>
      </c>
      <c r="CD125" s="76" t="str">
        <f t="shared" ca="1" si="111"/>
        <v/>
      </c>
      <c r="CE125" s="76" t="str">
        <f t="shared" ca="1" si="112"/>
        <v/>
      </c>
    </row>
    <row r="126" spans="14:83">
      <c r="N126" s="35">
        <f t="shared" si="113"/>
        <v>1</v>
      </c>
      <c r="O126" s="35">
        <f t="shared" si="83"/>
        <v>25</v>
      </c>
      <c r="P126" s="35">
        <f t="shared" si="114"/>
        <v>1</v>
      </c>
      <c r="Q126" s="35">
        <f t="shared" si="84"/>
        <v>1</v>
      </c>
      <c r="R126" s="35">
        <f t="shared" si="115"/>
        <v>1</v>
      </c>
      <c r="AJ126" s="76">
        <v>73</v>
      </c>
      <c r="AK126" s="76" t="str">
        <f t="shared" ca="1" si="116"/>
        <v/>
      </c>
      <c r="AL126" s="76" t="str">
        <f t="shared" ca="1" si="117"/>
        <v/>
      </c>
      <c r="AM126" s="76"/>
      <c r="AN126" s="76"/>
      <c r="AO126" s="76" t="str">
        <f t="shared" ca="1" si="85"/>
        <v/>
      </c>
      <c r="AP126" s="76" t="str">
        <f t="shared" ca="1" si="86"/>
        <v/>
      </c>
      <c r="AQ126" s="76" t="str">
        <f t="shared" ca="1" si="87"/>
        <v/>
      </c>
      <c r="AR126" s="76">
        <f ca="1">COUNTIF($AQ$54:$AQ126,AR$53)</f>
        <v>0</v>
      </c>
      <c r="AS126" s="76">
        <f ca="1">COUNTIF($AQ$54:$AQ126,AS$53)</f>
        <v>0</v>
      </c>
      <c r="AT126" s="76">
        <f ca="1">COUNTIF($AQ$54:$AQ126,AT$53)</f>
        <v>0</v>
      </c>
      <c r="AU126" s="76" t="str">
        <f t="shared" ca="1" si="88"/>
        <v/>
      </c>
      <c r="AV126" s="76" t="str">
        <f t="shared" ca="1" si="89"/>
        <v/>
      </c>
      <c r="AW126" s="76" t="str">
        <f t="shared" ca="1" si="90"/>
        <v/>
      </c>
      <c r="AX126" s="76"/>
      <c r="AY126" s="76">
        <f t="shared" si="91"/>
        <v>73</v>
      </c>
      <c r="AZ126" s="76" t="str">
        <f t="shared" ca="1" si="92"/>
        <v/>
      </c>
      <c r="BA126" s="76" t="str">
        <f t="shared" ca="1" si="93"/>
        <v/>
      </c>
      <c r="BB126" s="76" t="str">
        <f ca="1">IF(AZ126="","",COUNTIF(BA$53:BA125,BA126))</f>
        <v/>
      </c>
      <c r="BC126" s="76" t="str">
        <f t="shared" ca="1" si="94"/>
        <v/>
      </c>
      <c r="BD126" s="76" t="str">
        <f ca="1">IF(AZ126="","",IF(BC126=0,0,MATCH(BA126,BA$54:BA126,0)))</f>
        <v/>
      </c>
      <c r="BE126" s="76" t="str">
        <f t="shared" ca="1" si="95"/>
        <v/>
      </c>
      <c r="BF126" s="76" t="str">
        <f t="shared" ca="1" si="96"/>
        <v/>
      </c>
      <c r="BG126" s="76" t="str">
        <f ca="1">IF(AZ126="","",COUNTIF(BF$54:BF126,BF126))</f>
        <v/>
      </c>
      <c r="BH126" s="76" t="str">
        <f t="shared" ca="1" si="97"/>
        <v/>
      </c>
      <c r="BI126" s="76" t="str">
        <f t="shared" ca="1" si="98"/>
        <v/>
      </c>
      <c r="BJ126" s="76">
        <f t="shared" si="51"/>
        <v>73</v>
      </c>
      <c r="BK126" s="76" t="str">
        <f t="shared" ca="1" si="99"/>
        <v/>
      </c>
      <c r="BL126" s="76" t="str">
        <f t="shared" ca="1" si="100"/>
        <v/>
      </c>
      <c r="BM126" s="76" t="str">
        <f ca="1">IF(BK126="","",COUNTIF(BL$53:BL125,BL126))</f>
        <v/>
      </c>
      <c r="BN126" s="76" t="str">
        <f t="shared" ca="1" si="101"/>
        <v/>
      </c>
      <c r="BO126" s="76" t="str">
        <f ca="1">IF(BK126="","",IF(BN126=0,0,MATCH(BL126,BL$54:BL126,0)))</f>
        <v/>
      </c>
      <c r="BP126" s="76" t="str">
        <f t="shared" ca="1" si="102"/>
        <v/>
      </c>
      <c r="BQ126" s="76" t="str">
        <f t="shared" ca="1" si="103"/>
        <v/>
      </c>
      <c r="BR126" s="76" t="str">
        <f ca="1">IF(BK126="","",COUNTIF(BQ$54:BQ126,BQ126))</f>
        <v/>
      </c>
      <c r="BS126" s="76" t="str">
        <f t="shared" ca="1" si="104"/>
        <v/>
      </c>
      <c r="BT126" s="76" t="str">
        <f t="shared" ca="1" si="105"/>
        <v/>
      </c>
      <c r="BU126" s="76">
        <f t="shared" si="52"/>
        <v>73</v>
      </c>
      <c r="BV126" s="76" t="str">
        <f t="shared" ca="1" si="106"/>
        <v/>
      </c>
      <c r="BW126" s="76" t="str">
        <f t="shared" ca="1" si="107"/>
        <v/>
      </c>
      <c r="BX126" s="76" t="str">
        <f ca="1">IF(BV126="","",COUNTIF(BW$53:BW125,BW126))</f>
        <v/>
      </c>
      <c r="BY126" s="76" t="str">
        <f t="shared" ca="1" si="108"/>
        <v/>
      </c>
      <c r="BZ126" s="76" t="str">
        <f ca="1">IF(BV126="","",IF(BY126=0,0,MATCH(BW126,BW$54:BW126,0)))</f>
        <v/>
      </c>
      <c r="CA126" s="76" t="str">
        <f t="shared" ca="1" si="109"/>
        <v/>
      </c>
      <c r="CB126" s="76" t="str">
        <f t="shared" ca="1" si="110"/>
        <v/>
      </c>
      <c r="CC126" s="76" t="str">
        <f ca="1">IF(BV126="","",COUNTIF(CB$54:CB126,CB126))</f>
        <v/>
      </c>
      <c r="CD126" s="76" t="str">
        <f t="shared" ca="1" si="111"/>
        <v/>
      </c>
      <c r="CE126" s="76" t="str">
        <f t="shared" ca="1" si="112"/>
        <v/>
      </c>
    </row>
    <row r="127" spans="14:83">
      <c r="N127" s="35">
        <f t="shared" si="113"/>
        <v>1</v>
      </c>
      <c r="O127" s="35">
        <f t="shared" si="83"/>
        <v>25</v>
      </c>
      <c r="P127" s="35">
        <f t="shared" si="114"/>
        <v>2</v>
      </c>
      <c r="Q127" s="35">
        <f t="shared" si="84"/>
        <v>2</v>
      </c>
      <c r="R127" s="35">
        <f t="shared" si="115"/>
        <v>2</v>
      </c>
      <c r="AJ127" s="76">
        <v>74</v>
      </c>
      <c r="AK127" s="76" t="str">
        <f t="shared" ca="1" si="116"/>
        <v/>
      </c>
      <c r="AL127" s="76" t="str">
        <f t="shared" ca="1" si="117"/>
        <v/>
      </c>
      <c r="AM127" s="76"/>
      <c r="AN127" s="76"/>
      <c r="AO127" s="76" t="str">
        <f t="shared" ca="1" si="85"/>
        <v/>
      </c>
      <c r="AP127" s="76" t="str">
        <f t="shared" ca="1" si="86"/>
        <v/>
      </c>
      <c r="AQ127" s="76" t="str">
        <f t="shared" ca="1" si="87"/>
        <v/>
      </c>
      <c r="AR127" s="76">
        <f ca="1">COUNTIF($AQ$54:$AQ127,AR$53)</f>
        <v>0</v>
      </c>
      <c r="AS127" s="76">
        <f ca="1">COUNTIF($AQ$54:$AQ127,AS$53)</f>
        <v>0</v>
      </c>
      <c r="AT127" s="76">
        <f ca="1">COUNTIF($AQ$54:$AQ127,AT$53)</f>
        <v>0</v>
      </c>
      <c r="AU127" s="76" t="str">
        <f t="shared" ca="1" si="88"/>
        <v/>
      </c>
      <c r="AV127" s="76" t="str">
        <f t="shared" ca="1" si="89"/>
        <v/>
      </c>
      <c r="AW127" s="76" t="str">
        <f t="shared" ca="1" si="90"/>
        <v/>
      </c>
      <c r="AX127" s="76"/>
      <c r="AY127" s="76">
        <f t="shared" si="91"/>
        <v>74</v>
      </c>
      <c r="AZ127" s="76" t="str">
        <f t="shared" ca="1" si="92"/>
        <v/>
      </c>
      <c r="BA127" s="76" t="str">
        <f t="shared" ca="1" si="93"/>
        <v/>
      </c>
      <c r="BB127" s="76" t="str">
        <f ca="1">IF(AZ127="","",COUNTIF(BA$53:BA126,BA127))</f>
        <v/>
      </c>
      <c r="BC127" s="76" t="str">
        <f t="shared" ca="1" si="94"/>
        <v/>
      </c>
      <c r="BD127" s="76" t="str">
        <f ca="1">IF(AZ127="","",IF(BC127=0,0,MATCH(BA127,BA$54:BA127,0)))</f>
        <v/>
      </c>
      <c r="BE127" s="76" t="str">
        <f t="shared" ca="1" si="95"/>
        <v/>
      </c>
      <c r="BF127" s="76" t="str">
        <f t="shared" ca="1" si="96"/>
        <v/>
      </c>
      <c r="BG127" s="76" t="str">
        <f ca="1">IF(AZ127="","",COUNTIF(BF$54:BF127,BF127))</f>
        <v/>
      </c>
      <c r="BH127" s="76" t="str">
        <f t="shared" ca="1" si="97"/>
        <v/>
      </c>
      <c r="BI127" s="76" t="str">
        <f t="shared" ca="1" si="98"/>
        <v/>
      </c>
      <c r="BJ127" s="76">
        <f t="shared" si="51"/>
        <v>74</v>
      </c>
      <c r="BK127" s="76" t="str">
        <f t="shared" ca="1" si="99"/>
        <v/>
      </c>
      <c r="BL127" s="76" t="str">
        <f t="shared" ca="1" si="100"/>
        <v/>
      </c>
      <c r="BM127" s="76" t="str">
        <f ca="1">IF(BK127="","",COUNTIF(BL$53:BL126,BL127))</f>
        <v/>
      </c>
      <c r="BN127" s="76" t="str">
        <f t="shared" ca="1" si="101"/>
        <v/>
      </c>
      <c r="BO127" s="76" t="str">
        <f ca="1">IF(BK127="","",IF(BN127=0,0,MATCH(BL127,BL$54:BL127,0)))</f>
        <v/>
      </c>
      <c r="BP127" s="76" t="str">
        <f t="shared" ca="1" si="102"/>
        <v/>
      </c>
      <c r="BQ127" s="76" t="str">
        <f t="shared" ca="1" si="103"/>
        <v/>
      </c>
      <c r="BR127" s="76" t="str">
        <f ca="1">IF(BK127="","",COUNTIF(BQ$54:BQ127,BQ127))</f>
        <v/>
      </c>
      <c r="BS127" s="76" t="str">
        <f t="shared" ca="1" si="104"/>
        <v/>
      </c>
      <c r="BT127" s="76" t="str">
        <f t="shared" ca="1" si="105"/>
        <v/>
      </c>
      <c r="BU127" s="76">
        <f t="shared" si="52"/>
        <v>74</v>
      </c>
      <c r="BV127" s="76" t="str">
        <f t="shared" ca="1" si="106"/>
        <v/>
      </c>
      <c r="BW127" s="76" t="str">
        <f t="shared" ca="1" si="107"/>
        <v/>
      </c>
      <c r="BX127" s="76" t="str">
        <f ca="1">IF(BV127="","",COUNTIF(BW$53:BW126,BW127))</f>
        <v/>
      </c>
      <c r="BY127" s="76" t="str">
        <f t="shared" ca="1" si="108"/>
        <v/>
      </c>
      <c r="BZ127" s="76" t="str">
        <f ca="1">IF(BV127="","",IF(BY127=0,0,MATCH(BW127,BW$54:BW127,0)))</f>
        <v/>
      </c>
      <c r="CA127" s="76" t="str">
        <f t="shared" ca="1" si="109"/>
        <v/>
      </c>
      <c r="CB127" s="76" t="str">
        <f t="shared" ca="1" si="110"/>
        <v/>
      </c>
      <c r="CC127" s="76" t="str">
        <f ca="1">IF(BV127="","",COUNTIF(CB$54:CB127,CB127))</f>
        <v/>
      </c>
      <c r="CD127" s="76" t="str">
        <f t="shared" ca="1" si="111"/>
        <v/>
      </c>
      <c r="CE127" s="76" t="str">
        <f t="shared" ca="1" si="112"/>
        <v/>
      </c>
    </row>
    <row r="128" spans="14:83">
      <c r="N128" s="35">
        <f t="shared" si="113"/>
        <v>1</v>
      </c>
      <c r="O128" s="35">
        <f t="shared" si="83"/>
        <v>25</v>
      </c>
      <c r="P128" s="35">
        <f t="shared" si="114"/>
        <v>3</v>
      </c>
      <c r="Q128" s="35">
        <f t="shared" si="84"/>
        <v>3</v>
      </c>
      <c r="R128" s="35">
        <f t="shared" si="115"/>
        <v>3</v>
      </c>
      <c r="AJ128" s="76">
        <v>75</v>
      </c>
      <c r="AK128" s="76" t="str">
        <f t="shared" ca="1" si="116"/>
        <v/>
      </c>
      <c r="AL128" s="76" t="str">
        <f t="shared" ca="1" si="117"/>
        <v/>
      </c>
      <c r="AM128" s="76"/>
      <c r="AN128" s="76"/>
      <c r="AO128" s="76" t="str">
        <f t="shared" ca="1" si="85"/>
        <v/>
      </c>
      <c r="AP128" s="76" t="str">
        <f t="shared" ca="1" si="86"/>
        <v/>
      </c>
      <c r="AQ128" s="76" t="str">
        <f t="shared" ca="1" si="87"/>
        <v/>
      </c>
      <c r="AR128" s="76">
        <f ca="1">COUNTIF($AQ$54:$AQ128,AR$53)</f>
        <v>0</v>
      </c>
      <c r="AS128" s="76">
        <f ca="1">COUNTIF($AQ$54:$AQ128,AS$53)</f>
        <v>0</v>
      </c>
      <c r="AT128" s="76">
        <f ca="1">COUNTIF($AQ$54:$AQ128,AT$53)</f>
        <v>0</v>
      </c>
      <c r="AU128" s="76" t="str">
        <f t="shared" ca="1" si="88"/>
        <v/>
      </c>
      <c r="AV128" s="76" t="str">
        <f t="shared" ca="1" si="89"/>
        <v/>
      </c>
      <c r="AW128" s="76" t="str">
        <f t="shared" ca="1" si="90"/>
        <v/>
      </c>
      <c r="AX128" s="76"/>
      <c r="AY128" s="76">
        <f t="shared" si="91"/>
        <v>75</v>
      </c>
      <c r="AZ128" s="76" t="str">
        <f t="shared" ca="1" si="92"/>
        <v/>
      </c>
      <c r="BA128" s="76" t="str">
        <f t="shared" ca="1" si="93"/>
        <v/>
      </c>
      <c r="BB128" s="76" t="str">
        <f ca="1">IF(AZ128="","",COUNTIF(BA$53:BA127,BA128))</f>
        <v/>
      </c>
      <c r="BC128" s="76" t="str">
        <f t="shared" ca="1" si="94"/>
        <v/>
      </c>
      <c r="BD128" s="76" t="str">
        <f ca="1">IF(AZ128="","",IF(BC128=0,0,MATCH(BA128,BA$54:BA128,0)))</f>
        <v/>
      </c>
      <c r="BE128" s="76" t="str">
        <f t="shared" ca="1" si="95"/>
        <v/>
      </c>
      <c r="BF128" s="76" t="str">
        <f t="shared" ca="1" si="96"/>
        <v/>
      </c>
      <c r="BG128" s="76" t="str">
        <f ca="1">IF(AZ128="","",COUNTIF(BF$54:BF128,BF128))</f>
        <v/>
      </c>
      <c r="BH128" s="76" t="str">
        <f t="shared" ca="1" si="97"/>
        <v/>
      </c>
      <c r="BI128" s="76" t="str">
        <f t="shared" ca="1" si="98"/>
        <v/>
      </c>
      <c r="BJ128" s="76">
        <f t="shared" si="51"/>
        <v>75</v>
      </c>
      <c r="BK128" s="76" t="str">
        <f t="shared" ca="1" si="99"/>
        <v/>
      </c>
      <c r="BL128" s="76" t="str">
        <f t="shared" ca="1" si="100"/>
        <v/>
      </c>
      <c r="BM128" s="76" t="str">
        <f ca="1">IF(BK128="","",COUNTIF(BL$53:BL127,BL128))</f>
        <v/>
      </c>
      <c r="BN128" s="76" t="str">
        <f t="shared" ca="1" si="101"/>
        <v/>
      </c>
      <c r="BO128" s="76" t="str">
        <f ca="1">IF(BK128="","",IF(BN128=0,0,MATCH(BL128,BL$54:BL128,0)))</f>
        <v/>
      </c>
      <c r="BP128" s="76" t="str">
        <f t="shared" ca="1" si="102"/>
        <v/>
      </c>
      <c r="BQ128" s="76" t="str">
        <f t="shared" ca="1" si="103"/>
        <v/>
      </c>
      <c r="BR128" s="76" t="str">
        <f ca="1">IF(BK128="","",COUNTIF(BQ$54:BQ128,BQ128))</f>
        <v/>
      </c>
      <c r="BS128" s="76" t="str">
        <f t="shared" ca="1" si="104"/>
        <v/>
      </c>
      <c r="BT128" s="76" t="str">
        <f t="shared" ca="1" si="105"/>
        <v/>
      </c>
      <c r="BU128" s="76">
        <f t="shared" si="52"/>
        <v>75</v>
      </c>
      <c r="BV128" s="76" t="str">
        <f t="shared" ca="1" si="106"/>
        <v/>
      </c>
      <c r="BW128" s="76" t="str">
        <f t="shared" ca="1" si="107"/>
        <v/>
      </c>
      <c r="BX128" s="76" t="str">
        <f ca="1">IF(BV128="","",COUNTIF(BW$53:BW127,BW128))</f>
        <v/>
      </c>
      <c r="BY128" s="76" t="str">
        <f t="shared" ca="1" si="108"/>
        <v/>
      </c>
      <c r="BZ128" s="76" t="str">
        <f ca="1">IF(BV128="","",IF(BY128=0,0,MATCH(BW128,BW$54:BW128,0)))</f>
        <v/>
      </c>
      <c r="CA128" s="76" t="str">
        <f t="shared" ca="1" si="109"/>
        <v/>
      </c>
      <c r="CB128" s="76" t="str">
        <f t="shared" ca="1" si="110"/>
        <v/>
      </c>
      <c r="CC128" s="76" t="str">
        <f ca="1">IF(BV128="","",COUNTIF(CB$54:CB128,CB128))</f>
        <v/>
      </c>
      <c r="CD128" s="76" t="str">
        <f t="shared" ca="1" si="111"/>
        <v/>
      </c>
      <c r="CE128" s="76" t="str">
        <f t="shared" ca="1" si="112"/>
        <v/>
      </c>
    </row>
    <row r="129" spans="14:83">
      <c r="N129" s="35">
        <f t="shared" si="113"/>
        <v>0</v>
      </c>
      <c r="O129" s="35">
        <f t="shared" si="83"/>
        <v>26</v>
      </c>
      <c r="P129" s="35">
        <f t="shared" si="114"/>
        <v>3</v>
      </c>
      <c r="Q129" s="35">
        <f t="shared" si="84"/>
        <v>1</v>
      </c>
      <c r="R129" s="35">
        <f t="shared" si="115"/>
        <v>3</v>
      </c>
      <c r="AJ129" s="76">
        <v>76</v>
      </c>
      <c r="AK129" s="76" t="str">
        <f t="shared" ca="1" si="116"/>
        <v/>
      </c>
      <c r="AL129" s="76" t="str">
        <f t="shared" ca="1" si="117"/>
        <v/>
      </c>
      <c r="AM129" s="76"/>
      <c r="AN129" s="76"/>
      <c r="AO129" s="76" t="str">
        <f t="shared" ca="1" si="85"/>
        <v/>
      </c>
      <c r="AP129" s="76" t="str">
        <f t="shared" ca="1" si="86"/>
        <v/>
      </c>
      <c r="AQ129" s="76" t="str">
        <f t="shared" ca="1" si="87"/>
        <v/>
      </c>
      <c r="AR129" s="76">
        <f ca="1">COUNTIF($AQ$54:$AQ129,AR$53)</f>
        <v>0</v>
      </c>
      <c r="AS129" s="76">
        <f ca="1">COUNTIF($AQ$54:$AQ129,AS$53)</f>
        <v>0</v>
      </c>
      <c r="AT129" s="76">
        <f ca="1">COUNTIF($AQ$54:$AQ129,AT$53)</f>
        <v>0</v>
      </c>
      <c r="AU129" s="76" t="str">
        <f t="shared" ca="1" si="88"/>
        <v/>
      </c>
      <c r="AV129" s="76" t="str">
        <f t="shared" ca="1" si="89"/>
        <v/>
      </c>
      <c r="AW129" s="76" t="str">
        <f t="shared" ca="1" si="90"/>
        <v/>
      </c>
      <c r="AX129" s="76"/>
      <c r="AY129" s="76">
        <f t="shared" si="91"/>
        <v>76</v>
      </c>
      <c r="AZ129" s="76" t="str">
        <f t="shared" ca="1" si="92"/>
        <v/>
      </c>
      <c r="BA129" s="76" t="str">
        <f t="shared" ca="1" si="93"/>
        <v/>
      </c>
      <c r="BB129" s="76" t="str">
        <f ca="1">IF(AZ129="","",COUNTIF(BA$53:BA128,BA129))</f>
        <v/>
      </c>
      <c r="BC129" s="76" t="str">
        <f t="shared" ca="1" si="94"/>
        <v/>
      </c>
      <c r="BD129" s="76" t="str">
        <f ca="1">IF(AZ129="","",IF(BC129=0,0,MATCH(BA129,BA$54:BA129,0)))</f>
        <v/>
      </c>
      <c r="BE129" s="76" t="str">
        <f t="shared" ca="1" si="95"/>
        <v/>
      </c>
      <c r="BF129" s="76" t="str">
        <f t="shared" ca="1" si="96"/>
        <v/>
      </c>
      <c r="BG129" s="76" t="str">
        <f ca="1">IF(AZ129="","",COUNTIF(BF$54:BF129,BF129))</f>
        <v/>
      </c>
      <c r="BH129" s="76" t="str">
        <f t="shared" ca="1" si="97"/>
        <v/>
      </c>
      <c r="BI129" s="76" t="str">
        <f t="shared" ca="1" si="98"/>
        <v/>
      </c>
      <c r="BJ129" s="76">
        <f t="shared" si="51"/>
        <v>76</v>
      </c>
      <c r="BK129" s="76" t="str">
        <f t="shared" ca="1" si="99"/>
        <v/>
      </c>
      <c r="BL129" s="76" t="str">
        <f t="shared" ca="1" si="100"/>
        <v/>
      </c>
      <c r="BM129" s="76" t="str">
        <f ca="1">IF(BK129="","",COUNTIF(BL$53:BL128,BL129))</f>
        <v/>
      </c>
      <c r="BN129" s="76" t="str">
        <f t="shared" ca="1" si="101"/>
        <v/>
      </c>
      <c r="BO129" s="76" t="str">
        <f ca="1">IF(BK129="","",IF(BN129=0,0,MATCH(BL129,BL$54:BL129,0)))</f>
        <v/>
      </c>
      <c r="BP129" s="76" t="str">
        <f t="shared" ca="1" si="102"/>
        <v/>
      </c>
      <c r="BQ129" s="76" t="str">
        <f t="shared" ca="1" si="103"/>
        <v/>
      </c>
      <c r="BR129" s="76" t="str">
        <f ca="1">IF(BK129="","",COUNTIF(BQ$54:BQ129,BQ129))</f>
        <v/>
      </c>
      <c r="BS129" s="76" t="str">
        <f t="shared" ca="1" si="104"/>
        <v/>
      </c>
      <c r="BT129" s="76" t="str">
        <f t="shared" ca="1" si="105"/>
        <v/>
      </c>
      <c r="BU129" s="76">
        <f t="shared" si="52"/>
        <v>76</v>
      </c>
      <c r="BV129" s="76" t="str">
        <f t="shared" ca="1" si="106"/>
        <v/>
      </c>
      <c r="BW129" s="76" t="str">
        <f t="shared" ca="1" si="107"/>
        <v/>
      </c>
      <c r="BX129" s="76" t="str">
        <f ca="1">IF(BV129="","",COUNTIF(BW$53:BW128,BW129))</f>
        <v/>
      </c>
      <c r="BY129" s="76" t="str">
        <f t="shared" ca="1" si="108"/>
        <v/>
      </c>
      <c r="BZ129" s="76" t="str">
        <f ca="1">IF(BV129="","",IF(BY129=0,0,MATCH(BW129,BW$54:BW129,0)))</f>
        <v/>
      </c>
      <c r="CA129" s="76" t="str">
        <f t="shared" ca="1" si="109"/>
        <v/>
      </c>
      <c r="CB129" s="76" t="str">
        <f t="shared" ca="1" si="110"/>
        <v/>
      </c>
      <c r="CC129" s="76" t="str">
        <f ca="1">IF(BV129="","",COUNTIF(CB$54:CB129,CB129))</f>
        <v/>
      </c>
      <c r="CD129" s="76" t="str">
        <f t="shared" ca="1" si="111"/>
        <v/>
      </c>
      <c r="CE129" s="76" t="str">
        <f t="shared" ca="1" si="112"/>
        <v/>
      </c>
    </row>
    <row r="130" spans="14:83">
      <c r="N130" s="35">
        <f t="shared" si="113"/>
        <v>0</v>
      </c>
      <c r="O130" s="35">
        <f t="shared" si="83"/>
        <v>26</v>
      </c>
      <c r="P130" s="35">
        <f t="shared" si="114"/>
        <v>2</v>
      </c>
      <c r="Q130" s="35">
        <f t="shared" si="84"/>
        <v>2</v>
      </c>
      <c r="R130" s="35">
        <f t="shared" si="115"/>
        <v>2</v>
      </c>
      <c r="AJ130" s="76">
        <v>77</v>
      </c>
      <c r="AK130" s="76" t="str">
        <f t="shared" ca="1" si="116"/>
        <v/>
      </c>
      <c r="AL130" s="76" t="str">
        <f t="shared" ca="1" si="117"/>
        <v/>
      </c>
      <c r="AM130" s="76"/>
      <c r="AN130" s="76"/>
      <c r="AO130" s="76" t="str">
        <f t="shared" ca="1" si="85"/>
        <v/>
      </c>
      <c r="AP130" s="76" t="str">
        <f t="shared" ca="1" si="86"/>
        <v/>
      </c>
      <c r="AQ130" s="76" t="str">
        <f t="shared" ca="1" si="87"/>
        <v/>
      </c>
      <c r="AR130" s="76">
        <f ca="1">COUNTIF($AQ$54:$AQ130,AR$53)</f>
        <v>0</v>
      </c>
      <c r="AS130" s="76">
        <f ca="1">COUNTIF($AQ$54:$AQ130,AS$53)</f>
        <v>0</v>
      </c>
      <c r="AT130" s="76">
        <f ca="1">COUNTIF($AQ$54:$AQ130,AT$53)</f>
        <v>0</v>
      </c>
      <c r="AU130" s="76" t="str">
        <f t="shared" ca="1" si="88"/>
        <v/>
      </c>
      <c r="AV130" s="76" t="str">
        <f t="shared" ca="1" si="89"/>
        <v/>
      </c>
      <c r="AW130" s="76" t="str">
        <f t="shared" ca="1" si="90"/>
        <v/>
      </c>
      <c r="AX130" s="76"/>
      <c r="AY130" s="76">
        <f t="shared" si="91"/>
        <v>77</v>
      </c>
      <c r="AZ130" s="76" t="str">
        <f t="shared" ca="1" si="92"/>
        <v/>
      </c>
      <c r="BA130" s="76" t="str">
        <f t="shared" ca="1" si="93"/>
        <v/>
      </c>
      <c r="BB130" s="76" t="str">
        <f ca="1">IF(AZ130="","",COUNTIF(BA$53:BA129,BA130))</f>
        <v/>
      </c>
      <c r="BC130" s="76" t="str">
        <f t="shared" ca="1" si="94"/>
        <v/>
      </c>
      <c r="BD130" s="76" t="str">
        <f ca="1">IF(AZ130="","",IF(BC130=0,0,MATCH(BA130,BA$54:BA130,0)))</f>
        <v/>
      </c>
      <c r="BE130" s="76" t="str">
        <f t="shared" ca="1" si="95"/>
        <v/>
      </c>
      <c r="BF130" s="76" t="str">
        <f t="shared" ca="1" si="96"/>
        <v/>
      </c>
      <c r="BG130" s="76" t="str">
        <f ca="1">IF(AZ130="","",COUNTIF(BF$54:BF130,BF130))</f>
        <v/>
      </c>
      <c r="BH130" s="76" t="str">
        <f t="shared" ca="1" si="97"/>
        <v/>
      </c>
      <c r="BI130" s="76" t="str">
        <f t="shared" ca="1" si="98"/>
        <v/>
      </c>
      <c r="BJ130" s="76">
        <f t="shared" si="51"/>
        <v>77</v>
      </c>
      <c r="BK130" s="76" t="str">
        <f t="shared" ca="1" si="99"/>
        <v/>
      </c>
      <c r="BL130" s="76" t="str">
        <f t="shared" ca="1" si="100"/>
        <v/>
      </c>
      <c r="BM130" s="76" t="str">
        <f ca="1">IF(BK130="","",COUNTIF(BL$53:BL129,BL130))</f>
        <v/>
      </c>
      <c r="BN130" s="76" t="str">
        <f t="shared" ca="1" si="101"/>
        <v/>
      </c>
      <c r="BO130" s="76" t="str">
        <f ca="1">IF(BK130="","",IF(BN130=0,0,MATCH(BL130,BL$54:BL130,0)))</f>
        <v/>
      </c>
      <c r="BP130" s="76" t="str">
        <f t="shared" ca="1" si="102"/>
        <v/>
      </c>
      <c r="BQ130" s="76" t="str">
        <f t="shared" ca="1" si="103"/>
        <v/>
      </c>
      <c r="BR130" s="76" t="str">
        <f ca="1">IF(BK130="","",COUNTIF(BQ$54:BQ130,BQ130))</f>
        <v/>
      </c>
      <c r="BS130" s="76" t="str">
        <f t="shared" ca="1" si="104"/>
        <v/>
      </c>
      <c r="BT130" s="76" t="str">
        <f t="shared" ca="1" si="105"/>
        <v/>
      </c>
      <c r="BU130" s="76">
        <f t="shared" si="52"/>
        <v>77</v>
      </c>
      <c r="BV130" s="76" t="str">
        <f t="shared" ca="1" si="106"/>
        <v/>
      </c>
      <c r="BW130" s="76" t="str">
        <f t="shared" ca="1" si="107"/>
        <v/>
      </c>
      <c r="BX130" s="76" t="str">
        <f ca="1">IF(BV130="","",COUNTIF(BW$53:BW129,BW130))</f>
        <v/>
      </c>
      <c r="BY130" s="76" t="str">
        <f t="shared" ca="1" si="108"/>
        <v/>
      </c>
      <c r="BZ130" s="76" t="str">
        <f ca="1">IF(BV130="","",IF(BY130=0,0,MATCH(BW130,BW$54:BW130,0)))</f>
        <v/>
      </c>
      <c r="CA130" s="76" t="str">
        <f t="shared" ca="1" si="109"/>
        <v/>
      </c>
      <c r="CB130" s="76" t="str">
        <f t="shared" ca="1" si="110"/>
        <v/>
      </c>
      <c r="CC130" s="76" t="str">
        <f ca="1">IF(BV130="","",COUNTIF(CB$54:CB130,CB130))</f>
        <v/>
      </c>
      <c r="CD130" s="76" t="str">
        <f t="shared" ca="1" si="111"/>
        <v/>
      </c>
      <c r="CE130" s="76" t="str">
        <f t="shared" ca="1" si="112"/>
        <v/>
      </c>
    </row>
    <row r="131" spans="14:83">
      <c r="N131" s="35">
        <f t="shared" si="113"/>
        <v>0</v>
      </c>
      <c r="O131" s="35">
        <f t="shared" si="83"/>
        <v>26</v>
      </c>
      <c r="P131" s="35">
        <f t="shared" si="114"/>
        <v>1</v>
      </c>
      <c r="Q131" s="35">
        <f t="shared" si="84"/>
        <v>3</v>
      </c>
      <c r="R131" s="35">
        <f t="shared" si="115"/>
        <v>1</v>
      </c>
      <c r="AJ131" s="76">
        <v>78</v>
      </c>
      <c r="AK131" s="76" t="str">
        <f t="shared" ca="1" si="116"/>
        <v/>
      </c>
      <c r="AL131" s="76" t="str">
        <f t="shared" ca="1" si="117"/>
        <v/>
      </c>
      <c r="AM131" s="76"/>
      <c r="AN131" s="76"/>
      <c r="AO131" s="76" t="str">
        <f t="shared" ca="1" si="85"/>
        <v/>
      </c>
      <c r="AP131" s="76" t="str">
        <f t="shared" ca="1" si="86"/>
        <v/>
      </c>
      <c r="AQ131" s="76" t="str">
        <f t="shared" ca="1" si="87"/>
        <v/>
      </c>
      <c r="AR131" s="76">
        <f ca="1">COUNTIF($AQ$54:$AQ131,AR$53)</f>
        <v>0</v>
      </c>
      <c r="AS131" s="76">
        <f ca="1">COUNTIF($AQ$54:$AQ131,AS$53)</f>
        <v>0</v>
      </c>
      <c r="AT131" s="76">
        <f ca="1">COUNTIF($AQ$54:$AQ131,AT$53)</f>
        <v>0</v>
      </c>
      <c r="AU131" s="76" t="str">
        <f t="shared" ca="1" si="88"/>
        <v/>
      </c>
      <c r="AV131" s="76" t="str">
        <f t="shared" ca="1" si="89"/>
        <v/>
      </c>
      <c r="AW131" s="76" t="str">
        <f t="shared" ca="1" si="90"/>
        <v/>
      </c>
      <c r="AX131" s="76"/>
      <c r="AY131" s="76">
        <f t="shared" si="91"/>
        <v>78</v>
      </c>
      <c r="AZ131" s="76" t="str">
        <f t="shared" ca="1" si="92"/>
        <v/>
      </c>
      <c r="BA131" s="76" t="str">
        <f t="shared" ca="1" si="93"/>
        <v/>
      </c>
      <c r="BB131" s="76" t="str">
        <f ca="1">IF(AZ131="","",COUNTIF(BA$53:BA130,BA131))</f>
        <v/>
      </c>
      <c r="BC131" s="76" t="str">
        <f t="shared" ca="1" si="94"/>
        <v/>
      </c>
      <c r="BD131" s="76" t="str">
        <f ca="1">IF(AZ131="","",IF(BC131=0,0,MATCH(BA131,BA$54:BA131,0)))</f>
        <v/>
      </c>
      <c r="BE131" s="76" t="str">
        <f t="shared" ca="1" si="95"/>
        <v/>
      </c>
      <c r="BF131" s="76" t="str">
        <f t="shared" ca="1" si="96"/>
        <v/>
      </c>
      <c r="BG131" s="76" t="str">
        <f ca="1">IF(AZ131="","",COUNTIF(BF$54:BF131,BF131))</f>
        <v/>
      </c>
      <c r="BH131" s="76" t="str">
        <f t="shared" ca="1" si="97"/>
        <v/>
      </c>
      <c r="BI131" s="76" t="str">
        <f t="shared" ca="1" si="98"/>
        <v/>
      </c>
      <c r="BJ131" s="76">
        <f t="shared" si="51"/>
        <v>78</v>
      </c>
      <c r="BK131" s="76" t="str">
        <f t="shared" ca="1" si="99"/>
        <v/>
      </c>
      <c r="BL131" s="76" t="str">
        <f t="shared" ca="1" si="100"/>
        <v/>
      </c>
      <c r="BM131" s="76" t="str">
        <f ca="1">IF(BK131="","",COUNTIF(BL$53:BL130,BL131))</f>
        <v/>
      </c>
      <c r="BN131" s="76" t="str">
        <f t="shared" ca="1" si="101"/>
        <v/>
      </c>
      <c r="BO131" s="76" t="str">
        <f ca="1">IF(BK131="","",IF(BN131=0,0,MATCH(BL131,BL$54:BL131,0)))</f>
        <v/>
      </c>
      <c r="BP131" s="76" t="str">
        <f t="shared" ca="1" si="102"/>
        <v/>
      </c>
      <c r="BQ131" s="76" t="str">
        <f t="shared" ca="1" si="103"/>
        <v/>
      </c>
      <c r="BR131" s="76" t="str">
        <f ca="1">IF(BK131="","",COUNTIF(BQ$54:BQ131,BQ131))</f>
        <v/>
      </c>
      <c r="BS131" s="76" t="str">
        <f t="shared" ca="1" si="104"/>
        <v/>
      </c>
      <c r="BT131" s="76" t="str">
        <f t="shared" ca="1" si="105"/>
        <v/>
      </c>
      <c r="BU131" s="76">
        <f t="shared" si="52"/>
        <v>78</v>
      </c>
      <c r="BV131" s="76" t="str">
        <f t="shared" ca="1" si="106"/>
        <v/>
      </c>
      <c r="BW131" s="76" t="str">
        <f t="shared" ca="1" si="107"/>
        <v/>
      </c>
      <c r="BX131" s="76" t="str">
        <f ca="1">IF(BV131="","",COUNTIF(BW$53:BW130,BW131))</f>
        <v/>
      </c>
      <c r="BY131" s="76" t="str">
        <f t="shared" ca="1" si="108"/>
        <v/>
      </c>
      <c r="BZ131" s="76" t="str">
        <f ca="1">IF(BV131="","",IF(BY131=0,0,MATCH(BW131,BW$54:BW131,0)))</f>
        <v/>
      </c>
      <c r="CA131" s="76" t="str">
        <f t="shared" ca="1" si="109"/>
        <v/>
      </c>
      <c r="CB131" s="76" t="str">
        <f t="shared" ca="1" si="110"/>
        <v/>
      </c>
      <c r="CC131" s="76" t="str">
        <f ca="1">IF(BV131="","",COUNTIF(CB$54:CB131,CB131))</f>
        <v/>
      </c>
      <c r="CD131" s="76" t="str">
        <f t="shared" ca="1" si="111"/>
        <v/>
      </c>
      <c r="CE131" s="76" t="str">
        <f t="shared" ca="1" si="112"/>
        <v/>
      </c>
    </row>
    <row r="132" spans="14:83">
      <c r="N132" s="35">
        <f t="shared" si="113"/>
        <v>1</v>
      </c>
      <c r="O132" s="35">
        <f t="shared" si="83"/>
        <v>27</v>
      </c>
      <c r="P132" s="35">
        <f t="shared" si="114"/>
        <v>1</v>
      </c>
      <c r="Q132" s="35">
        <f t="shared" si="84"/>
        <v>1</v>
      </c>
      <c r="R132" s="35">
        <f t="shared" si="115"/>
        <v>1</v>
      </c>
      <c r="AJ132" s="76">
        <v>79</v>
      </c>
      <c r="AK132" s="76" t="str">
        <f t="shared" ca="1" si="116"/>
        <v/>
      </c>
      <c r="AL132" s="76" t="str">
        <f t="shared" ca="1" si="117"/>
        <v/>
      </c>
      <c r="AM132" s="76"/>
      <c r="AN132" s="76"/>
      <c r="AO132" s="76" t="str">
        <f t="shared" ca="1" si="85"/>
        <v/>
      </c>
      <c r="AP132" s="76" t="str">
        <f t="shared" ca="1" si="86"/>
        <v/>
      </c>
      <c r="AQ132" s="76" t="str">
        <f t="shared" ca="1" si="87"/>
        <v/>
      </c>
      <c r="AR132" s="76">
        <f ca="1">COUNTIF($AQ$54:$AQ132,AR$53)</f>
        <v>0</v>
      </c>
      <c r="AS132" s="76">
        <f ca="1">COUNTIF($AQ$54:$AQ132,AS$53)</f>
        <v>0</v>
      </c>
      <c r="AT132" s="76">
        <f ca="1">COUNTIF($AQ$54:$AQ132,AT$53)</f>
        <v>0</v>
      </c>
      <c r="AU132" s="76" t="str">
        <f t="shared" ca="1" si="88"/>
        <v/>
      </c>
      <c r="AV132" s="76" t="str">
        <f t="shared" ca="1" si="89"/>
        <v/>
      </c>
      <c r="AW132" s="76" t="str">
        <f t="shared" ca="1" si="90"/>
        <v/>
      </c>
      <c r="AX132" s="76"/>
      <c r="AY132" s="76">
        <f t="shared" si="91"/>
        <v>79</v>
      </c>
      <c r="AZ132" s="76" t="str">
        <f t="shared" ca="1" si="92"/>
        <v/>
      </c>
      <c r="BA132" s="76" t="str">
        <f t="shared" ca="1" si="93"/>
        <v/>
      </c>
      <c r="BB132" s="76" t="str">
        <f ca="1">IF(AZ132="","",COUNTIF(BA$53:BA131,BA132))</f>
        <v/>
      </c>
      <c r="BC132" s="76" t="str">
        <f t="shared" ca="1" si="94"/>
        <v/>
      </c>
      <c r="BD132" s="76" t="str">
        <f ca="1">IF(AZ132="","",IF(BC132=0,0,MATCH(BA132,BA$54:BA132,0)))</f>
        <v/>
      </c>
      <c r="BE132" s="76" t="str">
        <f t="shared" ca="1" si="95"/>
        <v/>
      </c>
      <c r="BF132" s="76" t="str">
        <f t="shared" ca="1" si="96"/>
        <v/>
      </c>
      <c r="BG132" s="76" t="str">
        <f ca="1">IF(AZ132="","",COUNTIF(BF$54:BF132,BF132))</f>
        <v/>
      </c>
      <c r="BH132" s="76" t="str">
        <f t="shared" ca="1" si="97"/>
        <v/>
      </c>
      <c r="BI132" s="76" t="str">
        <f t="shared" ca="1" si="98"/>
        <v/>
      </c>
      <c r="BJ132" s="76">
        <f t="shared" si="51"/>
        <v>79</v>
      </c>
      <c r="BK132" s="76" t="str">
        <f t="shared" ca="1" si="99"/>
        <v/>
      </c>
      <c r="BL132" s="76" t="str">
        <f t="shared" ca="1" si="100"/>
        <v/>
      </c>
      <c r="BM132" s="76" t="str">
        <f ca="1">IF(BK132="","",COUNTIF(BL$53:BL131,BL132))</f>
        <v/>
      </c>
      <c r="BN132" s="76" t="str">
        <f t="shared" ca="1" si="101"/>
        <v/>
      </c>
      <c r="BO132" s="76" t="str">
        <f ca="1">IF(BK132="","",IF(BN132=0,0,MATCH(BL132,BL$54:BL132,0)))</f>
        <v/>
      </c>
      <c r="BP132" s="76" t="str">
        <f t="shared" ca="1" si="102"/>
        <v/>
      </c>
      <c r="BQ132" s="76" t="str">
        <f t="shared" ca="1" si="103"/>
        <v/>
      </c>
      <c r="BR132" s="76" t="str">
        <f ca="1">IF(BK132="","",COUNTIF(BQ$54:BQ132,BQ132))</f>
        <v/>
      </c>
      <c r="BS132" s="76" t="str">
        <f t="shared" ca="1" si="104"/>
        <v/>
      </c>
      <c r="BT132" s="76" t="str">
        <f t="shared" ca="1" si="105"/>
        <v/>
      </c>
      <c r="BU132" s="76">
        <f t="shared" si="52"/>
        <v>79</v>
      </c>
      <c r="BV132" s="76" t="str">
        <f t="shared" ca="1" si="106"/>
        <v/>
      </c>
      <c r="BW132" s="76" t="str">
        <f t="shared" ca="1" si="107"/>
        <v/>
      </c>
      <c r="BX132" s="76" t="str">
        <f ca="1">IF(BV132="","",COUNTIF(BW$53:BW131,BW132))</f>
        <v/>
      </c>
      <c r="BY132" s="76" t="str">
        <f t="shared" ca="1" si="108"/>
        <v/>
      </c>
      <c r="BZ132" s="76" t="str">
        <f ca="1">IF(BV132="","",IF(BY132=0,0,MATCH(BW132,BW$54:BW132,0)))</f>
        <v/>
      </c>
      <c r="CA132" s="76" t="str">
        <f t="shared" ca="1" si="109"/>
        <v/>
      </c>
      <c r="CB132" s="76" t="str">
        <f t="shared" ca="1" si="110"/>
        <v/>
      </c>
      <c r="CC132" s="76" t="str">
        <f ca="1">IF(BV132="","",COUNTIF(CB$54:CB132,CB132))</f>
        <v/>
      </c>
      <c r="CD132" s="76" t="str">
        <f t="shared" ca="1" si="111"/>
        <v/>
      </c>
      <c r="CE132" s="76" t="str">
        <f t="shared" ca="1" si="112"/>
        <v/>
      </c>
    </row>
    <row r="133" spans="14:83">
      <c r="N133" s="35">
        <f t="shared" si="113"/>
        <v>1</v>
      </c>
      <c r="O133" s="35">
        <f t="shared" si="83"/>
        <v>27</v>
      </c>
      <c r="P133" s="35">
        <f t="shared" si="114"/>
        <v>2</v>
      </c>
      <c r="Q133" s="35">
        <f t="shared" si="84"/>
        <v>2</v>
      </c>
      <c r="R133" s="35">
        <f t="shared" si="115"/>
        <v>2</v>
      </c>
      <c r="AJ133" s="76">
        <v>80</v>
      </c>
      <c r="AK133" s="76" t="str">
        <f t="shared" ca="1" si="116"/>
        <v/>
      </c>
      <c r="AL133" s="76" t="str">
        <f t="shared" ca="1" si="117"/>
        <v/>
      </c>
      <c r="AM133" s="76"/>
      <c r="AN133" s="76"/>
      <c r="AO133" s="76" t="str">
        <f t="shared" ca="1" si="85"/>
        <v/>
      </c>
      <c r="AP133" s="76" t="str">
        <f t="shared" ca="1" si="86"/>
        <v/>
      </c>
      <c r="AQ133" s="76" t="str">
        <f t="shared" ca="1" si="87"/>
        <v/>
      </c>
      <c r="AR133" s="76">
        <f ca="1">COUNTIF($AQ$54:$AQ133,AR$53)</f>
        <v>0</v>
      </c>
      <c r="AS133" s="76">
        <f ca="1">COUNTIF($AQ$54:$AQ133,AS$53)</f>
        <v>0</v>
      </c>
      <c r="AT133" s="76">
        <f ca="1">COUNTIF($AQ$54:$AQ133,AT$53)</f>
        <v>0</v>
      </c>
      <c r="AU133" s="76" t="str">
        <f t="shared" ca="1" si="88"/>
        <v/>
      </c>
      <c r="AV133" s="76" t="str">
        <f t="shared" ca="1" si="89"/>
        <v/>
      </c>
      <c r="AW133" s="76" t="str">
        <f t="shared" ca="1" si="90"/>
        <v/>
      </c>
      <c r="AX133" s="76"/>
      <c r="AY133" s="76">
        <f t="shared" si="91"/>
        <v>80</v>
      </c>
      <c r="AZ133" s="76" t="str">
        <f t="shared" ca="1" si="92"/>
        <v/>
      </c>
      <c r="BA133" s="76" t="str">
        <f t="shared" ca="1" si="93"/>
        <v/>
      </c>
      <c r="BB133" s="76" t="str">
        <f ca="1">IF(AZ133="","",COUNTIF(BA$53:BA132,BA133))</f>
        <v/>
      </c>
      <c r="BC133" s="76" t="str">
        <f t="shared" ca="1" si="94"/>
        <v/>
      </c>
      <c r="BD133" s="76" t="str">
        <f ca="1">IF(AZ133="","",IF(BC133=0,0,MATCH(BA133,BA$54:BA133,0)))</f>
        <v/>
      </c>
      <c r="BE133" s="76" t="str">
        <f t="shared" ca="1" si="95"/>
        <v/>
      </c>
      <c r="BF133" s="76" t="str">
        <f t="shared" ca="1" si="96"/>
        <v/>
      </c>
      <c r="BG133" s="76" t="str">
        <f ca="1">IF(AZ133="","",COUNTIF(BF$54:BF133,BF133))</f>
        <v/>
      </c>
      <c r="BH133" s="76" t="str">
        <f t="shared" ca="1" si="97"/>
        <v/>
      </c>
      <c r="BI133" s="76" t="str">
        <f t="shared" ca="1" si="98"/>
        <v/>
      </c>
      <c r="BJ133" s="76">
        <f t="shared" si="51"/>
        <v>80</v>
      </c>
      <c r="BK133" s="76" t="str">
        <f t="shared" ca="1" si="99"/>
        <v/>
      </c>
      <c r="BL133" s="76" t="str">
        <f t="shared" ca="1" si="100"/>
        <v/>
      </c>
      <c r="BM133" s="76" t="str">
        <f ca="1">IF(BK133="","",COUNTIF(BL$53:BL132,BL133))</f>
        <v/>
      </c>
      <c r="BN133" s="76" t="str">
        <f t="shared" ca="1" si="101"/>
        <v/>
      </c>
      <c r="BO133" s="76" t="str">
        <f ca="1">IF(BK133="","",IF(BN133=0,0,MATCH(BL133,BL$54:BL133,0)))</f>
        <v/>
      </c>
      <c r="BP133" s="76" t="str">
        <f t="shared" ca="1" si="102"/>
        <v/>
      </c>
      <c r="BQ133" s="76" t="str">
        <f t="shared" ca="1" si="103"/>
        <v/>
      </c>
      <c r="BR133" s="76" t="str">
        <f ca="1">IF(BK133="","",COUNTIF(BQ$54:BQ133,BQ133))</f>
        <v/>
      </c>
      <c r="BS133" s="76" t="str">
        <f t="shared" ca="1" si="104"/>
        <v/>
      </c>
      <c r="BT133" s="76" t="str">
        <f t="shared" ca="1" si="105"/>
        <v/>
      </c>
      <c r="BU133" s="76">
        <f t="shared" si="52"/>
        <v>80</v>
      </c>
      <c r="BV133" s="76" t="str">
        <f t="shared" ca="1" si="106"/>
        <v/>
      </c>
      <c r="BW133" s="76" t="str">
        <f t="shared" ca="1" si="107"/>
        <v/>
      </c>
      <c r="BX133" s="76" t="str">
        <f ca="1">IF(BV133="","",COUNTIF(BW$53:BW132,BW133))</f>
        <v/>
      </c>
      <c r="BY133" s="76" t="str">
        <f t="shared" ca="1" si="108"/>
        <v/>
      </c>
      <c r="BZ133" s="76" t="str">
        <f ca="1">IF(BV133="","",IF(BY133=0,0,MATCH(BW133,BW$54:BW133,0)))</f>
        <v/>
      </c>
      <c r="CA133" s="76" t="str">
        <f t="shared" ca="1" si="109"/>
        <v/>
      </c>
      <c r="CB133" s="76" t="str">
        <f t="shared" ca="1" si="110"/>
        <v/>
      </c>
      <c r="CC133" s="76" t="str">
        <f ca="1">IF(BV133="","",COUNTIF(CB$54:CB133,CB133))</f>
        <v/>
      </c>
      <c r="CD133" s="76" t="str">
        <f t="shared" ca="1" si="111"/>
        <v/>
      </c>
      <c r="CE133" s="76" t="str">
        <f t="shared" ca="1" si="112"/>
        <v/>
      </c>
    </row>
    <row r="134" spans="14:83">
      <c r="N134" s="35">
        <f t="shared" si="113"/>
        <v>1</v>
      </c>
      <c r="O134" s="35">
        <f t="shared" si="83"/>
        <v>27</v>
      </c>
      <c r="P134" s="35">
        <f t="shared" si="114"/>
        <v>3</v>
      </c>
      <c r="Q134" s="35">
        <f t="shared" si="84"/>
        <v>3</v>
      </c>
      <c r="R134" s="35">
        <f t="shared" si="115"/>
        <v>3</v>
      </c>
      <c r="AJ134" s="76">
        <v>81</v>
      </c>
      <c r="AK134" s="76" t="str">
        <f t="shared" ca="1" si="116"/>
        <v/>
      </c>
      <c r="AL134" s="76" t="str">
        <f t="shared" ca="1" si="117"/>
        <v/>
      </c>
      <c r="AM134" s="76"/>
      <c r="AN134" s="76"/>
      <c r="AO134" s="76" t="str">
        <f t="shared" ca="1" si="85"/>
        <v/>
      </c>
      <c r="AP134" s="76" t="str">
        <f t="shared" ca="1" si="86"/>
        <v/>
      </c>
      <c r="AQ134" s="76" t="str">
        <f t="shared" ca="1" si="87"/>
        <v/>
      </c>
      <c r="AR134" s="76">
        <f ca="1">COUNTIF($AQ$54:$AQ134,AR$53)</f>
        <v>0</v>
      </c>
      <c r="AS134" s="76">
        <f ca="1">COUNTIF($AQ$54:$AQ134,AS$53)</f>
        <v>0</v>
      </c>
      <c r="AT134" s="76">
        <f ca="1">COUNTIF($AQ$54:$AQ134,AT$53)</f>
        <v>0</v>
      </c>
      <c r="AU134" s="76" t="str">
        <f t="shared" ca="1" si="88"/>
        <v/>
      </c>
      <c r="AV134" s="76" t="str">
        <f t="shared" ca="1" si="89"/>
        <v/>
      </c>
      <c r="AW134" s="76" t="str">
        <f t="shared" ca="1" si="90"/>
        <v/>
      </c>
      <c r="AX134" s="76"/>
      <c r="AY134" s="76">
        <f t="shared" si="91"/>
        <v>81</v>
      </c>
      <c r="AZ134" s="76" t="str">
        <f t="shared" ca="1" si="92"/>
        <v/>
      </c>
      <c r="BA134" s="76" t="str">
        <f t="shared" ca="1" si="93"/>
        <v/>
      </c>
      <c r="BB134" s="76" t="str">
        <f ca="1">IF(AZ134="","",COUNTIF(BA$53:BA133,BA134))</f>
        <v/>
      </c>
      <c r="BC134" s="76" t="str">
        <f t="shared" ca="1" si="94"/>
        <v/>
      </c>
      <c r="BD134" s="76" t="str">
        <f ca="1">IF(AZ134="","",IF(BC134=0,0,MATCH(BA134,BA$54:BA134,0)))</f>
        <v/>
      </c>
      <c r="BE134" s="76" t="str">
        <f t="shared" ca="1" si="95"/>
        <v/>
      </c>
      <c r="BF134" s="76" t="str">
        <f t="shared" ca="1" si="96"/>
        <v/>
      </c>
      <c r="BG134" s="76" t="str">
        <f ca="1">IF(AZ134="","",COUNTIF(BF$54:BF134,BF134))</f>
        <v/>
      </c>
      <c r="BH134" s="76" t="str">
        <f t="shared" ca="1" si="97"/>
        <v/>
      </c>
      <c r="BI134" s="76" t="str">
        <f t="shared" ca="1" si="98"/>
        <v/>
      </c>
      <c r="BJ134" s="76">
        <f t="shared" si="51"/>
        <v>81</v>
      </c>
      <c r="BK134" s="76" t="str">
        <f t="shared" ca="1" si="99"/>
        <v/>
      </c>
      <c r="BL134" s="76" t="str">
        <f t="shared" ca="1" si="100"/>
        <v/>
      </c>
      <c r="BM134" s="76" t="str">
        <f ca="1">IF(BK134="","",COUNTIF(BL$53:BL133,BL134))</f>
        <v/>
      </c>
      <c r="BN134" s="76" t="str">
        <f t="shared" ca="1" si="101"/>
        <v/>
      </c>
      <c r="BO134" s="76" t="str">
        <f ca="1">IF(BK134="","",IF(BN134=0,0,MATCH(BL134,BL$54:BL134,0)))</f>
        <v/>
      </c>
      <c r="BP134" s="76" t="str">
        <f t="shared" ca="1" si="102"/>
        <v/>
      </c>
      <c r="BQ134" s="76" t="str">
        <f t="shared" ca="1" si="103"/>
        <v/>
      </c>
      <c r="BR134" s="76" t="str">
        <f ca="1">IF(BK134="","",COUNTIF(BQ$54:BQ134,BQ134))</f>
        <v/>
      </c>
      <c r="BS134" s="76" t="str">
        <f t="shared" ca="1" si="104"/>
        <v/>
      </c>
      <c r="BT134" s="76" t="str">
        <f t="shared" ca="1" si="105"/>
        <v/>
      </c>
      <c r="BU134" s="76">
        <f t="shared" si="52"/>
        <v>81</v>
      </c>
      <c r="BV134" s="76" t="str">
        <f t="shared" ca="1" si="106"/>
        <v/>
      </c>
      <c r="BW134" s="76" t="str">
        <f t="shared" ca="1" si="107"/>
        <v/>
      </c>
      <c r="BX134" s="76" t="str">
        <f ca="1">IF(BV134="","",COUNTIF(BW$53:BW133,BW134))</f>
        <v/>
      </c>
      <c r="BY134" s="76" t="str">
        <f t="shared" ca="1" si="108"/>
        <v/>
      </c>
      <c r="BZ134" s="76" t="str">
        <f ca="1">IF(BV134="","",IF(BY134=0,0,MATCH(BW134,BW$54:BW134,0)))</f>
        <v/>
      </c>
      <c r="CA134" s="76" t="str">
        <f t="shared" ca="1" si="109"/>
        <v/>
      </c>
      <c r="CB134" s="76" t="str">
        <f t="shared" ca="1" si="110"/>
        <v/>
      </c>
      <c r="CC134" s="76" t="str">
        <f ca="1">IF(BV134="","",COUNTIF(CB$54:CB134,CB134))</f>
        <v/>
      </c>
      <c r="CD134" s="76" t="str">
        <f t="shared" ca="1" si="111"/>
        <v/>
      </c>
      <c r="CE134" s="76" t="str">
        <f t="shared" ca="1" si="112"/>
        <v/>
      </c>
    </row>
    <row r="135" spans="14:83">
      <c r="N135" s="35">
        <f t="shared" si="113"/>
        <v>0</v>
      </c>
      <c r="O135" s="35">
        <f t="shared" si="83"/>
        <v>28</v>
      </c>
      <c r="P135" s="35">
        <f t="shared" si="114"/>
        <v>3</v>
      </c>
      <c r="Q135" s="35">
        <f t="shared" si="84"/>
        <v>1</v>
      </c>
      <c r="R135" s="35">
        <f t="shared" si="115"/>
        <v>3</v>
      </c>
      <c r="AJ135" s="76">
        <v>82</v>
      </c>
      <c r="AK135" s="76" t="str">
        <f t="shared" ca="1" si="116"/>
        <v/>
      </c>
      <c r="AL135" s="76" t="str">
        <f t="shared" ca="1" si="117"/>
        <v/>
      </c>
      <c r="AM135" s="76"/>
      <c r="AN135" s="76"/>
      <c r="AO135" s="76" t="str">
        <f t="shared" ca="1" si="85"/>
        <v/>
      </c>
      <c r="AP135" s="76" t="str">
        <f t="shared" ca="1" si="86"/>
        <v/>
      </c>
      <c r="AQ135" s="76" t="str">
        <f t="shared" ca="1" si="87"/>
        <v/>
      </c>
      <c r="AR135" s="76">
        <f ca="1">COUNTIF($AQ$54:$AQ135,AR$53)</f>
        <v>0</v>
      </c>
      <c r="AS135" s="76">
        <f ca="1">COUNTIF($AQ$54:$AQ135,AS$53)</f>
        <v>0</v>
      </c>
      <c r="AT135" s="76">
        <f ca="1">COUNTIF($AQ$54:$AQ135,AT$53)</f>
        <v>0</v>
      </c>
      <c r="AU135" s="76" t="str">
        <f t="shared" ca="1" si="88"/>
        <v/>
      </c>
      <c r="AV135" s="76" t="str">
        <f t="shared" ca="1" si="89"/>
        <v/>
      </c>
      <c r="AW135" s="76" t="str">
        <f t="shared" ca="1" si="90"/>
        <v/>
      </c>
      <c r="AX135" s="76"/>
      <c r="AY135" s="76">
        <f t="shared" si="91"/>
        <v>82</v>
      </c>
      <c r="AZ135" s="76" t="str">
        <f t="shared" ca="1" si="92"/>
        <v/>
      </c>
      <c r="BA135" s="76" t="str">
        <f t="shared" ca="1" si="93"/>
        <v/>
      </c>
      <c r="BB135" s="76" t="str">
        <f ca="1">IF(AZ135="","",COUNTIF(BA$53:BA134,BA135))</f>
        <v/>
      </c>
      <c r="BC135" s="76" t="str">
        <f t="shared" ca="1" si="94"/>
        <v/>
      </c>
      <c r="BD135" s="76" t="str">
        <f ca="1">IF(AZ135="","",IF(BC135=0,0,MATCH(BA135,BA$54:BA135,0)))</f>
        <v/>
      </c>
      <c r="BE135" s="76" t="str">
        <f t="shared" ca="1" si="95"/>
        <v/>
      </c>
      <c r="BF135" s="76" t="str">
        <f t="shared" ca="1" si="96"/>
        <v/>
      </c>
      <c r="BG135" s="76" t="str">
        <f ca="1">IF(AZ135="","",COUNTIF(BF$54:BF135,BF135))</f>
        <v/>
      </c>
      <c r="BH135" s="76" t="str">
        <f t="shared" ca="1" si="97"/>
        <v/>
      </c>
      <c r="BI135" s="76" t="str">
        <f t="shared" ca="1" si="98"/>
        <v/>
      </c>
      <c r="BJ135" s="76">
        <f t="shared" si="51"/>
        <v>82</v>
      </c>
      <c r="BK135" s="76" t="str">
        <f t="shared" ca="1" si="99"/>
        <v/>
      </c>
      <c r="BL135" s="76" t="str">
        <f t="shared" ca="1" si="100"/>
        <v/>
      </c>
      <c r="BM135" s="76" t="str">
        <f ca="1">IF(BK135="","",COUNTIF(BL$53:BL134,BL135))</f>
        <v/>
      </c>
      <c r="BN135" s="76" t="str">
        <f t="shared" ca="1" si="101"/>
        <v/>
      </c>
      <c r="BO135" s="76" t="str">
        <f ca="1">IF(BK135="","",IF(BN135=0,0,MATCH(BL135,BL$54:BL135,0)))</f>
        <v/>
      </c>
      <c r="BP135" s="76" t="str">
        <f t="shared" ca="1" si="102"/>
        <v/>
      </c>
      <c r="BQ135" s="76" t="str">
        <f t="shared" ca="1" si="103"/>
        <v/>
      </c>
      <c r="BR135" s="76" t="str">
        <f ca="1">IF(BK135="","",COUNTIF(BQ$54:BQ135,BQ135))</f>
        <v/>
      </c>
      <c r="BS135" s="76" t="str">
        <f t="shared" ca="1" si="104"/>
        <v/>
      </c>
      <c r="BT135" s="76" t="str">
        <f t="shared" ca="1" si="105"/>
        <v/>
      </c>
      <c r="BU135" s="76">
        <f t="shared" si="52"/>
        <v>82</v>
      </c>
      <c r="BV135" s="76" t="str">
        <f t="shared" ca="1" si="106"/>
        <v/>
      </c>
      <c r="BW135" s="76" t="str">
        <f t="shared" ca="1" si="107"/>
        <v/>
      </c>
      <c r="BX135" s="76" t="str">
        <f ca="1">IF(BV135="","",COUNTIF(BW$53:BW134,BW135))</f>
        <v/>
      </c>
      <c r="BY135" s="76" t="str">
        <f t="shared" ca="1" si="108"/>
        <v/>
      </c>
      <c r="BZ135" s="76" t="str">
        <f ca="1">IF(BV135="","",IF(BY135=0,0,MATCH(BW135,BW$54:BW135,0)))</f>
        <v/>
      </c>
      <c r="CA135" s="76" t="str">
        <f t="shared" ca="1" si="109"/>
        <v/>
      </c>
      <c r="CB135" s="76" t="str">
        <f t="shared" ca="1" si="110"/>
        <v/>
      </c>
      <c r="CC135" s="76" t="str">
        <f ca="1">IF(BV135="","",COUNTIF(CB$54:CB135,CB135))</f>
        <v/>
      </c>
      <c r="CD135" s="76" t="str">
        <f t="shared" ca="1" si="111"/>
        <v/>
      </c>
      <c r="CE135" s="76" t="str">
        <f t="shared" ca="1" si="112"/>
        <v/>
      </c>
    </row>
    <row r="136" spans="14:83">
      <c r="N136" s="35">
        <f t="shared" si="113"/>
        <v>0</v>
      </c>
      <c r="O136" s="35">
        <f t="shared" si="83"/>
        <v>28</v>
      </c>
      <c r="P136" s="35">
        <f t="shared" si="114"/>
        <v>2</v>
      </c>
      <c r="Q136" s="35">
        <f t="shared" si="84"/>
        <v>2</v>
      </c>
      <c r="R136" s="35">
        <f t="shared" si="115"/>
        <v>2</v>
      </c>
      <c r="AJ136" s="76">
        <v>83</v>
      </c>
      <c r="AK136" s="76" t="str">
        <f t="shared" ca="1" si="116"/>
        <v/>
      </c>
      <c r="AL136" s="76" t="str">
        <f t="shared" ca="1" si="117"/>
        <v/>
      </c>
      <c r="AM136" s="76"/>
      <c r="AN136" s="76"/>
      <c r="AO136" s="76" t="str">
        <f t="shared" ca="1" si="85"/>
        <v/>
      </c>
      <c r="AP136" s="76" t="str">
        <f t="shared" ca="1" si="86"/>
        <v/>
      </c>
      <c r="AQ136" s="76" t="str">
        <f t="shared" ca="1" si="87"/>
        <v/>
      </c>
      <c r="AR136" s="76">
        <f ca="1">COUNTIF($AQ$54:$AQ136,AR$53)</f>
        <v>0</v>
      </c>
      <c r="AS136" s="76">
        <f ca="1">COUNTIF($AQ$54:$AQ136,AS$53)</f>
        <v>0</v>
      </c>
      <c r="AT136" s="76">
        <f ca="1">COUNTIF($AQ$54:$AQ136,AT$53)</f>
        <v>0</v>
      </c>
      <c r="AU136" s="76" t="str">
        <f t="shared" ca="1" si="88"/>
        <v/>
      </c>
      <c r="AV136" s="76" t="str">
        <f t="shared" ca="1" si="89"/>
        <v/>
      </c>
      <c r="AW136" s="76" t="str">
        <f t="shared" ca="1" si="90"/>
        <v/>
      </c>
      <c r="AX136" s="76"/>
      <c r="AY136" s="76">
        <f t="shared" si="91"/>
        <v>83</v>
      </c>
      <c r="AZ136" s="76" t="str">
        <f t="shared" ca="1" si="92"/>
        <v/>
      </c>
      <c r="BA136" s="76" t="str">
        <f t="shared" ca="1" si="93"/>
        <v/>
      </c>
      <c r="BB136" s="76" t="str">
        <f ca="1">IF(AZ136="","",COUNTIF(BA$53:BA135,BA136))</f>
        <v/>
      </c>
      <c r="BC136" s="76" t="str">
        <f t="shared" ca="1" si="94"/>
        <v/>
      </c>
      <c r="BD136" s="76" t="str">
        <f ca="1">IF(AZ136="","",IF(BC136=0,0,MATCH(BA136,BA$54:BA136,0)))</f>
        <v/>
      </c>
      <c r="BE136" s="76" t="str">
        <f t="shared" ca="1" si="95"/>
        <v/>
      </c>
      <c r="BF136" s="76" t="str">
        <f t="shared" ca="1" si="96"/>
        <v/>
      </c>
      <c r="BG136" s="76" t="str">
        <f ca="1">IF(AZ136="","",COUNTIF(BF$54:BF136,BF136))</f>
        <v/>
      </c>
      <c r="BH136" s="76" t="str">
        <f t="shared" ca="1" si="97"/>
        <v/>
      </c>
      <c r="BI136" s="76" t="str">
        <f t="shared" ca="1" si="98"/>
        <v/>
      </c>
      <c r="BJ136" s="76">
        <f t="shared" si="51"/>
        <v>83</v>
      </c>
      <c r="BK136" s="76" t="str">
        <f t="shared" ca="1" si="99"/>
        <v/>
      </c>
      <c r="BL136" s="76" t="str">
        <f t="shared" ca="1" si="100"/>
        <v/>
      </c>
      <c r="BM136" s="76" t="str">
        <f ca="1">IF(BK136="","",COUNTIF(BL$53:BL135,BL136))</f>
        <v/>
      </c>
      <c r="BN136" s="76" t="str">
        <f t="shared" ca="1" si="101"/>
        <v/>
      </c>
      <c r="BO136" s="76" t="str">
        <f ca="1">IF(BK136="","",IF(BN136=0,0,MATCH(BL136,BL$54:BL136,0)))</f>
        <v/>
      </c>
      <c r="BP136" s="76" t="str">
        <f t="shared" ca="1" si="102"/>
        <v/>
      </c>
      <c r="BQ136" s="76" t="str">
        <f t="shared" ca="1" si="103"/>
        <v/>
      </c>
      <c r="BR136" s="76" t="str">
        <f ca="1">IF(BK136="","",COUNTIF(BQ$54:BQ136,BQ136))</f>
        <v/>
      </c>
      <c r="BS136" s="76" t="str">
        <f t="shared" ca="1" si="104"/>
        <v/>
      </c>
      <c r="BT136" s="76" t="str">
        <f t="shared" ca="1" si="105"/>
        <v/>
      </c>
      <c r="BU136" s="76">
        <f t="shared" si="52"/>
        <v>83</v>
      </c>
      <c r="BV136" s="76" t="str">
        <f t="shared" ca="1" si="106"/>
        <v/>
      </c>
      <c r="BW136" s="76" t="str">
        <f t="shared" ca="1" si="107"/>
        <v/>
      </c>
      <c r="BX136" s="76" t="str">
        <f ca="1">IF(BV136="","",COUNTIF(BW$53:BW135,BW136))</f>
        <v/>
      </c>
      <c r="BY136" s="76" t="str">
        <f t="shared" ca="1" si="108"/>
        <v/>
      </c>
      <c r="BZ136" s="76" t="str">
        <f ca="1">IF(BV136="","",IF(BY136=0,0,MATCH(BW136,BW$54:BW136,0)))</f>
        <v/>
      </c>
      <c r="CA136" s="76" t="str">
        <f t="shared" ca="1" si="109"/>
        <v/>
      </c>
      <c r="CB136" s="76" t="str">
        <f t="shared" ca="1" si="110"/>
        <v/>
      </c>
      <c r="CC136" s="76" t="str">
        <f ca="1">IF(BV136="","",COUNTIF(CB$54:CB136,CB136))</f>
        <v/>
      </c>
      <c r="CD136" s="76" t="str">
        <f t="shared" ca="1" si="111"/>
        <v/>
      </c>
      <c r="CE136" s="76" t="str">
        <f t="shared" ca="1" si="112"/>
        <v/>
      </c>
    </row>
    <row r="137" spans="14:83">
      <c r="N137" s="35">
        <f t="shared" si="113"/>
        <v>0</v>
      </c>
      <c r="O137" s="35">
        <f t="shared" si="83"/>
        <v>28</v>
      </c>
      <c r="P137" s="35">
        <f t="shared" si="114"/>
        <v>1</v>
      </c>
      <c r="Q137" s="35">
        <f t="shared" si="84"/>
        <v>3</v>
      </c>
      <c r="R137" s="35">
        <f t="shared" si="115"/>
        <v>1</v>
      </c>
      <c r="AJ137" s="76">
        <v>84</v>
      </c>
      <c r="AK137" s="76" t="str">
        <f t="shared" ca="1" si="116"/>
        <v/>
      </c>
      <c r="AL137" s="76" t="str">
        <f t="shared" ca="1" si="117"/>
        <v/>
      </c>
      <c r="AM137" s="76"/>
      <c r="AN137" s="76"/>
      <c r="AO137" s="76" t="str">
        <f t="shared" ca="1" si="85"/>
        <v/>
      </c>
      <c r="AP137" s="76" t="str">
        <f t="shared" ca="1" si="86"/>
        <v/>
      </c>
      <c r="AQ137" s="76" t="str">
        <f t="shared" ca="1" si="87"/>
        <v/>
      </c>
      <c r="AR137" s="76">
        <f ca="1">COUNTIF($AQ$54:$AQ137,AR$53)</f>
        <v>0</v>
      </c>
      <c r="AS137" s="76">
        <f ca="1">COUNTIF($AQ$54:$AQ137,AS$53)</f>
        <v>0</v>
      </c>
      <c r="AT137" s="76">
        <f ca="1">COUNTIF($AQ$54:$AQ137,AT$53)</f>
        <v>0</v>
      </c>
      <c r="AU137" s="76" t="str">
        <f t="shared" ca="1" si="88"/>
        <v/>
      </c>
      <c r="AV137" s="76" t="str">
        <f t="shared" ca="1" si="89"/>
        <v/>
      </c>
      <c r="AW137" s="76" t="str">
        <f t="shared" ca="1" si="90"/>
        <v/>
      </c>
      <c r="AX137" s="76"/>
      <c r="AY137" s="76">
        <f t="shared" si="91"/>
        <v>84</v>
      </c>
      <c r="AZ137" s="76" t="str">
        <f t="shared" ca="1" si="92"/>
        <v/>
      </c>
      <c r="BA137" s="76" t="str">
        <f t="shared" ca="1" si="93"/>
        <v/>
      </c>
      <c r="BB137" s="76" t="str">
        <f ca="1">IF(AZ137="","",COUNTIF(BA$53:BA136,BA137))</f>
        <v/>
      </c>
      <c r="BC137" s="76" t="str">
        <f t="shared" ca="1" si="94"/>
        <v/>
      </c>
      <c r="BD137" s="76" t="str">
        <f ca="1">IF(AZ137="","",IF(BC137=0,0,MATCH(BA137,BA$54:BA137,0)))</f>
        <v/>
      </c>
      <c r="BE137" s="76" t="str">
        <f t="shared" ca="1" si="95"/>
        <v/>
      </c>
      <c r="BF137" s="76" t="str">
        <f t="shared" ca="1" si="96"/>
        <v/>
      </c>
      <c r="BG137" s="76" t="str">
        <f ca="1">IF(AZ137="","",COUNTIF(BF$54:BF137,BF137))</f>
        <v/>
      </c>
      <c r="BH137" s="76" t="str">
        <f t="shared" ca="1" si="97"/>
        <v/>
      </c>
      <c r="BI137" s="76" t="str">
        <f t="shared" ca="1" si="98"/>
        <v/>
      </c>
      <c r="BJ137" s="76">
        <f t="shared" si="51"/>
        <v>84</v>
      </c>
      <c r="BK137" s="76" t="str">
        <f t="shared" ca="1" si="99"/>
        <v/>
      </c>
      <c r="BL137" s="76" t="str">
        <f t="shared" ca="1" si="100"/>
        <v/>
      </c>
      <c r="BM137" s="76" t="str">
        <f ca="1">IF(BK137="","",COUNTIF(BL$53:BL136,BL137))</f>
        <v/>
      </c>
      <c r="BN137" s="76" t="str">
        <f t="shared" ca="1" si="101"/>
        <v/>
      </c>
      <c r="BO137" s="76" t="str">
        <f ca="1">IF(BK137="","",IF(BN137=0,0,MATCH(BL137,BL$54:BL137,0)))</f>
        <v/>
      </c>
      <c r="BP137" s="76" t="str">
        <f t="shared" ca="1" si="102"/>
        <v/>
      </c>
      <c r="BQ137" s="76" t="str">
        <f t="shared" ca="1" si="103"/>
        <v/>
      </c>
      <c r="BR137" s="76" t="str">
        <f ca="1">IF(BK137="","",COUNTIF(BQ$54:BQ137,BQ137))</f>
        <v/>
      </c>
      <c r="BS137" s="76" t="str">
        <f t="shared" ca="1" si="104"/>
        <v/>
      </c>
      <c r="BT137" s="76" t="str">
        <f t="shared" ca="1" si="105"/>
        <v/>
      </c>
      <c r="BU137" s="76">
        <f t="shared" si="52"/>
        <v>84</v>
      </c>
      <c r="BV137" s="76" t="str">
        <f t="shared" ca="1" si="106"/>
        <v/>
      </c>
      <c r="BW137" s="76" t="str">
        <f t="shared" ca="1" si="107"/>
        <v/>
      </c>
      <c r="BX137" s="76" t="str">
        <f ca="1">IF(BV137="","",COUNTIF(BW$53:BW136,BW137))</f>
        <v/>
      </c>
      <c r="BY137" s="76" t="str">
        <f t="shared" ca="1" si="108"/>
        <v/>
      </c>
      <c r="BZ137" s="76" t="str">
        <f ca="1">IF(BV137="","",IF(BY137=0,0,MATCH(BW137,BW$54:BW137,0)))</f>
        <v/>
      </c>
      <c r="CA137" s="76" t="str">
        <f t="shared" ca="1" si="109"/>
        <v/>
      </c>
      <c r="CB137" s="76" t="str">
        <f t="shared" ca="1" si="110"/>
        <v/>
      </c>
      <c r="CC137" s="76" t="str">
        <f ca="1">IF(BV137="","",COUNTIF(CB$54:CB137,CB137))</f>
        <v/>
      </c>
      <c r="CD137" s="76" t="str">
        <f t="shared" ca="1" si="111"/>
        <v/>
      </c>
      <c r="CE137" s="76" t="str">
        <f t="shared" ca="1" si="112"/>
        <v/>
      </c>
    </row>
    <row r="138" spans="14:83">
      <c r="N138" s="35">
        <f t="shared" si="113"/>
        <v>1</v>
      </c>
      <c r="O138" s="35">
        <f t="shared" si="83"/>
        <v>29</v>
      </c>
      <c r="P138" s="35">
        <f t="shared" si="114"/>
        <v>1</v>
      </c>
      <c r="Q138" s="35">
        <f t="shared" si="84"/>
        <v>1</v>
      </c>
      <c r="R138" s="35">
        <f t="shared" si="115"/>
        <v>1</v>
      </c>
      <c r="AJ138" s="76">
        <v>85</v>
      </c>
      <c r="AK138" s="76" t="str">
        <f t="shared" ca="1" si="116"/>
        <v/>
      </c>
      <c r="AL138" s="76" t="str">
        <f t="shared" ca="1" si="117"/>
        <v/>
      </c>
      <c r="AM138" s="76"/>
      <c r="AN138" s="76"/>
      <c r="AO138" s="76" t="str">
        <f t="shared" ca="1" si="85"/>
        <v/>
      </c>
      <c r="AP138" s="76" t="str">
        <f t="shared" ca="1" si="86"/>
        <v/>
      </c>
      <c r="AQ138" s="76" t="str">
        <f t="shared" ca="1" si="87"/>
        <v/>
      </c>
      <c r="AR138" s="76">
        <f ca="1">COUNTIF($AQ$54:$AQ138,AR$53)</f>
        <v>0</v>
      </c>
      <c r="AS138" s="76">
        <f ca="1">COUNTIF($AQ$54:$AQ138,AS$53)</f>
        <v>0</v>
      </c>
      <c r="AT138" s="76">
        <f ca="1">COUNTIF($AQ$54:$AQ138,AT$53)</f>
        <v>0</v>
      </c>
      <c r="AU138" s="76" t="str">
        <f t="shared" ca="1" si="88"/>
        <v/>
      </c>
      <c r="AV138" s="76" t="str">
        <f t="shared" ca="1" si="89"/>
        <v/>
      </c>
      <c r="AW138" s="76" t="str">
        <f t="shared" ca="1" si="90"/>
        <v/>
      </c>
      <c r="AX138" s="76"/>
      <c r="AY138" s="76">
        <f t="shared" si="91"/>
        <v>85</v>
      </c>
      <c r="AZ138" s="76" t="str">
        <f t="shared" ca="1" si="92"/>
        <v/>
      </c>
      <c r="BA138" s="76" t="str">
        <f t="shared" ca="1" si="93"/>
        <v/>
      </c>
      <c r="BB138" s="76" t="str">
        <f ca="1">IF(AZ138="","",COUNTIF(BA$53:BA137,BA138))</f>
        <v/>
      </c>
      <c r="BC138" s="76" t="str">
        <f t="shared" ca="1" si="94"/>
        <v/>
      </c>
      <c r="BD138" s="76" t="str">
        <f ca="1">IF(AZ138="","",IF(BC138=0,0,MATCH(BA138,BA$54:BA138,0)))</f>
        <v/>
      </c>
      <c r="BE138" s="76" t="str">
        <f t="shared" ca="1" si="95"/>
        <v/>
      </c>
      <c r="BF138" s="76" t="str">
        <f t="shared" ca="1" si="96"/>
        <v/>
      </c>
      <c r="BG138" s="76" t="str">
        <f ca="1">IF(AZ138="","",COUNTIF(BF$54:BF138,BF138))</f>
        <v/>
      </c>
      <c r="BH138" s="76" t="str">
        <f t="shared" ca="1" si="97"/>
        <v/>
      </c>
      <c r="BI138" s="76" t="str">
        <f t="shared" ca="1" si="98"/>
        <v/>
      </c>
      <c r="BJ138" s="76">
        <f t="shared" si="51"/>
        <v>85</v>
      </c>
      <c r="BK138" s="76" t="str">
        <f t="shared" ca="1" si="99"/>
        <v/>
      </c>
      <c r="BL138" s="76" t="str">
        <f t="shared" ca="1" si="100"/>
        <v/>
      </c>
      <c r="BM138" s="76" t="str">
        <f ca="1">IF(BK138="","",COUNTIF(BL$53:BL137,BL138))</f>
        <v/>
      </c>
      <c r="BN138" s="76" t="str">
        <f t="shared" ca="1" si="101"/>
        <v/>
      </c>
      <c r="BO138" s="76" t="str">
        <f ca="1">IF(BK138="","",IF(BN138=0,0,MATCH(BL138,BL$54:BL138,0)))</f>
        <v/>
      </c>
      <c r="BP138" s="76" t="str">
        <f t="shared" ca="1" si="102"/>
        <v/>
      </c>
      <c r="BQ138" s="76" t="str">
        <f t="shared" ca="1" si="103"/>
        <v/>
      </c>
      <c r="BR138" s="76" t="str">
        <f ca="1">IF(BK138="","",COUNTIF(BQ$54:BQ138,BQ138))</f>
        <v/>
      </c>
      <c r="BS138" s="76" t="str">
        <f t="shared" ca="1" si="104"/>
        <v/>
      </c>
      <c r="BT138" s="76" t="str">
        <f t="shared" ca="1" si="105"/>
        <v/>
      </c>
      <c r="BU138" s="76">
        <f t="shared" si="52"/>
        <v>85</v>
      </c>
      <c r="BV138" s="76" t="str">
        <f t="shared" ca="1" si="106"/>
        <v/>
      </c>
      <c r="BW138" s="76" t="str">
        <f t="shared" ca="1" si="107"/>
        <v/>
      </c>
      <c r="BX138" s="76" t="str">
        <f ca="1">IF(BV138="","",COUNTIF(BW$53:BW137,BW138))</f>
        <v/>
      </c>
      <c r="BY138" s="76" t="str">
        <f t="shared" ca="1" si="108"/>
        <v/>
      </c>
      <c r="BZ138" s="76" t="str">
        <f ca="1">IF(BV138="","",IF(BY138=0,0,MATCH(BW138,BW$54:BW138,0)))</f>
        <v/>
      </c>
      <c r="CA138" s="76" t="str">
        <f t="shared" ca="1" si="109"/>
        <v/>
      </c>
      <c r="CB138" s="76" t="str">
        <f t="shared" ca="1" si="110"/>
        <v/>
      </c>
      <c r="CC138" s="76" t="str">
        <f ca="1">IF(BV138="","",COUNTIF(CB$54:CB138,CB138))</f>
        <v/>
      </c>
      <c r="CD138" s="76" t="str">
        <f t="shared" ca="1" si="111"/>
        <v/>
      </c>
      <c r="CE138" s="76" t="str">
        <f t="shared" ca="1" si="112"/>
        <v/>
      </c>
    </row>
    <row r="139" spans="14:83">
      <c r="N139" s="35">
        <f t="shared" si="113"/>
        <v>1</v>
      </c>
      <c r="O139" s="35">
        <f t="shared" si="83"/>
        <v>29</v>
      </c>
      <c r="P139" s="35">
        <f t="shared" si="114"/>
        <v>2</v>
      </c>
      <c r="Q139" s="35">
        <f t="shared" si="84"/>
        <v>2</v>
      </c>
      <c r="R139" s="35">
        <f t="shared" si="115"/>
        <v>2</v>
      </c>
      <c r="AJ139" s="76">
        <v>86</v>
      </c>
      <c r="AK139" s="76" t="str">
        <f t="shared" ca="1" si="116"/>
        <v/>
      </c>
      <c r="AL139" s="76" t="str">
        <f t="shared" ca="1" si="117"/>
        <v/>
      </c>
      <c r="AM139" s="76"/>
      <c r="AN139" s="76"/>
      <c r="AO139" s="76" t="str">
        <f t="shared" ca="1" si="85"/>
        <v/>
      </c>
      <c r="AP139" s="76" t="str">
        <f t="shared" ca="1" si="86"/>
        <v/>
      </c>
      <c r="AQ139" s="76" t="str">
        <f t="shared" ca="1" si="87"/>
        <v/>
      </c>
      <c r="AR139" s="76">
        <f ca="1">COUNTIF($AQ$54:$AQ139,AR$53)</f>
        <v>0</v>
      </c>
      <c r="AS139" s="76">
        <f ca="1">COUNTIF($AQ$54:$AQ139,AS$53)</f>
        <v>0</v>
      </c>
      <c r="AT139" s="76">
        <f ca="1">COUNTIF($AQ$54:$AQ139,AT$53)</f>
        <v>0</v>
      </c>
      <c r="AU139" s="76" t="str">
        <f t="shared" ca="1" si="88"/>
        <v/>
      </c>
      <c r="AV139" s="76" t="str">
        <f t="shared" ca="1" si="89"/>
        <v/>
      </c>
      <c r="AW139" s="76" t="str">
        <f t="shared" ca="1" si="90"/>
        <v/>
      </c>
      <c r="AX139" s="76"/>
      <c r="AY139" s="76">
        <f t="shared" si="91"/>
        <v>86</v>
      </c>
      <c r="AZ139" s="76" t="str">
        <f t="shared" ca="1" si="92"/>
        <v/>
      </c>
      <c r="BA139" s="76" t="str">
        <f t="shared" ca="1" si="93"/>
        <v/>
      </c>
      <c r="BB139" s="76" t="str">
        <f ca="1">IF(AZ139="","",COUNTIF(BA$53:BA138,BA139))</f>
        <v/>
      </c>
      <c r="BC139" s="76" t="str">
        <f t="shared" ca="1" si="94"/>
        <v/>
      </c>
      <c r="BD139" s="76" t="str">
        <f ca="1">IF(AZ139="","",IF(BC139=0,0,MATCH(BA139,BA$54:BA139,0)))</f>
        <v/>
      </c>
      <c r="BE139" s="76" t="str">
        <f t="shared" ca="1" si="95"/>
        <v/>
      </c>
      <c r="BF139" s="76" t="str">
        <f t="shared" ca="1" si="96"/>
        <v/>
      </c>
      <c r="BG139" s="76" t="str">
        <f ca="1">IF(AZ139="","",COUNTIF(BF$54:BF139,BF139))</f>
        <v/>
      </c>
      <c r="BH139" s="76" t="str">
        <f t="shared" ca="1" si="97"/>
        <v/>
      </c>
      <c r="BI139" s="76" t="str">
        <f t="shared" ca="1" si="98"/>
        <v/>
      </c>
      <c r="BJ139" s="76">
        <f t="shared" si="51"/>
        <v>86</v>
      </c>
      <c r="BK139" s="76" t="str">
        <f t="shared" ca="1" si="99"/>
        <v/>
      </c>
      <c r="BL139" s="76" t="str">
        <f t="shared" ca="1" si="100"/>
        <v/>
      </c>
      <c r="BM139" s="76" t="str">
        <f ca="1">IF(BK139="","",COUNTIF(BL$53:BL138,BL139))</f>
        <v/>
      </c>
      <c r="BN139" s="76" t="str">
        <f t="shared" ca="1" si="101"/>
        <v/>
      </c>
      <c r="BO139" s="76" t="str">
        <f ca="1">IF(BK139="","",IF(BN139=0,0,MATCH(BL139,BL$54:BL139,0)))</f>
        <v/>
      </c>
      <c r="BP139" s="76" t="str">
        <f t="shared" ca="1" si="102"/>
        <v/>
      </c>
      <c r="BQ139" s="76" t="str">
        <f t="shared" ca="1" si="103"/>
        <v/>
      </c>
      <c r="BR139" s="76" t="str">
        <f ca="1">IF(BK139="","",COUNTIF(BQ$54:BQ139,BQ139))</f>
        <v/>
      </c>
      <c r="BS139" s="76" t="str">
        <f t="shared" ca="1" si="104"/>
        <v/>
      </c>
      <c r="BT139" s="76" t="str">
        <f t="shared" ca="1" si="105"/>
        <v/>
      </c>
      <c r="BU139" s="76">
        <f t="shared" si="52"/>
        <v>86</v>
      </c>
      <c r="BV139" s="76" t="str">
        <f t="shared" ca="1" si="106"/>
        <v/>
      </c>
      <c r="BW139" s="76" t="str">
        <f t="shared" ca="1" si="107"/>
        <v/>
      </c>
      <c r="BX139" s="76" t="str">
        <f ca="1">IF(BV139="","",COUNTIF(BW$53:BW138,BW139))</f>
        <v/>
      </c>
      <c r="BY139" s="76" t="str">
        <f t="shared" ca="1" si="108"/>
        <v/>
      </c>
      <c r="BZ139" s="76" t="str">
        <f ca="1">IF(BV139="","",IF(BY139=0,0,MATCH(BW139,BW$54:BW139,0)))</f>
        <v/>
      </c>
      <c r="CA139" s="76" t="str">
        <f t="shared" ca="1" si="109"/>
        <v/>
      </c>
      <c r="CB139" s="76" t="str">
        <f t="shared" ca="1" si="110"/>
        <v/>
      </c>
      <c r="CC139" s="76" t="str">
        <f ca="1">IF(BV139="","",COUNTIF(CB$54:CB139,CB139))</f>
        <v/>
      </c>
      <c r="CD139" s="76" t="str">
        <f t="shared" ca="1" si="111"/>
        <v/>
      </c>
      <c r="CE139" s="76" t="str">
        <f t="shared" ca="1" si="112"/>
        <v/>
      </c>
    </row>
    <row r="140" spans="14:83">
      <c r="N140" s="35">
        <f t="shared" si="113"/>
        <v>1</v>
      </c>
      <c r="O140" s="35">
        <f t="shared" si="83"/>
        <v>29</v>
      </c>
      <c r="P140" s="35">
        <f t="shared" si="114"/>
        <v>3</v>
      </c>
      <c r="Q140" s="35">
        <f t="shared" si="84"/>
        <v>3</v>
      </c>
      <c r="R140" s="35">
        <f t="shared" si="115"/>
        <v>3</v>
      </c>
      <c r="AJ140" s="76">
        <v>87</v>
      </c>
      <c r="AK140" s="76" t="str">
        <f t="shared" ca="1" si="116"/>
        <v/>
      </c>
      <c r="AL140" s="76" t="str">
        <f t="shared" ca="1" si="117"/>
        <v/>
      </c>
      <c r="AM140" s="76"/>
      <c r="AN140" s="76"/>
      <c r="AO140" s="76" t="str">
        <f t="shared" ca="1" si="85"/>
        <v/>
      </c>
      <c r="AP140" s="76" t="str">
        <f t="shared" ca="1" si="86"/>
        <v/>
      </c>
      <c r="AQ140" s="76" t="str">
        <f t="shared" ca="1" si="87"/>
        <v/>
      </c>
      <c r="AR140" s="76">
        <f ca="1">COUNTIF($AQ$54:$AQ140,AR$53)</f>
        <v>0</v>
      </c>
      <c r="AS140" s="76">
        <f ca="1">COUNTIF($AQ$54:$AQ140,AS$53)</f>
        <v>0</v>
      </c>
      <c r="AT140" s="76">
        <f ca="1">COUNTIF($AQ$54:$AQ140,AT$53)</f>
        <v>0</v>
      </c>
      <c r="AU140" s="76" t="str">
        <f t="shared" ca="1" si="88"/>
        <v/>
      </c>
      <c r="AV140" s="76" t="str">
        <f t="shared" ca="1" si="89"/>
        <v/>
      </c>
      <c r="AW140" s="76" t="str">
        <f t="shared" ca="1" si="90"/>
        <v/>
      </c>
      <c r="AX140" s="76"/>
      <c r="AY140" s="76">
        <f t="shared" si="91"/>
        <v>87</v>
      </c>
      <c r="AZ140" s="76" t="str">
        <f t="shared" ca="1" si="92"/>
        <v/>
      </c>
      <c r="BA140" s="76" t="str">
        <f t="shared" ca="1" si="93"/>
        <v/>
      </c>
      <c r="BB140" s="76" t="str">
        <f ca="1">IF(AZ140="","",COUNTIF(BA$53:BA139,BA140))</f>
        <v/>
      </c>
      <c r="BC140" s="76" t="str">
        <f t="shared" ca="1" si="94"/>
        <v/>
      </c>
      <c r="BD140" s="76" t="str">
        <f ca="1">IF(AZ140="","",IF(BC140=0,0,MATCH(BA140,BA$54:BA140,0)))</f>
        <v/>
      </c>
      <c r="BE140" s="76" t="str">
        <f t="shared" ca="1" si="95"/>
        <v/>
      </c>
      <c r="BF140" s="76" t="str">
        <f t="shared" ca="1" si="96"/>
        <v/>
      </c>
      <c r="BG140" s="76" t="str">
        <f ca="1">IF(AZ140="","",COUNTIF(BF$54:BF140,BF140))</f>
        <v/>
      </c>
      <c r="BH140" s="76" t="str">
        <f t="shared" ca="1" si="97"/>
        <v/>
      </c>
      <c r="BI140" s="76" t="str">
        <f t="shared" ca="1" si="98"/>
        <v/>
      </c>
      <c r="BJ140" s="76">
        <f t="shared" si="51"/>
        <v>87</v>
      </c>
      <c r="BK140" s="76" t="str">
        <f t="shared" ca="1" si="99"/>
        <v/>
      </c>
      <c r="BL140" s="76" t="str">
        <f t="shared" ca="1" si="100"/>
        <v/>
      </c>
      <c r="BM140" s="76" t="str">
        <f ca="1">IF(BK140="","",COUNTIF(BL$53:BL139,BL140))</f>
        <v/>
      </c>
      <c r="BN140" s="76" t="str">
        <f t="shared" ca="1" si="101"/>
        <v/>
      </c>
      <c r="BO140" s="76" t="str">
        <f ca="1">IF(BK140="","",IF(BN140=0,0,MATCH(BL140,BL$54:BL140,0)))</f>
        <v/>
      </c>
      <c r="BP140" s="76" t="str">
        <f t="shared" ca="1" si="102"/>
        <v/>
      </c>
      <c r="BQ140" s="76" t="str">
        <f t="shared" ca="1" si="103"/>
        <v/>
      </c>
      <c r="BR140" s="76" t="str">
        <f ca="1">IF(BK140="","",COUNTIF(BQ$54:BQ140,BQ140))</f>
        <v/>
      </c>
      <c r="BS140" s="76" t="str">
        <f t="shared" ca="1" si="104"/>
        <v/>
      </c>
      <c r="BT140" s="76" t="str">
        <f t="shared" ca="1" si="105"/>
        <v/>
      </c>
      <c r="BU140" s="76">
        <f t="shared" si="52"/>
        <v>87</v>
      </c>
      <c r="BV140" s="76" t="str">
        <f t="shared" ca="1" si="106"/>
        <v/>
      </c>
      <c r="BW140" s="76" t="str">
        <f t="shared" ca="1" si="107"/>
        <v/>
      </c>
      <c r="BX140" s="76" t="str">
        <f ca="1">IF(BV140="","",COUNTIF(BW$53:BW139,BW140))</f>
        <v/>
      </c>
      <c r="BY140" s="76" t="str">
        <f t="shared" ca="1" si="108"/>
        <v/>
      </c>
      <c r="BZ140" s="76" t="str">
        <f ca="1">IF(BV140="","",IF(BY140=0,0,MATCH(BW140,BW$54:BW140,0)))</f>
        <v/>
      </c>
      <c r="CA140" s="76" t="str">
        <f t="shared" ca="1" si="109"/>
        <v/>
      </c>
      <c r="CB140" s="76" t="str">
        <f t="shared" ca="1" si="110"/>
        <v/>
      </c>
      <c r="CC140" s="76" t="str">
        <f ca="1">IF(BV140="","",COUNTIF(CB$54:CB140,CB140))</f>
        <v/>
      </c>
      <c r="CD140" s="76" t="str">
        <f t="shared" ca="1" si="111"/>
        <v/>
      </c>
      <c r="CE140" s="76" t="str">
        <f t="shared" ca="1" si="112"/>
        <v/>
      </c>
    </row>
    <row r="141" spans="14:83">
      <c r="N141" s="35">
        <f t="shared" si="113"/>
        <v>0</v>
      </c>
      <c r="O141" s="35">
        <f t="shared" si="83"/>
        <v>30</v>
      </c>
      <c r="P141" s="35">
        <f t="shared" si="114"/>
        <v>3</v>
      </c>
      <c r="Q141" s="35">
        <f t="shared" si="84"/>
        <v>1</v>
      </c>
      <c r="R141" s="35">
        <f t="shared" si="115"/>
        <v>3</v>
      </c>
      <c r="AJ141" s="76">
        <v>88</v>
      </c>
      <c r="AK141" s="76" t="str">
        <f t="shared" ca="1" si="116"/>
        <v/>
      </c>
      <c r="AL141" s="76" t="str">
        <f t="shared" ca="1" si="117"/>
        <v/>
      </c>
      <c r="AM141" s="76"/>
      <c r="AN141" s="76"/>
      <c r="AO141" s="76" t="str">
        <f t="shared" ca="1" si="85"/>
        <v/>
      </c>
      <c r="AP141" s="76" t="str">
        <f t="shared" ca="1" si="86"/>
        <v/>
      </c>
      <c r="AQ141" s="76" t="str">
        <f t="shared" ca="1" si="87"/>
        <v/>
      </c>
      <c r="AR141" s="76">
        <f ca="1">COUNTIF($AQ$54:$AQ141,AR$53)</f>
        <v>0</v>
      </c>
      <c r="AS141" s="76">
        <f ca="1">COUNTIF($AQ$54:$AQ141,AS$53)</f>
        <v>0</v>
      </c>
      <c r="AT141" s="76">
        <f ca="1">COUNTIF($AQ$54:$AQ141,AT$53)</f>
        <v>0</v>
      </c>
      <c r="AU141" s="76" t="str">
        <f t="shared" ca="1" si="88"/>
        <v/>
      </c>
      <c r="AV141" s="76" t="str">
        <f t="shared" ca="1" si="89"/>
        <v/>
      </c>
      <c r="AW141" s="76" t="str">
        <f t="shared" ca="1" si="90"/>
        <v/>
      </c>
      <c r="AX141" s="76"/>
      <c r="AY141" s="76">
        <f t="shared" si="91"/>
        <v>88</v>
      </c>
      <c r="AZ141" s="76" t="str">
        <f t="shared" ca="1" si="92"/>
        <v/>
      </c>
      <c r="BA141" s="76" t="str">
        <f t="shared" ca="1" si="93"/>
        <v/>
      </c>
      <c r="BB141" s="76" t="str">
        <f ca="1">IF(AZ141="","",COUNTIF(BA$53:BA140,BA141))</f>
        <v/>
      </c>
      <c r="BC141" s="76" t="str">
        <f t="shared" ca="1" si="94"/>
        <v/>
      </c>
      <c r="BD141" s="76" t="str">
        <f ca="1">IF(AZ141="","",IF(BC141=0,0,MATCH(BA141,BA$54:BA141,0)))</f>
        <v/>
      </c>
      <c r="BE141" s="76" t="str">
        <f t="shared" ca="1" si="95"/>
        <v/>
      </c>
      <c r="BF141" s="76" t="str">
        <f t="shared" ca="1" si="96"/>
        <v/>
      </c>
      <c r="BG141" s="76" t="str">
        <f ca="1">IF(AZ141="","",COUNTIF(BF$54:BF141,BF141))</f>
        <v/>
      </c>
      <c r="BH141" s="76" t="str">
        <f t="shared" ca="1" si="97"/>
        <v/>
      </c>
      <c r="BI141" s="76" t="str">
        <f t="shared" ca="1" si="98"/>
        <v/>
      </c>
      <c r="BJ141" s="76">
        <f t="shared" si="51"/>
        <v>88</v>
      </c>
      <c r="BK141" s="76" t="str">
        <f t="shared" ca="1" si="99"/>
        <v/>
      </c>
      <c r="BL141" s="76" t="str">
        <f t="shared" ca="1" si="100"/>
        <v/>
      </c>
      <c r="BM141" s="76" t="str">
        <f ca="1">IF(BK141="","",COUNTIF(BL$53:BL140,BL141))</f>
        <v/>
      </c>
      <c r="BN141" s="76" t="str">
        <f t="shared" ca="1" si="101"/>
        <v/>
      </c>
      <c r="BO141" s="76" t="str">
        <f ca="1">IF(BK141="","",IF(BN141=0,0,MATCH(BL141,BL$54:BL141,0)))</f>
        <v/>
      </c>
      <c r="BP141" s="76" t="str">
        <f t="shared" ca="1" si="102"/>
        <v/>
      </c>
      <c r="BQ141" s="76" t="str">
        <f t="shared" ca="1" si="103"/>
        <v/>
      </c>
      <c r="BR141" s="76" t="str">
        <f ca="1">IF(BK141="","",COUNTIF(BQ$54:BQ141,BQ141))</f>
        <v/>
      </c>
      <c r="BS141" s="76" t="str">
        <f t="shared" ca="1" si="104"/>
        <v/>
      </c>
      <c r="BT141" s="76" t="str">
        <f t="shared" ca="1" si="105"/>
        <v/>
      </c>
      <c r="BU141" s="76">
        <f t="shared" si="52"/>
        <v>88</v>
      </c>
      <c r="BV141" s="76" t="str">
        <f t="shared" ca="1" si="106"/>
        <v/>
      </c>
      <c r="BW141" s="76" t="str">
        <f t="shared" ca="1" si="107"/>
        <v/>
      </c>
      <c r="BX141" s="76" t="str">
        <f ca="1">IF(BV141="","",COUNTIF(BW$53:BW140,BW141))</f>
        <v/>
      </c>
      <c r="BY141" s="76" t="str">
        <f t="shared" ca="1" si="108"/>
        <v/>
      </c>
      <c r="BZ141" s="76" t="str">
        <f ca="1">IF(BV141="","",IF(BY141=0,0,MATCH(BW141,BW$54:BW141,0)))</f>
        <v/>
      </c>
      <c r="CA141" s="76" t="str">
        <f t="shared" ca="1" si="109"/>
        <v/>
      </c>
      <c r="CB141" s="76" t="str">
        <f t="shared" ca="1" si="110"/>
        <v/>
      </c>
      <c r="CC141" s="76" t="str">
        <f ca="1">IF(BV141="","",COUNTIF(CB$54:CB141,CB141))</f>
        <v/>
      </c>
      <c r="CD141" s="76" t="str">
        <f t="shared" ca="1" si="111"/>
        <v/>
      </c>
      <c r="CE141" s="76" t="str">
        <f t="shared" ca="1" si="112"/>
        <v/>
      </c>
    </row>
    <row r="142" spans="14:83">
      <c r="N142" s="35">
        <f t="shared" si="113"/>
        <v>0</v>
      </c>
      <c r="O142" s="35">
        <f t="shared" si="83"/>
        <v>30</v>
      </c>
      <c r="P142" s="35">
        <f t="shared" si="114"/>
        <v>2</v>
      </c>
      <c r="Q142" s="35">
        <f t="shared" si="84"/>
        <v>2</v>
      </c>
      <c r="R142" s="35">
        <f t="shared" si="115"/>
        <v>2</v>
      </c>
      <c r="AJ142" s="76">
        <v>89</v>
      </c>
      <c r="AK142" s="76" t="str">
        <f t="shared" ca="1" si="116"/>
        <v/>
      </c>
      <c r="AL142" s="76" t="str">
        <f t="shared" ca="1" si="117"/>
        <v/>
      </c>
      <c r="AM142" s="76"/>
      <c r="AN142" s="76"/>
      <c r="AO142" s="76" t="str">
        <f t="shared" ca="1" si="85"/>
        <v/>
      </c>
      <c r="AP142" s="76" t="str">
        <f t="shared" ca="1" si="86"/>
        <v/>
      </c>
      <c r="AQ142" s="76" t="str">
        <f t="shared" ca="1" si="87"/>
        <v/>
      </c>
      <c r="AR142" s="76">
        <f ca="1">COUNTIF($AQ$54:$AQ142,AR$53)</f>
        <v>0</v>
      </c>
      <c r="AS142" s="76">
        <f ca="1">COUNTIF($AQ$54:$AQ142,AS$53)</f>
        <v>0</v>
      </c>
      <c r="AT142" s="76">
        <f ca="1">COUNTIF($AQ$54:$AQ142,AT$53)</f>
        <v>0</v>
      </c>
      <c r="AU142" s="76" t="str">
        <f t="shared" ca="1" si="88"/>
        <v/>
      </c>
      <c r="AV142" s="76" t="str">
        <f t="shared" ca="1" si="89"/>
        <v/>
      </c>
      <c r="AW142" s="76" t="str">
        <f t="shared" ca="1" si="90"/>
        <v/>
      </c>
      <c r="AX142" s="76"/>
      <c r="AY142" s="76">
        <f t="shared" si="91"/>
        <v>89</v>
      </c>
      <c r="AZ142" s="76" t="str">
        <f t="shared" ca="1" si="92"/>
        <v/>
      </c>
      <c r="BA142" s="76" t="str">
        <f t="shared" ca="1" si="93"/>
        <v/>
      </c>
      <c r="BB142" s="76" t="str">
        <f ca="1">IF(AZ142="","",COUNTIF(BA$53:BA141,BA142))</f>
        <v/>
      </c>
      <c r="BC142" s="76" t="str">
        <f t="shared" ca="1" si="94"/>
        <v/>
      </c>
      <c r="BD142" s="76" t="str">
        <f ca="1">IF(AZ142="","",IF(BC142=0,0,MATCH(BA142,BA$54:BA142,0)))</f>
        <v/>
      </c>
      <c r="BE142" s="76" t="str">
        <f t="shared" ca="1" si="95"/>
        <v/>
      </c>
      <c r="BF142" s="76" t="str">
        <f t="shared" ca="1" si="96"/>
        <v/>
      </c>
      <c r="BG142" s="76" t="str">
        <f ca="1">IF(AZ142="","",COUNTIF(BF$54:BF142,BF142))</f>
        <v/>
      </c>
      <c r="BH142" s="76" t="str">
        <f t="shared" ca="1" si="97"/>
        <v/>
      </c>
      <c r="BI142" s="76" t="str">
        <f t="shared" ca="1" si="98"/>
        <v/>
      </c>
      <c r="BJ142" s="76">
        <f t="shared" si="51"/>
        <v>89</v>
      </c>
      <c r="BK142" s="76" t="str">
        <f t="shared" ca="1" si="99"/>
        <v/>
      </c>
      <c r="BL142" s="76" t="str">
        <f t="shared" ca="1" si="100"/>
        <v/>
      </c>
      <c r="BM142" s="76" t="str">
        <f ca="1">IF(BK142="","",COUNTIF(BL$53:BL141,BL142))</f>
        <v/>
      </c>
      <c r="BN142" s="76" t="str">
        <f t="shared" ca="1" si="101"/>
        <v/>
      </c>
      <c r="BO142" s="76" t="str">
        <f ca="1">IF(BK142="","",IF(BN142=0,0,MATCH(BL142,BL$54:BL142,0)))</f>
        <v/>
      </c>
      <c r="BP142" s="76" t="str">
        <f t="shared" ca="1" si="102"/>
        <v/>
      </c>
      <c r="BQ142" s="76" t="str">
        <f t="shared" ca="1" si="103"/>
        <v/>
      </c>
      <c r="BR142" s="76" t="str">
        <f ca="1">IF(BK142="","",COUNTIF(BQ$54:BQ142,BQ142))</f>
        <v/>
      </c>
      <c r="BS142" s="76" t="str">
        <f t="shared" ca="1" si="104"/>
        <v/>
      </c>
      <c r="BT142" s="76" t="str">
        <f t="shared" ca="1" si="105"/>
        <v/>
      </c>
      <c r="BU142" s="76">
        <f t="shared" si="52"/>
        <v>89</v>
      </c>
      <c r="BV142" s="76" t="str">
        <f t="shared" ca="1" si="106"/>
        <v/>
      </c>
      <c r="BW142" s="76" t="str">
        <f t="shared" ca="1" si="107"/>
        <v/>
      </c>
      <c r="BX142" s="76" t="str">
        <f ca="1">IF(BV142="","",COUNTIF(BW$53:BW141,BW142))</f>
        <v/>
      </c>
      <c r="BY142" s="76" t="str">
        <f t="shared" ca="1" si="108"/>
        <v/>
      </c>
      <c r="BZ142" s="76" t="str">
        <f ca="1">IF(BV142="","",IF(BY142=0,0,MATCH(BW142,BW$54:BW142,0)))</f>
        <v/>
      </c>
      <c r="CA142" s="76" t="str">
        <f t="shared" ca="1" si="109"/>
        <v/>
      </c>
      <c r="CB142" s="76" t="str">
        <f t="shared" ca="1" si="110"/>
        <v/>
      </c>
      <c r="CC142" s="76" t="str">
        <f ca="1">IF(BV142="","",COUNTIF(CB$54:CB142,CB142))</f>
        <v/>
      </c>
      <c r="CD142" s="76" t="str">
        <f t="shared" ca="1" si="111"/>
        <v/>
      </c>
      <c r="CE142" s="76" t="str">
        <f t="shared" ca="1" si="112"/>
        <v/>
      </c>
    </row>
    <row r="143" spans="14:83">
      <c r="N143" s="35">
        <f t="shared" si="113"/>
        <v>0</v>
      </c>
      <c r="O143" s="35">
        <f t="shared" si="83"/>
        <v>30</v>
      </c>
      <c r="P143" s="35">
        <f t="shared" si="114"/>
        <v>1</v>
      </c>
      <c r="Q143" s="35">
        <f t="shared" si="84"/>
        <v>3</v>
      </c>
      <c r="R143" s="35">
        <f t="shared" si="115"/>
        <v>1</v>
      </c>
      <c r="AJ143" s="76">
        <v>90</v>
      </c>
      <c r="AK143" s="76" t="str">
        <f t="shared" ca="1" si="116"/>
        <v/>
      </c>
      <c r="AL143" s="76" t="str">
        <f t="shared" ca="1" si="117"/>
        <v/>
      </c>
      <c r="AM143" s="76"/>
      <c r="AN143" s="76"/>
      <c r="AO143" s="76" t="str">
        <f t="shared" ca="1" si="85"/>
        <v/>
      </c>
      <c r="AP143" s="76" t="str">
        <f t="shared" ca="1" si="86"/>
        <v/>
      </c>
      <c r="AQ143" s="76" t="str">
        <f t="shared" ca="1" si="87"/>
        <v/>
      </c>
      <c r="AR143" s="76">
        <f ca="1">COUNTIF($AQ$54:$AQ143,AR$53)</f>
        <v>0</v>
      </c>
      <c r="AS143" s="76">
        <f ca="1">COUNTIF($AQ$54:$AQ143,AS$53)</f>
        <v>0</v>
      </c>
      <c r="AT143" s="76">
        <f ca="1">COUNTIF($AQ$54:$AQ143,AT$53)</f>
        <v>0</v>
      </c>
      <c r="AU143" s="76" t="str">
        <f t="shared" ca="1" si="88"/>
        <v/>
      </c>
      <c r="AV143" s="76" t="str">
        <f t="shared" ca="1" si="89"/>
        <v/>
      </c>
      <c r="AW143" s="76" t="str">
        <f t="shared" ca="1" si="90"/>
        <v/>
      </c>
      <c r="AX143" s="76"/>
      <c r="AY143" s="76">
        <f t="shared" si="91"/>
        <v>90</v>
      </c>
      <c r="AZ143" s="76" t="str">
        <f t="shared" ca="1" si="92"/>
        <v/>
      </c>
      <c r="BA143" s="76" t="str">
        <f t="shared" ca="1" si="93"/>
        <v/>
      </c>
      <c r="BB143" s="76" t="str">
        <f ca="1">IF(AZ143="","",COUNTIF(BA$53:BA142,BA143))</f>
        <v/>
      </c>
      <c r="BC143" s="76" t="str">
        <f t="shared" ca="1" si="94"/>
        <v/>
      </c>
      <c r="BD143" s="76" t="str">
        <f ca="1">IF(AZ143="","",IF(BC143=0,0,MATCH(BA143,BA$54:BA143,0)))</f>
        <v/>
      </c>
      <c r="BE143" s="76" t="str">
        <f t="shared" ca="1" si="95"/>
        <v/>
      </c>
      <c r="BF143" s="76" t="str">
        <f t="shared" ca="1" si="96"/>
        <v/>
      </c>
      <c r="BG143" s="76" t="str">
        <f ca="1">IF(AZ143="","",COUNTIF(BF$54:BF143,BF143))</f>
        <v/>
      </c>
      <c r="BH143" s="76" t="str">
        <f t="shared" ca="1" si="97"/>
        <v/>
      </c>
      <c r="BI143" s="76" t="str">
        <f t="shared" ca="1" si="98"/>
        <v/>
      </c>
      <c r="BJ143" s="76">
        <f t="shared" si="51"/>
        <v>90</v>
      </c>
      <c r="BK143" s="76" t="str">
        <f t="shared" ca="1" si="99"/>
        <v/>
      </c>
      <c r="BL143" s="76" t="str">
        <f t="shared" ca="1" si="100"/>
        <v/>
      </c>
      <c r="BM143" s="76" t="str">
        <f ca="1">IF(BK143="","",COUNTIF(BL$53:BL142,BL143))</f>
        <v/>
      </c>
      <c r="BN143" s="76" t="str">
        <f t="shared" ca="1" si="101"/>
        <v/>
      </c>
      <c r="BO143" s="76" t="str">
        <f ca="1">IF(BK143="","",IF(BN143=0,0,MATCH(BL143,BL$54:BL143,0)))</f>
        <v/>
      </c>
      <c r="BP143" s="76" t="str">
        <f t="shared" ca="1" si="102"/>
        <v/>
      </c>
      <c r="BQ143" s="76" t="str">
        <f t="shared" ca="1" si="103"/>
        <v/>
      </c>
      <c r="BR143" s="76" t="str">
        <f ca="1">IF(BK143="","",COUNTIF(BQ$54:BQ143,BQ143))</f>
        <v/>
      </c>
      <c r="BS143" s="76" t="str">
        <f t="shared" ca="1" si="104"/>
        <v/>
      </c>
      <c r="BT143" s="76" t="str">
        <f t="shared" ca="1" si="105"/>
        <v/>
      </c>
      <c r="BU143" s="76">
        <f t="shared" si="52"/>
        <v>90</v>
      </c>
      <c r="BV143" s="76" t="str">
        <f t="shared" ca="1" si="106"/>
        <v/>
      </c>
      <c r="BW143" s="76" t="str">
        <f t="shared" ca="1" si="107"/>
        <v/>
      </c>
      <c r="BX143" s="76" t="str">
        <f ca="1">IF(BV143="","",COUNTIF(BW$53:BW142,BW143))</f>
        <v/>
      </c>
      <c r="BY143" s="76" t="str">
        <f t="shared" ca="1" si="108"/>
        <v/>
      </c>
      <c r="BZ143" s="76" t="str">
        <f ca="1">IF(BV143="","",IF(BY143=0,0,MATCH(BW143,BW$54:BW143,0)))</f>
        <v/>
      </c>
      <c r="CA143" s="76" t="str">
        <f t="shared" ca="1" si="109"/>
        <v/>
      </c>
      <c r="CB143" s="76" t="str">
        <f t="shared" ca="1" si="110"/>
        <v/>
      </c>
      <c r="CC143" s="76" t="str">
        <f ca="1">IF(BV143="","",COUNTIF(CB$54:CB143,CB143))</f>
        <v/>
      </c>
      <c r="CD143" s="76" t="str">
        <f t="shared" ca="1" si="111"/>
        <v/>
      </c>
      <c r="CE143" s="76" t="str">
        <f t="shared" ca="1" si="112"/>
        <v/>
      </c>
    </row>
    <row r="144" spans="14:83">
      <c r="N144" s="35">
        <f t="shared" si="113"/>
        <v>1</v>
      </c>
      <c r="O144" s="35">
        <f t="shared" si="83"/>
        <v>31</v>
      </c>
      <c r="P144" s="35">
        <f t="shared" si="114"/>
        <v>1</v>
      </c>
      <c r="Q144" s="35">
        <f t="shared" si="84"/>
        <v>1</v>
      </c>
      <c r="R144" s="35">
        <f t="shared" si="115"/>
        <v>1</v>
      </c>
      <c r="AJ144" s="76">
        <v>91</v>
      </c>
      <c r="AK144" s="76" t="str">
        <f t="shared" ca="1" si="116"/>
        <v/>
      </c>
      <c r="AL144" s="76" t="str">
        <f t="shared" ca="1" si="117"/>
        <v/>
      </c>
      <c r="AM144" s="76"/>
      <c r="AN144" s="76"/>
      <c r="AO144" s="76" t="str">
        <f t="shared" ca="1" si="85"/>
        <v/>
      </c>
      <c r="AP144" s="76" t="str">
        <f t="shared" ca="1" si="86"/>
        <v/>
      </c>
      <c r="AQ144" s="76" t="str">
        <f t="shared" ca="1" si="87"/>
        <v/>
      </c>
      <c r="AR144" s="76">
        <f ca="1">COUNTIF($AQ$54:$AQ144,AR$53)</f>
        <v>0</v>
      </c>
      <c r="AS144" s="76">
        <f ca="1">COUNTIF($AQ$54:$AQ144,AS$53)</f>
        <v>0</v>
      </c>
      <c r="AT144" s="76">
        <f ca="1">COUNTIF($AQ$54:$AQ144,AT$53)</f>
        <v>0</v>
      </c>
      <c r="AU144" s="76" t="str">
        <f t="shared" ca="1" si="88"/>
        <v/>
      </c>
      <c r="AV144" s="76" t="str">
        <f t="shared" ca="1" si="89"/>
        <v/>
      </c>
      <c r="AW144" s="76" t="str">
        <f t="shared" ca="1" si="90"/>
        <v/>
      </c>
      <c r="AX144" s="76"/>
      <c r="AY144" s="76">
        <f t="shared" si="91"/>
        <v>91</v>
      </c>
      <c r="AZ144" s="76" t="str">
        <f t="shared" ca="1" si="92"/>
        <v/>
      </c>
      <c r="BA144" s="76" t="str">
        <f t="shared" ca="1" si="93"/>
        <v/>
      </c>
      <c r="BB144" s="76" t="str">
        <f ca="1">IF(AZ144="","",COUNTIF(BA$53:BA143,BA144))</f>
        <v/>
      </c>
      <c r="BC144" s="76" t="str">
        <f t="shared" ca="1" si="94"/>
        <v/>
      </c>
      <c r="BD144" s="76" t="str">
        <f ca="1">IF(AZ144="","",IF(BC144=0,0,MATCH(BA144,BA$54:BA144,0)))</f>
        <v/>
      </c>
      <c r="BE144" s="76" t="str">
        <f t="shared" ca="1" si="95"/>
        <v/>
      </c>
      <c r="BF144" s="76" t="str">
        <f t="shared" ca="1" si="96"/>
        <v/>
      </c>
      <c r="BG144" s="76" t="str">
        <f ca="1">IF(AZ144="","",COUNTIF(BF$54:BF144,BF144))</f>
        <v/>
      </c>
      <c r="BH144" s="76" t="str">
        <f t="shared" ca="1" si="97"/>
        <v/>
      </c>
      <c r="BI144" s="76" t="str">
        <f t="shared" ca="1" si="98"/>
        <v/>
      </c>
      <c r="BJ144" s="76">
        <f t="shared" ref="BJ144:BJ153" si="118">AJ144</f>
        <v>91</v>
      </c>
      <c r="BK144" s="76" t="str">
        <f t="shared" ca="1" si="99"/>
        <v/>
      </c>
      <c r="BL144" s="76" t="str">
        <f t="shared" ca="1" si="100"/>
        <v/>
      </c>
      <c r="BM144" s="76" t="str">
        <f ca="1">IF(BK144="","",COUNTIF(BL$53:BL143,BL144))</f>
        <v/>
      </c>
      <c r="BN144" s="76" t="str">
        <f t="shared" ca="1" si="101"/>
        <v/>
      </c>
      <c r="BO144" s="76" t="str">
        <f ca="1">IF(BK144="","",IF(BN144=0,0,MATCH(BL144,BL$54:BL144,0)))</f>
        <v/>
      </c>
      <c r="BP144" s="76" t="str">
        <f t="shared" ca="1" si="102"/>
        <v/>
      </c>
      <c r="BQ144" s="76" t="str">
        <f t="shared" ca="1" si="103"/>
        <v/>
      </c>
      <c r="BR144" s="76" t="str">
        <f ca="1">IF(BK144="","",COUNTIF(BQ$54:BQ144,BQ144))</f>
        <v/>
      </c>
      <c r="BS144" s="76" t="str">
        <f t="shared" ca="1" si="104"/>
        <v/>
      </c>
      <c r="BT144" s="76" t="str">
        <f t="shared" ca="1" si="105"/>
        <v/>
      </c>
      <c r="BU144" s="76">
        <f t="shared" ref="BU144:BU153" si="119">AJ144</f>
        <v>91</v>
      </c>
      <c r="BV144" s="76" t="str">
        <f t="shared" ca="1" si="106"/>
        <v/>
      </c>
      <c r="BW144" s="76" t="str">
        <f t="shared" ca="1" si="107"/>
        <v/>
      </c>
      <c r="BX144" s="76" t="str">
        <f ca="1">IF(BV144="","",COUNTIF(BW$53:BW143,BW144))</f>
        <v/>
      </c>
      <c r="BY144" s="76" t="str">
        <f t="shared" ca="1" si="108"/>
        <v/>
      </c>
      <c r="BZ144" s="76" t="str">
        <f ca="1">IF(BV144="","",IF(BY144=0,0,MATCH(BW144,BW$54:BW144,0)))</f>
        <v/>
      </c>
      <c r="CA144" s="76" t="str">
        <f t="shared" ca="1" si="109"/>
        <v/>
      </c>
      <c r="CB144" s="76" t="str">
        <f t="shared" ca="1" si="110"/>
        <v/>
      </c>
      <c r="CC144" s="76" t="str">
        <f ca="1">IF(BV144="","",COUNTIF(CB$54:CB144,CB144))</f>
        <v/>
      </c>
      <c r="CD144" s="76" t="str">
        <f t="shared" ca="1" si="111"/>
        <v/>
      </c>
      <c r="CE144" s="76" t="str">
        <f t="shared" ca="1" si="112"/>
        <v/>
      </c>
    </row>
    <row r="145" spans="14:83">
      <c r="N145" s="35">
        <f t="shared" si="113"/>
        <v>1</v>
      </c>
      <c r="O145" s="35">
        <f t="shared" si="83"/>
        <v>31</v>
      </c>
      <c r="P145" s="35">
        <f t="shared" si="114"/>
        <v>2</v>
      </c>
      <c r="Q145" s="35">
        <f t="shared" si="84"/>
        <v>2</v>
      </c>
      <c r="R145" s="35">
        <f t="shared" si="115"/>
        <v>2</v>
      </c>
      <c r="AJ145" s="76">
        <v>92</v>
      </c>
      <c r="AK145" s="76" t="str">
        <f t="shared" ca="1" si="116"/>
        <v/>
      </c>
      <c r="AL145" s="76" t="str">
        <f t="shared" ca="1" si="117"/>
        <v/>
      </c>
      <c r="AM145" s="76"/>
      <c r="AN145" s="76"/>
      <c r="AO145" s="76" t="str">
        <f t="shared" ca="1" si="85"/>
        <v/>
      </c>
      <c r="AP145" s="76" t="str">
        <f t="shared" ca="1" si="86"/>
        <v/>
      </c>
      <c r="AQ145" s="76" t="str">
        <f t="shared" ca="1" si="87"/>
        <v/>
      </c>
      <c r="AR145" s="76">
        <f ca="1">COUNTIF($AQ$54:$AQ145,AR$53)</f>
        <v>0</v>
      </c>
      <c r="AS145" s="76">
        <f ca="1">COUNTIF($AQ$54:$AQ145,AS$53)</f>
        <v>0</v>
      </c>
      <c r="AT145" s="76">
        <f ca="1">COUNTIF($AQ$54:$AQ145,AT$53)</f>
        <v>0</v>
      </c>
      <c r="AU145" s="76" t="str">
        <f t="shared" ca="1" si="88"/>
        <v/>
      </c>
      <c r="AV145" s="76" t="str">
        <f t="shared" ca="1" si="89"/>
        <v/>
      </c>
      <c r="AW145" s="76" t="str">
        <f t="shared" ca="1" si="90"/>
        <v/>
      </c>
      <c r="AX145" s="76"/>
      <c r="AY145" s="76">
        <f t="shared" si="91"/>
        <v>92</v>
      </c>
      <c r="AZ145" s="76" t="str">
        <f t="shared" ca="1" si="92"/>
        <v/>
      </c>
      <c r="BA145" s="76" t="str">
        <f t="shared" ca="1" si="93"/>
        <v/>
      </c>
      <c r="BB145" s="76" t="str">
        <f ca="1">IF(AZ145="","",COUNTIF(BA$53:BA144,BA145))</f>
        <v/>
      </c>
      <c r="BC145" s="76" t="str">
        <f t="shared" ca="1" si="94"/>
        <v/>
      </c>
      <c r="BD145" s="76" t="str">
        <f ca="1">IF(AZ145="","",IF(BC145=0,0,MATCH(BA145,BA$54:BA145,0)))</f>
        <v/>
      </c>
      <c r="BE145" s="76" t="str">
        <f t="shared" ca="1" si="95"/>
        <v/>
      </c>
      <c r="BF145" s="76" t="str">
        <f t="shared" ca="1" si="96"/>
        <v/>
      </c>
      <c r="BG145" s="76" t="str">
        <f ca="1">IF(AZ145="","",COUNTIF(BF$54:BF145,BF145))</f>
        <v/>
      </c>
      <c r="BH145" s="76" t="str">
        <f t="shared" ca="1" si="97"/>
        <v/>
      </c>
      <c r="BI145" s="76" t="str">
        <f t="shared" ca="1" si="98"/>
        <v/>
      </c>
      <c r="BJ145" s="76">
        <f t="shared" si="118"/>
        <v>92</v>
      </c>
      <c r="BK145" s="76" t="str">
        <f t="shared" ca="1" si="99"/>
        <v/>
      </c>
      <c r="BL145" s="76" t="str">
        <f t="shared" ca="1" si="100"/>
        <v/>
      </c>
      <c r="BM145" s="76" t="str">
        <f ca="1">IF(BK145="","",COUNTIF(BL$53:BL144,BL145))</f>
        <v/>
      </c>
      <c r="BN145" s="76" t="str">
        <f t="shared" ca="1" si="101"/>
        <v/>
      </c>
      <c r="BO145" s="76" t="str">
        <f ca="1">IF(BK145="","",IF(BN145=0,0,MATCH(BL145,BL$54:BL145,0)))</f>
        <v/>
      </c>
      <c r="BP145" s="76" t="str">
        <f t="shared" ca="1" si="102"/>
        <v/>
      </c>
      <c r="BQ145" s="76" t="str">
        <f t="shared" ca="1" si="103"/>
        <v/>
      </c>
      <c r="BR145" s="76" t="str">
        <f ca="1">IF(BK145="","",COUNTIF(BQ$54:BQ145,BQ145))</f>
        <v/>
      </c>
      <c r="BS145" s="76" t="str">
        <f t="shared" ca="1" si="104"/>
        <v/>
      </c>
      <c r="BT145" s="76" t="str">
        <f t="shared" ca="1" si="105"/>
        <v/>
      </c>
      <c r="BU145" s="76">
        <f t="shared" si="119"/>
        <v>92</v>
      </c>
      <c r="BV145" s="76" t="str">
        <f t="shared" ca="1" si="106"/>
        <v/>
      </c>
      <c r="BW145" s="76" t="str">
        <f t="shared" ca="1" si="107"/>
        <v/>
      </c>
      <c r="BX145" s="76" t="str">
        <f ca="1">IF(BV145="","",COUNTIF(BW$53:BW144,BW145))</f>
        <v/>
      </c>
      <c r="BY145" s="76" t="str">
        <f t="shared" ca="1" si="108"/>
        <v/>
      </c>
      <c r="BZ145" s="76" t="str">
        <f ca="1">IF(BV145="","",IF(BY145=0,0,MATCH(BW145,BW$54:BW145,0)))</f>
        <v/>
      </c>
      <c r="CA145" s="76" t="str">
        <f t="shared" ca="1" si="109"/>
        <v/>
      </c>
      <c r="CB145" s="76" t="str">
        <f t="shared" ca="1" si="110"/>
        <v/>
      </c>
      <c r="CC145" s="76" t="str">
        <f ca="1">IF(BV145="","",COUNTIF(CB$54:CB145,CB145))</f>
        <v/>
      </c>
      <c r="CD145" s="76" t="str">
        <f t="shared" ca="1" si="111"/>
        <v/>
      </c>
      <c r="CE145" s="76" t="str">
        <f t="shared" ca="1" si="112"/>
        <v/>
      </c>
    </row>
    <row r="146" spans="14:83">
      <c r="N146" s="35">
        <f t="shared" si="113"/>
        <v>1</v>
      </c>
      <c r="O146" s="35">
        <f t="shared" si="83"/>
        <v>31</v>
      </c>
      <c r="P146" s="35">
        <f t="shared" si="114"/>
        <v>3</v>
      </c>
      <c r="Q146" s="35">
        <f t="shared" si="84"/>
        <v>3</v>
      </c>
      <c r="R146" s="35">
        <f t="shared" si="115"/>
        <v>3</v>
      </c>
      <c r="AJ146" s="76">
        <v>93</v>
      </c>
      <c r="AK146" s="76" t="str">
        <f t="shared" ca="1" si="116"/>
        <v/>
      </c>
      <c r="AL146" s="76" t="str">
        <f t="shared" ca="1" si="117"/>
        <v/>
      </c>
      <c r="AM146" s="76"/>
      <c r="AN146" s="76"/>
      <c r="AO146" s="76" t="str">
        <f t="shared" ca="1" si="85"/>
        <v/>
      </c>
      <c r="AP146" s="76" t="str">
        <f t="shared" ca="1" si="86"/>
        <v/>
      </c>
      <c r="AQ146" s="76" t="str">
        <f t="shared" ca="1" si="87"/>
        <v/>
      </c>
      <c r="AR146" s="76">
        <f ca="1">COUNTIF($AQ$54:$AQ146,AR$53)</f>
        <v>0</v>
      </c>
      <c r="AS146" s="76">
        <f ca="1">COUNTIF($AQ$54:$AQ146,AS$53)</f>
        <v>0</v>
      </c>
      <c r="AT146" s="76">
        <f ca="1">COUNTIF($AQ$54:$AQ146,AT$53)</f>
        <v>0</v>
      </c>
      <c r="AU146" s="76" t="str">
        <f t="shared" ca="1" si="88"/>
        <v/>
      </c>
      <c r="AV146" s="76" t="str">
        <f t="shared" ca="1" si="89"/>
        <v/>
      </c>
      <c r="AW146" s="76" t="str">
        <f t="shared" ca="1" si="90"/>
        <v/>
      </c>
      <c r="AX146" s="76"/>
      <c r="AY146" s="76">
        <f t="shared" si="91"/>
        <v>93</v>
      </c>
      <c r="AZ146" s="76" t="str">
        <f t="shared" ca="1" si="92"/>
        <v/>
      </c>
      <c r="BA146" s="76" t="str">
        <f t="shared" ca="1" si="93"/>
        <v/>
      </c>
      <c r="BB146" s="76" t="str">
        <f ca="1">IF(AZ146="","",COUNTIF(BA$53:BA145,BA146))</f>
        <v/>
      </c>
      <c r="BC146" s="76" t="str">
        <f t="shared" ca="1" si="94"/>
        <v/>
      </c>
      <c r="BD146" s="76" t="str">
        <f ca="1">IF(AZ146="","",IF(BC146=0,0,MATCH(BA146,BA$54:BA146,0)))</f>
        <v/>
      </c>
      <c r="BE146" s="76" t="str">
        <f t="shared" ca="1" si="95"/>
        <v/>
      </c>
      <c r="BF146" s="76" t="str">
        <f t="shared" ca="1" si="96"/>
        <v/>
      </c>
      <c r="BG146" s="76" t="str">
        <f ca="1">IF(AZ146="","",COUNTIF(BF$54:BF146,BF146))</f>
        <v/>
      </c>
      <c r="BH146" s="76" t="str">
        <f t="shared" ca="1" si="97"/>
        <v/>
      </c>
      <c r="BI146" s="76" t="str">
        <f t="shared" ca="1" si="98"/>
        <v/>
      </c>
      <c r="BJ146" s="76">
        <f t="shared" si="118"/>
        <v>93</v>
      </c>
      <c r="BK146" s="76" t="str">
        <f t="shared" ca="1" si="99"/>
        <v/>
      </c>
      <c r="BL146" s="76" t="str">
        <f t="shared" ca="1" si="100"/>
        <v/>
      </c>
      <c r="BM146" s="76" t="str">
        <f ca="1">IF(BK146="","",COUNTIF(BL$53:BL145,BL146))</f>
        <v/>
      </c>
      <c r="BN146" s="76" t="str">
        <f t="shared" ca="1" si="101"/>
        <v/>
      </c>
      <c r="BO146" s="76" t="str">
        <f ca="1">IF(BK146="","",IF(BN146=0,0,MATCH(BL146,BL$54:BL146,0)))</f>
        <v/>
      </c>
      <c r="BP146" s="76" t="str">
        <f t="shared" ca="1" si="102"/>
        <v/>
      </c>
      <c r="BQ146" s="76" t="str">
        <f t="shared" ca="1" si="103"/>
        <v/>
      </c>
      <c r="BR146" s="76" t="str">
        <f ca="1">IF(BK146="","",COUNTIF(BQ$54:BQ146,BQ146))</f>
        <v/>
      </c>
      <c r="BS146" s="76" t="str">
        <f t="shared" ca="1" si="104"/>
        <v/>
      </c>
      <c r="BT146" s="76" t="str">
        <f t="shared" ca="1" si="105"/>
        <v/>
      </c>
      <c r="BU146" s="76">
        <f t="shared" si="119"/>
        <v>93</v>
      </c>
      <c r="BV146" s="76" t="str">
        <f t="shared" ca="1" si="106"/>
        <v/>
      </c>
      <c r="BW146" s="76" t="str">
        <f t="shared" ca="1" si="107"/>
        <v/>
      </c>
      <c r="BX146" s="76" t="str">
        <f ca="1">IF(BV146="","",COUNTIF(BW$53:BW145,BW146))</f>
        <v/>
      </c>
      <c r="BY146" s="76" t="str">
        <f t="shared" ca="1" si="108"/>
        <v/>
      </c>
      <c r="BZ146" s="76" t="str">
        <f ca="1">IF(BV146="","",IF(BY146=0,0,MATCH(BW146,BW$54:BW146,0)))</f>
        <v/>
      </c>
      <c r="CA146" s="76" t="str">
        <f t="shared" ca="1" si="109"/>
        <v/>
      </c>
      <c r="CB146" s="76" t="str">
        <f t="shared" ca="1" si="110"/>
        <v/>
      </c>
      <c r="CC146" s="76" t="str">
        <f ca="1">IF(BV146="","",COUNTIF(CB$54:CB146,CB146))</f>
        <v/>
      </c>
      <c r="CD146" s="76" t="str">
        <f t="shared" ca="1" si="111"/>
        <v/>
      </c>
      <c r="CE146" s="76" t="str">
        <f t="shared" ca="1" si="112"/>
        <v/>
      </c>
    </row>
    <row r="147" spans="14:83">
      <c r="N147" s="35">
        <f t="shared" si="113"/>
        <v>0</v>
      </c>
      <c r="O147" s="35">
        <f t="shared" si="83"/>
        <v>32</v>
      </c>
      <c r="P147" s="35">
        <f t="shared" si="114"/>
        <v>3</v>
      </c>
      <c r="Q147" s="35">
        <f t="shared" si="84"/>
        <v>1</v>
      </c>
      <c r="R147" s="35">
        <f t="shared" si="115"/>
        <v>3</v>
      </c>
      <c r="AJ147" s="76">
        <v>94</v>
      </c>
      <c r="AK147" s="76" t="str">
        <f t="shared" ca="1" si="116"/>
        <v/>
      </c>
      <c r="AL147" s="76" t="str">
        <f t="shared" ca="1" si="117"/>
        <v/>
      </c>
      <c r="AM147" s="76"/>
      <c r="AN147" s="76"/>
      <c r="AO147" s="76" t="str">
        <f t="shared" ca="1" si="85"/>
        <v/>
      </c>
      <c r="AP147" s="76" t="str">
        <f t="shared" ca="1" si="86"/>
        <v/>
      </c>
      <c r="AQ147" s="76" t="str">
        <f t="shared" ca="1" si="87"/>
        <v/>
      </c>
      <c r="AR147" s="76">
        <f ca="1">COUNTIF($AQ$54:$AQ147,AR$53)</f>
        <v>0</v>
      </c>
      <c r="AS147" s="76">
        <f ca="1">COUNTIF($AQ$54:$AQ147,AS$53)</f>
        <v>0</v>
      </c>
      <c r="AT147" s="76">
        <f ca="1">COUNTIF($AQ$54:$AQ147,AT$53)</f>
        <v>0</v>
      </c>
      <c r="AU147" s="76" t="str">
        <f t="shared" ca="1" si="88"/>
        <v/>
      </c>
      <c r="AV147" s="76" t="str">
        <f t="shared" ca="1" si="89"/>
        <v/>
      </c>
      <c r="AW147" s="76" t="str">
        <f t="shared" ca="1" si="90"/>
        <v/>
      </c>
      <c r="AX147" s="76"/>
      <c r="AY147" s="76">
        <f t="shared" si="91"/>
        <v>94</v>
      </c>
      <c r="AZ147" s="76" t="str">
        <f t="shared" ca="1" si="92"/>
        <v/>
      </c>
      <c r="BA147" s="76" t="str">
        <f t="shared" ca="1" si="93"/>
        <v/>
      </c>
      <c r="BB147" s="76" t="str">
        <f ca="1">IF(AZ147="","",COUNTIF(BA$53:BA146,BA147))</f>
        <v/>
      </c>
      <c r="BC147" s="76" t="str">
        <f t="shared" ca="1" si="94"/>
        <v/>
      </c>
      <c r="BD147" s="76" t="str">
        <f ca="1">IF(AZ147="","",IF(BC147=0,0,MATCH(BA147,BA$54:BA147,0)))</f>
        <v/>
      </c>
      <c r="BE147" s="76" t="str">
        <f t="shared" ca="1" si="95"/>
        <v/>
      </c>
      <c r="BF147" s="76" t="str">
        <f t="shared" ca="1" si="96"/>
        <v/>
      </c>
      <c r="BG147" s="76" t="str">
        <f ca="1">IF(AZ147="","",COUNTIF(BF$54:BF147,BF147))</f>
        <v/>
      </c>
      <c r="BH147" s="76" t="str">
        <f t="shared" ca="1" si="97"/>
        <v/>
      </c>
      <c r="BI147" s="76" t="str">
        <f t="shared" ca="1" si="98"/>
        <v/>
      </c>
      <c r="BJ147" s="76">
        <f t="shared" si="118"/>
        <v>94</v>
      </c>
      <c r="BK147" s="76" t="str">
        <f t="shared" ca="1" si="99"/>
        <v/>
      </c>
      <c r="BL147" s="76" t="str">
        <f t="shared" ca="1" si="100"/>
        <v/>
      </c>
      <c r="BM147" s="76" t="str">
        <f ca="1">IF(BK147="","",COUNTIF(BL$53:BL146,BL147))</f>
        <v/>
      </c>
      <c r="BN147" s="76" t="str">
        <f t="shared" ca="1" si="101"/>
        <v/>
      </c>
      <c r="BO147" s="76" t="str">
        <f ca="1">IF(BK147="","",IF(BN147=0,0,MATCH(BL147,BL$54:BL147,0)))</f>
        <v/>
      </c>
      <c r="BP147" s="76" t="str">
        <f t="shared" ca="1" si="102"/>
        <v/>
      </c>
      <c r="BQ147" s="76" t="str">
        <f t="shared" ca="1" si="103"/>
        <v/>
      </c>
      <c r="BR147" s="76" t="str">
        <f ca="1">IF(BK147="","",COUNTIF(BQ$54:BQ147,BQ147))</f>
        <v/>
      </c>
      <c r="BS147" s="76" t="str">
        <f t="shared" ca="1" si="104"/>
        <v/>
      </c>
      <c r="BT147" s="76" t="str">
        <f t="shared" ca="1" si="105"/>
        <v/>
      </c>
      <c r="BU147" s="76">
        <f t="shared" si="119"/>
        <v>94</v>
      </c>
      <c r="BV147" s="76" t="str">
        <f t="shared" ca="1" si="106"/>
        <v/>
      </c>
      <c r="BW147" s="76" t="str">
        <f t="shared" ca="1" si="107"/>
        <v/>
      </c>
      <c r="BX147" s="76" t="str">
        <f ca="1">IF(BV147="","",COUNTIF(BW$53:BW146,BW147))</f>
        <v/>
      </c>
      <c r="BY147" s="76" t="str">
        <f t="shared" ca="1" si="108"/>
        <v/>
      </c>
      <c r="BZ147" s="76" t="str">
        <f ca="1">IF(BV147="","",IF(BY147=0,0,MATCH(BW147,BW$54:BW147,0)))</f>
        <v/>
      </c>
      <c r="CA147" s="76" t="str">
        <f t="shared" ca="1" si="109"/>
        <v/>
      </c>
      <c r="CB147" s="76" t="str">
        <f t="shared" ca="1" si="110"/>
        <v/>
      </c>
      <c r="CC147" s="76" t="str">
        <f ca="1">IF(BV147="","",COUNTIF(CB$54:CB147,CB147))</f>
        <v/>
      </c>
      <c r="CD147" s="76" t="str">
        <f t="shared" ca="1" si="111"/>
        <v/>
      </c>
      <c r="CE147" s="76" t="str">
        <f t="shared" ca="1" si="112"/>
        <v/>
      </c>
    </row>
    <row r="148" spans="14:83">
      <c r="N148" s="35">
        <f t="shared" si="113"/>
        <v>0</v>
      </c>
      <c r="O148" s="35">
        <f t="shared" si="83"/>
        <v>32</v>
      </c>
      <c r="P148" s="35">
        <f t="shared" si="114"/>
        <v>2</v>
      </c>
      <c r="Q148" s="35">
        <f t="shared" si="84"/>
        <v>2</v>
      </c>
      <c r="R148" s="35">
        <f t="shared" si="115"/>
        <v>2</v>
      </c>
      <c r="AJ148" s="76">
        <v>95</v>
      </c>
      <c r="AK148" s="76" t="str">
        <f t="shared" ca="1" si="116"/>
        <v/>
      </c>
      <c r="AL148" s="76" t="str">
        <f t="shared" ca="1" si="117"/>
        <v/>
      </c>
      <c r="AM148" s="76"/>
      <c r="AN148" s="76"/>
      <c r="AO148" s="76" t="str">
        <f t="shared" ca="1" si="85"/>
        <v/>
      </c>
      <c r="AP148" s="76" t="str">
        <f t="shared" ca="1" si="86"/>
        <v/>
      </c>
      <c r="AQ148" s="76" t="str">
        <f t="shared" ca="1" si="87"/>
        <v/>
      </c>
      <c r="AR148" s="76">
        <f ca="1">COUNTIF($AQ$54:$AQ148,AR$53)</f>
        <v>0</v>
      </c>
      <c r="AS148" s="76">
        <f ca="1">COUNTIF($AQ$54:$AQ148,AS$53)</f>
        <v>0</v>
      </c>
      <c r="AT148" s="76">
        <f ca="1">COUNTIF($AQ$54:$AQ148,AT$53)</f>
        <v>0</v>
      </c>
      <c r="AU148" s="76" t="str">
        <f t="shared" ca="1" si="88"/>
        <v/>
      </c>
      <c r="AV148" s="76" t="str">
        <f t="shared" ca="1" si="89"/>
        <v/>
      </c>
      <c r="AW148" s="76" t="str">
        <f t="shared" ca="1" si="90"/>
        <v/>
      </c>
      <c r="AX148" s="76"/>
      <c r="AY148" s="76">
        <f t="shared" si="91"/>
        <v>95</v>
      </c>
      <c r="AZ148" s="76" t="str">
        <f t="shared" ca="1" si="92"/>
        <v/>
      </c>
      <c r="BA148" s="76" t="str">
        <f t="shared" ca="1" si="93"/>
        <v/>
      </c>
      <c r="BB148" s="76" t="str">
        <f ca="1">IF(AZ148="","",COUNTIF(BA$53:BA147,BA148))</f>
        <v/>
      </c>
      <c r="BC148" s="76" t="str">
        <f t="shared" ca="1" si="94"/>
        <v/>
      </c>
      <c r="BD148" s="76" t="str">
        <f ca="1">IF(AZ148="","",IF(BC148=0,0,MATCH(BA148,BA$54:BA148,0)))</f>
        <v/>
      </c>
      <c r="BE148" s="76" t="str">
        <f t="shared" ca="1" si="95"/>
        <v/>
      </c>
      <c r="BF148" s="76" t="str">
        <f t="shared" ca="1" si="96"/>
        <v/>
      </c>
      <c r="BG148" s="76" t="str">
        <f ca="1">IF(AZ148="","",COUNTIF(BF$54:BF148,BF148))</f>
        <v/>
      </c>
      <c r="BH148" s="76" t="str">
        <f t="shared" ca="1" si="97"/>
        <v/>
      </c>
      <c r="BI148" s="76" t="str">
        <f t="shared" ca="1" si="98"/>
        <v/>
      </c>
      <c r="BJ148" s="76">
        <f t="shared" si="118"/>
        <v>95</v>
      </c>
      <c r="BK148" s="76" t="str">
        <f t="shared" ca="1" si="99"/>
        <v/>
      </c>
      <c r="BL148" s="76" t="str">
        <f t="shared" ca="1" si="100"/>
        <v/>
      </c>
      <c r="BM148" s="76" t="str">
        <f ca="1">IF(BK148="","",COUNTIF(BL$53:BL147,BL148))</f>
        <v/>
      </c>
      <c r="BN148" s="76" t="str">
        <f t="shared" ca="1" si="101"/>
        <v/>
      </c>
      <c r="BO148" s="76" t="str">
        <f ca="1">IF(BK148="","",IF(BN148=0,0,MATCH(BL148,BL$54:BL148,0)))</f>
        <v/>
      </c>
      <c r="BP148" s="76" t="str">
        <f t="shared" ca="1" si="102"/>
        <v/>
      </c>
      <c r="BQ148" s="76" t="str">
        <f t="shared" ca="1" si="103"/>
        <v/>
      </c>
      <c r="BR148" s="76" t="str">
        <f ca="1">IF(BK148="","",COUNTIF(BQ$54:BQ148,BQ148))</f>
        <v/>
      </c>
      <c r="BS148" s="76" t="str">
        <f t="shared" ca="1" si="104"/>
        <v/>
      </c>
      <c r="BT148" s="76" t="str">
        <f t="shared" ca="1" si="105"/>
        <v/>
      </c>
      <c r="BU148" s="76">
        <f t="shared" si="119"/>
        <v>95</v>
      </c>
      <c r="BV148" s="76" t="str">
        <f t="shared" ca="1" si="106"/>
        <v/>
      </c>
      <c r="BW148" s="76" t="str">
        <f t="shared" ca="1" si="107"/>
        <v/>
      </c>
      <c r="BX148" s="76" t="str">
        <f ca="1">IF(BV148="","",COUNTIF(BW$53:BW147,BW148))</f>
        <v/>
      </c>
      <c r="BY148" s="76" t="str">
        <f t="shared" ca="1" si="108"/>
        <v/>
      </c>
      <c r="BZ148" s="76" t="str">
        <f ca="1">IF(BV148="","",IF(BY148=0,0,MATCH(BW148,BW$54:BW148,0)))</f>
        <v/>
      </c>
      <c r="CA148" s="76" t="str">
        <f t="shared" ca="1" si="109"/>
        <v/>
      </c>
      <c r="CB148" s="76" t="str">
        <f t="shared" ca="1" si="110"/>
        <v/>
      </c>
      <c r="CC148" s="76" t="str">
        <f ca="1">IF(BV148="","",COUNTIF(CB$54:CB148,CB148))</f>
        <v/>
      </c>
      <c r="CD148" s="76" t="str">
        <f t="shared" ca="1" si="111"/>
        <v/>
      </c>
      <c r="CE148" s="76" t="str">
        <f t="shared" ca="1" si="112"/>
        <v/>
      </c>
    </row>
    <row r="149" spans="14:83">
      <c r="N149" s="35">
        <f t="shared" si="113"/>
        <v>0</v>
      </c>
      <c r="O149" s="35">
        <f t="shared" si="83"/>
        <v>32</v>
      </c>
      <c r="P149" s="35">
        <f t="shared" si="114"/>
        <v>1</v>
      </c>
      <c r="Q149" s="35">
        <f t="shared" si="84"/>
        <v>3</v>
      </c>
      <c r="R149" s="35">
        <f t="shared" si="115"/>
        <v>1</v>
      </c>
      <c r="AJ149" s="76">
        <v>96</v>
      </c>
      <c r="AK149" s="76" t="str">
        <f t="shared" ca="1" si="116"/>
        <v/>
      </c>
      <c r="AL149" s="76" t="str">
        <f t="shared" ca="1" si="117"/>
        <v/>
      </c>
      <c r="AM149" s="76"/>
      <c r="AN149" s="76"/>
      <c r="AO149" s="76" t="str">
        <f t="shared" ca="1" si="85"/>
        <v/>
      </c>
      <c r="AP149" s="76" t="str">
        <f t="shared" ca="1" si="86"/>
        <v/>
      </c>
      <c r="AQ149" s="76" t="str">
        <f t="shared" ca="1" si="87"/>
        <v/>
      </c>
      <c r="AR149" s="76">
        <f ca="1">COUNTIF($AQ$54:$AQ149,AR$53)</f>
        <v>0</v>
      </c>
      <c r="AS149" s="76">
        <f ca="1">COUNTIF($AQ$54:$AQ149,AS$53)</f>
        <v>0</v>
      </c>
      <c r="AT149" s="76">
        <f ca="1">COUNTIF($AQ$54:$AQ149,AT$53)</f>
        <v>0</v>
      </c>
      <c r="AU149" s="76" t="str">
        <f t="shared" ca="1" si="88"/>
        <v/>
      </c>
      <c r="AV149" s="76" t="str">
        <f t="shared" ca="1" si="89"/>
        <v/>
      </c>
      <c r="AW149" s="76" t="str">
        <f t="shared" ca="1" si="90"/>
        <v/>
      </c>
      <c r="AX149" s="76"/>
      <c r="AY149" s="76">
        <f t="shared" si="91"/>
        <v>96</v>
      </c>
      <c r="AZ149" s="76" t="str">
        <f t="shared" ca="1" si="92"/>
        <v/>
      </c>
      <c r="BA149" s="76" t="str">
        <f t="shared" ca="1" si="93"/>
        <v/>
      </c>
      <c r="BB149" s="76" t="str">
        <f ca="1">IF(AZ149="","",COUNTIF(BA$53:BA148,BA149))</f>
        <v/>
      </c>
      <c r="BC149" s="76" t="str">
        <f t="shared" ca="1" si="94"/>
        <v/>
      </c>
      <c r="BD149" s="76" t="str">
        <f ca="1">IF(AZ149="","",IF(BC149=0,0,MATCH(BA149,BA$54:BA149,0)))</f>
        <v/>
      </c>
      <c r="BE149" s="76" t="str">
        <f t="shared" ca="1" si="95"/>
        <v/>
      </c>
      <c r="BF149" s="76" t="str">
        <f t="shared" ca="1" si="96"/>
        <v/>
      </c>
      <c r="BG149" s="76" t="str">
        <f ca="1">IF(AZ149="","",COUNTIF(BF$54:BF149,BF149))</f>
        <v/>
      </c>
      <c r="BH149" s="76" t="str">
        <f t="shared" ca="1" si="97"/>
        <v/>
      </c>
      <c r="BI149" s="76" t="str">
        <f t="shared" ca="1" si="98"/>
        <v/>
      </c>
      <c r="BJ149" s="76">
        <f t="shared" si="118"/>
        <v>96</v>
      </c>
      <c r="BK149" s="76" t="str">
        <f t="shared" ca="1" si="99"/>
        <v/>
      </c>
      <c r="BL149" s="76" t="str">
        <f t="shared" ca="1" si="100"/>
        <v/>
      </c>
      <c r="BM149" s="76" t="str">
        <f ca="1">IF(BK149="","",COUNTIF(BL$53:BL148,BL149))</f>
        <v/>
      </c>
      <c r="BN149" s="76" t="str">
        <f t="shared" ca="1" si="101"/>
        <v/>
      </c>
      <c r="BO149" s="76" t="str">
        <f ca="1">IF(BK149="","",IF(BN149=0,0,MATCH(BL149,BL$54:BL149,0)))</f>
        <v/>
      </c>
      <c r="BP149" s="76" t="str">
        <f t="shared" ca="1" si="102"/>
        <v/>
      </c>
      <c r="BQ149" s="76" t="str">
        <f t="shared" ca="1" si="103"/>
        <v/>
      </c>
      <c r="BR149" s="76" t="str">
        <f ca="1">IF(BK149="","",COUNTIF(BQ$54:BQ149,BQ149))</f>
        <v/>
      </c>
      <c r="BS149" s="76" t="str">
        <f t="shared" ca="1" si="104"/>
        <v/>
      </c>
      <c r="BT149" s="76" t="str">
        <f t="shared" ca="1" si="105"/>
        <v/>
      </c>
      <c r="BU149" s="76">
        <f t="shared" si="119"/>
        <v>96</v>
      </c>
      <c r="BV149" s="76" t="str">
        <f t="shared" ca="1" si="106"/>
        <v/>
      </c>
      <c r="BW149" s="76" t="str">
        <f t="shared" ca="1" si="107"/>
        <v/>
      </c>
      <c r="BX149" s="76" t="str">
        <f ca="1">IF(BV149="","",COUNTIF(BW$53:BW148,BW149))</f>
        <v/>
      </c>
      <c r="BY149" s="76" t="str">
        <f t="shared" ca="1" si="108"/>
        <v/>
      </c>
      <c r="BZ149" s="76" t="str">
        <f ca="1">IF(BV149="","",IF(BY149=0,0,MATCH(BW149,BW$54:BW149,0)))</f>
        <v/>
      </c>
      <c r="CA149" s="76" t="str">
        <f t="shared" ca="1" si="109"/>
        <v/>
      </c>
      <c r="CB149" s="76" t="str">
        <f t="shared" ca="1" si="110"/>
        <v/>
      </c>
      <c r="CC149" s="76" t="str">
        <f ca="1">IF(BV149="","",COUNTIF(CB$54:CB149,CB149))</f>
        <v/>
      </c>
      <c r="CD149" s="76" t="str">
        <f t="shared" ca="1" si="111"/>
        <v/>
      </c>
      <c r="CE149" s="76" t="str">
        <f t="shared" ca="1" si="112"/>
        <v/>
      </c>
    </row>
    <row r="150" spans="14:83">
      <c r="N150" s="35">
        <f t="shared" si="113"/>
        <v>1</v>
      </c>
      <c r="O150" s="35">
        <f t="shared" si="83"/>
        <v>33</v>
      </c>
      <c r="P150" s="35">
        <f t="shared" si="114"/>
        <v>1</v>
      </c>
      <c r="Q150" s="35">
        <f t="shared" si="84"/>
        <v>1</v>
      </c>
      <c r="R150" s="35">
        <f t="shared" si="115"/>
        <v>1</v>
      </c>
      <c r="AJ150" s="76">
        <v>97</v>
      </c>
      <c r="AK150" s="76" t="str">
        <f t="shared" ca="1" si="116"/>
        <v/>
      </c>
      <c r="AL150" s="76" t="str">
        <f t="shared" ca="1" si="117"/>
        <v/>
      </c>
      <c r="AM150" s="76"/>
      <c r="AN150" s="76"/>
      <c r="AO150" s="76" t="str">
        <f t="shared" ca="1" si="85"/>
        <v/>
      </c>
      <c r="AP150" s="76" t="str">
        <f t="shared" ca="1" si="86"/>
        <v/>
      </c>
      <c r="AQ150" s="76" t="str">
        <f ca="1">IF(AK150="","",IF(ISNA(MATCH(AK150,$AK$23:$AK$32,0)),AO150*AP150,1))</f>
        <v/>
      </c>
      <c r="AR150" s="76">
        <f ca="1">COUNTIF($AQ$54:$AQ150,AR$53)</f>
        <v>0</v>
      </c>
      <c r="AS150" s="76">
        <f ca="1">COUNTIF($AQ$54:$AQ150,AS$53)</f>
        <v>0</v>
      </c>
      <c r="AT150" s="76">
        <f ca="1">COUNTIF($AQ$54:$AQ150,AT$53)</f>
        <v>0</v>
      </c>
      <c r="AU150" s="76" t="str">
        <f t="shared" ca="1" si="88"/>
        <v/>
      </c>
      <c r="AV150" s="76" t="str">
        <f t="shared" ca="1" si="89"/>
        <v/>
      </c>
      <c r="AW150" s="76" t="str">
        <f t="shared" ca="1" si="90"/>
        <v/>
      </c>
      <c r="AX150" s="76"/>
      <c r="AY150" s="76">
        <f t="shared" si="91"/>
        <v>97</v>
      </c>
      <c r="AZ150" s="76" t="str">
        <f t="shared" ca="1" si="92"/>
        <v/>
      </c>
      <c r="BA150" s="76" t="str">
        <f t="shared" ca="1" si="93"/>
        <v/>
      </c>
      <c r="BB150" s="76" t="str">
        <f ca="1">IF(AZ150="","",COUNTIF(BA$53:BA149,BA150))</f>
        <v/>
      </c>
      <c r="BC150" s="76" t="str">
        <f ca="1">IF(AZ150="","",IF(BB150=1,1,0))</f>
        <v/>
      </c>
      <c r="BD150" s="76" t="str">
        <f ca="1">IF(AZ150="","",IF(BC150=0,0,MATCH(BA150,BA$54:BA150,0)))</f>
        <v/>
      </c>
      <c r="BE150" s="76" t="str">
        <f t="shared" ca="1" si="95"/>
        <v/>
      </c>
      <c r="BF150" s="76" t="str">
        <f ca="1">IF(AZ150="","",IF(BC150=0,BE150,1-OFFSET(BE$53,BD150,0)))</f>
        <v/>
      </c>
      <c r="BG150" s="76" t="str">
        <f ca="1">IF(AZ150="","",COUNTIF(BF$54:BF150,BF150))</f>
        <v/>
      </c>
      <c r="BH150" s="76" t="str">
        <f ca="1">IF(AZ150="","",MATCH(BG150,OFFSET($CG$53,1+BF150*BH$51,BH$52,BH$51),0))</f>
        <v/>
      </c>
      <c r="BI150" s="76" t="str">
        <f ca="1">IF(AZ150="","",OFFSET($CG$53,BH150+BF150*BH$51,AY$52))</f>
        <v/>
      </c>
      <c r="BJ150" s="76">
        <f t="shared" si="118"/>
        <v>97</v>
      </c>
      <c r="BK150" s="76" t="str">
        <f t="shared" ca="1" si="99"/>
        <v/>
      </c>
      <c r="BL150" s="76" t="str">
        <f t="shared" ca="1" si="100"/>
        <v/>
      </c>
      <c r="BM150" s="76" t="str">
        <f ca="1">IF(BK150="","",COUNTIF(BL$53:BL149,BL150))</f>
        <v/>
      </c>
      <c r="BN150" s="76" t="str">
        <f ca="1">IF(BK150="","",IF(BM150=1,1,0))</f>
        <v/>
      </c>
      <c r="BO150" s="76" t="str">
        <f ca="1">IF(BK150="","",IF(BN150=0,0,MATCH(BL150,BL$54:BL150,0)))</f>
        <v/>
      </c>
      <c r="BP150" s="76" t="str">
        <f t="shared" ca="1" si="102"/>
        <v/>
      </c>
      <c r="BQ150" s="76" t="str">
        <f ca="1">IF(BK150="","",IF(BN150=0,BP150,1-OFFSET(BP$53,BO150,0)))</f>
        <v/>
      </c>
      <c r="BR150" s="76" t="str">
        <f ca="1">IF(BK150="","",COUNTIF(BQ$54:BQ150,BQ150))</f>
        <v/>
      </c>
      <c r="BS150" s="76" t="str">
        <f ca="1">IF(BK150="","",MATCH(BR150,OFFSET($CG$53,1+BQ150*BS$51,BS$52,BS$51),0))</f>
        <v/>
      </c>
      <c r="BT150" s="76" t="str">
        <f ca="1">IF(BK150="","",OFFSET($CG$53,BS150+BQ150*BS$51,BJ$52))</f>
        <v/>
      </c>
      <c r="BU150" s="76">
        <f t="shared" si="119"/>
        <v>97</v>
      </c>
      <c r="BV150" s="76" t="str">
        <f t="shared" ca="1" si="106"/>
        <v/>
      </c>
      <c r="BW150" s="76" t="str">
        <f t="shared" ca="1" si="107"/>
        <v/>
      </c>
      <c r="BX150" s="76" t="str">
        <f ca="1">IF(BV150="","",COUNTIF(BW$53:BW149,BW150))</f>
        <v/>
      </c>
      <c r="BY150" s="76" t="str">
        <f ca="1">IF(BV150="","",IF(BX150=1,1,0))</f>
        <v/>
      </c>
      <c r="BZ150" s="76" t="str">
        <f ca="1">IF(BV150="","",IF(BY150=0,0,MATCH(BW150,BW$54:BW150,0)))</f>
        <v/>
      </c>
      <c r="CA150" s="76" t="str">
        <f t="shared" ca="1" si="109"/>
        <v/>
      </c>
      <c r="CB150" s="76" t="str">
        <f ca="1">IF(BV150="","",IF(BY150=0,CA150,1-OFFSET(CA$53,BZ150,0)))</f>
        <v/>
      </c>
      <c r="CC150" s="76" t="str">
        <f ca="1">IF(BV150="","",COUNTIF(CB$54:CB150,CB150))</f>
        <v/>
      </c>
      <c r="CD150" s="76" t="str">
        <f ca="1">IF(BV150="","",MATCH(CC150,OFFSET($CG$53,1+CB150*CD$51,CD$52,CD$51),0))</f>
        <v/>
      </c>
      <c r="CE150" s="76" t="str">
        <f ca="1">IF(BV150="","",OFFSET($CG$53,CD150+CB150*CD$51,BU$52))</f>
        <v/>
      </c>
    </row>
    <row r="151" spans="14:83">
      <c r="N151" s="35">
        <f t="shared" si="113"/>
        <v>1</v>
      </c>
      <c r="O151" s="35">
        <f t="shared" si="83"/>
        <v>33</v>
      </c>
      <c r="P151" s="35">
        <f t="shared" si="114"/>
        <v>2</v>
      </c>
      <c r="Q151" s="35">
        <f t="shared" si="84"/>
        <v>2</v>
      </c>
      <c r="R151" s="35">
        <f t="shared" si="115"/>
        <v>2</v>
      </c>
      <c r="AJ151" s="76">
        <v>98</v>
      </c>
      <c r="AK151" s="76" t="str">
        <f t="shared" ca="1" si="116"/>
        <v/>
      </c>
      <c r="AL151" s="76" t="str">
        <f t="shared" ca="1" si="117"/>
        <v/>
      </c>
      <c r="AM151" s="76"/>
      <c r="AN151" s="76"/>
      <c r="AO151" s="76" t="str">
        <f t="shared" ca="1" si="85"/>
        <v/>
      </c>
      <c r="AP151" s="76" t="str">
        <f t="shared" ca="1" si="86"/>
        <v/>
      </c>
      <c r="AQ151" s="76" t="str">
        <f ca="1">IF(AK151="","",IF(ISNA(MATCH(AK151,$AK$23:$AK$32,0)),AO151*AP151,1))</f>
        <v/>
      </c>
      <c r="AR151" s="76">
        <f ca="1">COUNTIF($AQ$54:$AQ151,AR$53)</f>
        <v>0</v>
      </c>
      <c r="AS151" s="76">
        <f ca="1">COUNTIF($AQ$54:$AQ151,AS$53)</f>
        <v>0</v>
      </c>
      <c r="AT151" s="76">
        <f ca="1">COUNTIF($AQ$54:$AQ151,AT$53)</f>
        <v>0</v>
      </c>
      <c r="AU151" s="76" t="str">
        <f t="shared" ca="1" si="88"/>
        <v/>
      </c>
      <c r="AV151" s="76" t="str">
        <f t="shared" ca="1" si="89"/>
        <v/>
      </c>
      <c r="AW151" s="76" t="str">
        <f t="shared" ca="1" si="90"/>
        <v/>
      </c>
      <c r="AX151" s="76"/>
      <c r="AY151" s="76">
        <f t="shared" si="91"/>
        <v>98</v>
      </c>
      <c r="AZ151" s="76" t="str">
        <f t="shared" ca="1" si="92"/>
        <v/>
      </c>
      <c r="BA151" s="76" t="str">
        <f t="shared" ca="1" si="93"/>
        <v/>
      </c>
      <c r="BB151" s="76" t="str">
        <f ca="1">IF(AZ151="","",COUNTIF(BA$53:BA150,BA151))</f>
        <v/>
      </c>
      <c r="BC151" s="76" t="str">
        <f ca="1">IF(AZ151="","",IF(BB151=1,1,0))</f>
        <v/>
      </c>
      <c r="BD151" s="76" t="str">
        <f ca="1">IF(AZ151="","",IF(BC151=0,0,MATCH(BA151,BA$54:BA151,0)))</f>
        <v/>
      </c>
      <c r="BE151" s="76" t="str">
        <f t="shared" ca="1" si="95"/>
        <v/>
      </c>
      <c r="BF151" s="76" t="str">
        <f ca="1">IF(AZ151="","",IF(BC151=0,BE151,1-OFFSET(BE$53,BD151,0)))</f>
        <v/>
      </c>
      <c r="BG151" s="76" t="str">
        <f ca="1">IF(AZ151="","",COUNTIF(BF$54:BF151,BF151))</f>
        <v/>
      </c>
      <c r="BH151" s="76" t="str">
        <f ca="1">IF(AZ151="","",MATCH(BG151,OFFSET($CG$53,1+BF151*BH$51,BH$52,BH$51),0))</f>
        <v/>
      </c>
      <c r="BI151" s="76" t="str">
        <f ca="1">IF(AZ151="","",OFFSET($CG$53,BH151+BF151*BH$51,AY$52))</f>
        <v/>
      </c>
      <c r="BJ151" s="76">
        <f t="shared" si="118"/>
        <v>98</v>
      </c>
      <c r="BK151" s="76" t="str">
        <f t="shared" ca="1" si="99"/>
        <v/>
      </c>
      <c r="BL151" s="76" t="str">
        <f t="shared" ca="1" si="100"/>
        <v/>
      </c>
      <c r="BM151" s="76" t="str">
        <f ca="1">IF(BK151="","",COUNTIF(BL$53:BL150,BL151))</f>
        <v/>
      </c>
      <c r="BN151" s="76" t="str">
        <f ca="1">IF(BK151="","",IF(BM151=1,1,0))</f>
        <v/>
      </c>
      <c r="BO151" s="76" t="str">
        <f ca="1">IF(BK151="","",IF(BN151=0,0,MATCH(BL151,BL$54:BL151,0)))</f>
        <v/>
      </c>
      <c r="BP151" s="76" t="str">
        <f t="shared" ca="1" si="102"/>
        <v/>
      </c>
      <c r="BQ151" s="76" t="str">
        <f ca="1">IF(BK151="","",IF(BN151=0,BP151,1-OFFSET(BP$53,BO151,0)))</f>
        <v/>
      </c>
      <c r="BR151" s="76" t="str">
        <f ca="1">IF(BK151="","",COUNTIF(BQ$54:BQ151,BQ151))</f>
        <v/>
      </c>
      <c r="BS151" s="76" t="str">
        <f ca="1">IF(BK151="","",MATCH(BR151,OFFSET($CG$53,1+BQ151*BS$51,BS$52,BS$51),0))</f>
        <v/>
      </c>
      <c r="BT151" s="76" t="str">
        <f ca="1">IF(BK151="","",OFFSET($CG$53,BS151+BQ151*BS$51,BJ$52))</f>
        <v/>
      </c>
      <c r="BU151" s="76">
        <f t="shared" si="119"/>
        <v>98</v>
      </c>
      <c r="BV151" s="76" t="str">
        <f t="shared" ca="1" si="106"/>
        <v/>
      </c>
      <c r="BW151" s="76" t="str">
        <f t="shared" ca="1" si="107"/>
        <v/>
      </c>
      <c r="BX151" s="76" t="str">
        <f ca="1">IF(BV151="","",COUNTIF(BW$53:BW150,BW151))</f>
        <v/>
      </c>
      <c r="BY151" s="76" t="str">
        <f ca="1">IF(BV151="","",IF(BX151=1,1,0))</f>
        <v/>
      </c>
      <c r="BZ151" s="76" t="str">
        <f ca="1">IF(BV151="","",IF(BY151=0,0,MATCH(BW151,BW$54:BW151,0)))</f>
        <v/>
      </c>
      <c r="CA151" s="76" t="str">
        <f t="shared" ca="1" si="109"/>
        <v/>
      </c>
      <c r="CB151" s="76" t="str">
        <f ca="1">IF(BV151="","",IF(BY151=0,CA151,1-OFFSET(CA$53,BZ151,0)))</f>
        <v/>
      </c>
      <c r="CC151" s="76" t="str">
        <f ca="1">IF(BV151="","",COUNTIF(CB$54:CB151,CB151))</f>
        <v/>
      </c>
      <c r="CD151" s="76" t="str">
        <f ca="1">IF(BV151="","",MATCH(CC151,OFFSET($CG$53,1+CB151*CD$51,CD$52,CD$51),0))</f>
        <v/>
      </c>
      <c r="CE151" s="76" t="str">
        <f ca="1">IF(BV151="","",OFFSET($CG$53,CD151+CB151*CD$51,BU$52))</f>
        <v/>
      </c>
    </row>
    <row r="152" spans="14:83">
      <c r="N152" s="35">
        <f t="shared" si="113"/>
        <v>1</v>
      </c>
      <c r="O152" s="35">
        <f t="shared" si="83"/>
        <v>33</v>
      </c>
      <c r="P152" s="35">
        <f t="shared" si="114"/>
        <v>3</v>
      </c>
      <c r="Q152" s="35">
        <f t="shared" si="84"/>
        <v>3</v>
      </c>
      <c r="R152" s="35">
        <f t="shared" si="115"/>
        <v>3</v>
      </c>
      <c r="AJ152" s="76">
        <v>99</v>
      </c>
      <c r="AK152" s="76" t="str">
        <f t="shared" ca="1" si="116"/>
        <v/>
      </c>
      <c r="AL152" s="76" t="str">
        <f t="shared" ca="1" si="117"/>
        <v/>
      </c>
      <c r="AM152" s="76"/>
      <c r="AN152" s="76"/>
      <c r="AO152" s="76" t="str">
        <f t="shared" ca="1" si="85"/>
        <v/>
      </c>
      <c r="AP152" s="76" t="str">
        <f t="shared" ca="1" si="86"/>
        <v/>
      </c>
      <c r="AQ152" s="76" t="str">
        <f ca="1">IF(AK152="","",IF(ISNA(MATCH(AK152,$AK$23:$AK$32,0)),AO152*AP152,1))</f>
        <v/>
      </c>
      <c r="AR152" s="76">
        <f ca="1">COUNTIF($AQ$54:$AQ152,AR$53)</f>
        <v>0</v>
      </c>
      <c r="AS152" s="76">
        <f ca="1">COUNTIF($AQ$54:$AQ152,AS$53)</f>
        <v>0</v>
      </c>
      <c r="AT152" s="76">
        <f ca="1">COUNTIF($AQ$54:$AQ152,AT$53)</f>
        <v>0</v>
      </c>
      <c r="AU152" s="76" t="str">
        <f t="shared" ca="1" si="88"/>
        <v/>
      </c>
      <c r="AV152" s="76" t="str">
        <f t="shared" ca="1" si="89"/>
        <v/>
      </c>
      <c r="AW152" s="76" t="str">
        <f t="shared" ca="1" si="90"/>
        <v/>
      </c>
      <c r="AX152" s="76"/>
      <c r="AY152" s="76">
        <f t="shared" si="91"/>
        <v>99</v>
      </c>
      <c r="AZ152" s="76" t="str">
        <f t="shared" ca="1" si="92"/>
        <v/>
      </c>
      <c r="BA152" s="76" t="str">
        <f t="shared" ca="1" si="93"/>
        <v/>
      </c>
      <c r="BB152" s="76" t="str">
        <f ca="1">IF(AZ152="","",COUNTIF(BA$53:BA151,BA152))</f>
        <v/>
      </c>
      <c r="BC152" s="76" t="str">
        <f ca="1">IF(AZ152="","",IF(BB152=1,1,0))</f>
        <v/>
      </c>
      <c r="BD152" s="76" t="str">
        <f ca="1">IF(AZ152="","",IF(BC152=0,0,MATCH(BA152,BA$54:BA152,0)))</f>
        <v/>
      </c>
      <c r="BE152" s="76" t="str">
        <f t="shared" ca="1" si="95"/>
        <v/>
      </c>
      <c r="BF152" s="76" t="str">
        <f ca="1">IF(AZ152="","",IF(BC152=0,BE152,1-OFFSET(BE$53,BD152,0)))</f>
        <v/>
      </c>
      <c r="BG152" s="76" t="str">
        <f ca="1">IF(AZ152="","",COUNTIF(BF$54:BF152,BF152))</f>
        <v/>
      </c>
      <c r="BH152" s="76" t="str">
        <f ca="1">IF(AZ152="","",MATCH(BG152,OFFSET($CG$53,1+BF152*BH$51,BH$52,BH$51),0))</f>
        <v/>
      </c>
      <c r="BI152" s="76" t="str">
        <f ca="1">IF(AZ152="","",OFFSET($CG$53,BH152+BF152*BH$51,AY$52))</f>
        <v/>
      </c>
      <c r="BJ152" s="76">
        <f t="shared" si="118"/>
        <v>99</v>
      </c>
      <c r="BK152" s="76" t="str">
        <f t="shared" ca="1" si="99"/>
        <v/>
      </c>
      <c r="BL152" s="76" t="str">
        <f t="shared" ca="1" si="100"/>
        <v/>
      </c>
      <c r="BM152" s="76" t="str">
        <f ca="1">IF(BK152="","",COUNTIF(BL$53:BL151,BL152))</f>
        <v/>
      </c>
      <c r="BN152" s="76" t="str">
        <f ca="1">IF(BK152="","",IF(BM152=1,1,0))</f>
        <v/>
      </c>
      <c r="BO152" s="76" t="str">
        <f ca="1">IF(BK152="","",IF(BN152=0,0,MATCH(BL152,BL$54:BL152,0)))</f>
        <v/>
      </c>
      <c r="BP152" s="76" t="str">
        <f t="shared" ca="1" si="102"/>
        <v/>
      </c>
      <c r="BQ152" s="76" t="str">
        <f ca="1">IF(BK152="","",IF(BN152=0,BP152,1-OFFSET(BP$53,BO152,0)))</f>
        <v/>
      </c>
      <c r="BR152" s="76" t="str">
        <f ca="1">IF(BK152="","",COUNTIF(BQ$54:BQ152,BQ152))</f>
        <v/>
      </c>
      <c r="BS152" s="76" t="str">
        <f ca="1">IF(BK152="","",MATCH(BR152,OFFSET($CG$53,1+BQ152*BS$51,BS$52,BS$51),0))</f>
        <v/>
      </c>
      <c r="BT152" s="76" t="str">
        <f ca="1">IF(BK152="","",OFFSET($CG$53,BS152+BQ152*BS$51,BJ$52))</f>
        <v/>
      </c>
      <c r="BU152" s="76">
        <f t="shared" si="119"/>
        <v>99</v>
      </c>
      <c r="BV152" s="76" t="str">
        <f t="shared" ca="1" si="106"/>
        <v/>
      </c>
      <c r="BW152" s="76" t="str">
        <f t="shared" ca="1" si="107"/>
        <v/>
      </c>
      <c r="BX152" s="76" t="str">
        <f ca="1">IF(BV152="","",COUNTIF(BW$53:BW151,BW152))</f>
        <v/>
      </c>
      <c r="BY152" s="76" t="str">
        <f ca="1">IF(BV152="","",IF(BX152=1,1,0))</f>
        <v/>
      </c>
      <c r="BZ152" s="76" t="str">
        <f ca="1">IF(BV152="","",IF(BY152=0,0,MATCH(BW152,BW$54:BW152,0)))</f>
        <v/>
      </c>
      <c r="CA152" s="76" t="str">
        <f t="shared" ca="1" si="109"/>
        <v/>
      </c>
      <c r="CB152" s="76" t="str">
        <f ca="1">IF(BV152="","",IF(BY152=0,CA152,1-OFFSET(CA$53,BZ152,0)))</f>
        <v/>
      </c>
      <c r="CC152" s="76" t="str">
        <f ca="1">IF(BV152="","",COUNTIF(CB$54:CB152,CB152))</f>
        <v/>
      </c>
      <c r="CD152" s="76" t="str">
        <f ca="1">IF(BV152="","",MATCH(CC152,OFFSET($CG$53,1+CB152*CD$51,CD$52,CD$51),0))</f>
        <v/>
      </c>
      <c r="CE152" s="76" t="str">
        <f ca="1">IF(BV152="","",OFFSET($CG$53,CD152+CB152*CD$51,BU$52))</f>
        <v/>
      </c>
    </row>
    <row r="153" spans="14:83">
      <c r="N153" s="35">
        <f t="shared" si="113"/>
        <v>0</v>
      </c>
      <c r="O153" s="35">
        <f t="shared" si="83"/>
        <v>34</v>
      </c>
      <c r="P153" s="35">
        <f t="shared" si="114"/>
        <v>3</v>
      </c>
      <c r="Q153" s="35">
        <f t="shared" si="84"/>
        <v>1</v>
      </c>
      <c r="R153" s="35">
        <f t="shared" si="115"/>
        <v>3</v>
      </c>
      <c r="AJ153" s="76">
        <v>100</v>
      </c>
      <c r="AK153" s="76" t="str">
        <f t="shared" ca="1" si="116"/>
        <v/>
      </c>
      <c r="AL153" s="76" t="str">
        <f t="shared" ca="1" si="117"/>
        <v/>
      </c>
      <c r="AM153" s="76"/>
      <c r="AN153" s="76"/>
      <c r="AO153" s="76" t="str">
        <f t="shared" ca="1" si="85"/>
        <v/>
      </c>
      <c r="AP153" s="76" t="str">
        <f t="shared" ca="1" si="86"/>
        <v/>
      </c>
      <c r="AQ153" s="76" t="str">
        <f ca="1">IF(AK153="","",IF(ISNA(MATCH(AK153,$AK$23:$AK$32,0)),AO153*AP153,1))</f>
        <v/>
      </c>
      <c r="AR153" s="76">
        <f ca="1">COUNTIF($AQ$54:$AQ153,AR$53)</f>
        <v>0</v>
      </c>
      <c r="AS153" s="76">
        <f ca="1">COUNTIF($AQ$54:$AQ153,AS$53)</f>
        <v>0</v>
      </c>
      <c r="AT153" s="76">
        <f ca="1">COUNTIF($AQ$54:$AQ153,AT$53)</f>
        <v>0</v>
      </c>
      <c r="AU153" s="76" t="str">
        <f t="shared" ca="1" si="88"/>
        <v/>
      </c>
      <c r="AV153" s="76" t="str">
        <f t="shared" ca="1" si="89"/>
        <v/>
      </c>
      <c r="AW153" s="76" t="str">
        <f t="shared" ca="1" si="90"/>
        <v/>
      </c>
      <c r="AX153" s="76"/>
      <c r="AY153" s="76">
        <f t="shared" si="91"/>
        <v>100</v>
      </c>
      <c r="AZ153" s="76" t="str">
        <f t="shared" ca="1" si="92"/>
        <v/>
      </c>
      <c r="BA153" s="76" t="str">
        <f t="shared" ca="1" si="93"/>
        <v/>
      </c>
      <c r="BB153" s="76" t="str">
        <f ca="1">IF(AZ153="","",COUNTIF(BA$53:BA152,BA153))</f>
        <v/>
      </c>
      <c r="BC153" s="76" t="str">
        <f ca="1">IF(AZ153="","",IF(BB153=1,1,0))</f>
        <v/>
      </c>
      <c r="BD153" s="76" t="str">
        <f ca="1">IF(AZ153="","",IF(BC153=0,0,MATCH(BA153,BA$54:BA153,0)))</f>
        <v/>
      </c>
      <c r="BE153" s="76" t="str">
        <f t="shared" ca="1" si="95"/>
        <v/>
      </c>
      <c r="BF153" s="76" t="str">
        <f ca="1">IF(AZ153="","",IF(BC153=0,BE153,1-OFFSET(BE$53,BD153,0)))</f>
        <v/>
      </c>
      <c r="BG153" s="76" t="str">
        <f ca="1">IF(AZ153="","",COUNTIF(BF$54:BF153,BF153))</f>
        <v/>
      </c>
      <c r="BH153" s="76" t="str">
        <f ca="1">IF(AZ153="","",MATCH(BG153,OFFSET($CG$53,1+BF153*BH$51,BH$52,BH$51),0))</f>
        <v/>
      </c>
      <c r="BI153" s="76" t="str">
        <f ca="1">IF(AZ153="","",OFFSET($CG$53,BH153+BF153*BH$51,AY$52))</f>
        <v/>
      </c>
      <c r="BJ153" s="76">
        <f t="shared" si="118"/>
        <v>100</v>
      </c>
      <c r="BK153" s="76" t="str">
        <f t="shared" ca="1" si="99"/>
        <v/>
      </c>
      <c r="BL153" s="76" t="str">
        <f t="shared" ca="1" si="100"/>
        <v/>
      </c>
      <c r="BM153" s="76" t="str">
        <f ca="1">IF(BK153="","",COUNTIF(BL$53:BL152,BL153))</f>
        <v/>
      </c>
      <c r="BN153" s="76" t="str">
        <f ca="1">IF(BK153="","",IF(BM153=1,1,0))</f>
        <v/>
      </c>
      <c r="BO153" s="76" t="str">
        <f ca="1">IF(BK153="","",IF(BN153=0,0,MATCH(BL153,BL$54:BL153,0)))</f>
        <v/>
      </c>
      <c r="BP153" s="76" t="str">
        <f t="shared" ca="1" si="102"/>
        <v/>
      </c>
      <c r="BQ153" s="76" t="str">
        <f ca="1">IF(BK153="","",IF(BN153=0,BP153,1-OFFSET(BP$53,BO153,0)))</f>
        <v/>
      </c>
      <c r="BR153" s="76" t="str">
        <f ca="1">IF(BK153="","",COUNTIF(BQ$54:BQ153,BQ153))</f>
        <v/>
      </c>
      <c r="BS153" s="76" t="str">
        <f ca="1">IF(BK153="","",MATCH(BR153,OFFSET($CG$53,1+BQ153*BS$51,BS$52,BS$51),0))</f>
        <v/>
      </c>
      <c r="BT153" s="76" t="str">
        <f ca="1">IF(BK153="","",OFFSET($CG$53,BS153+BQ153*BS$51,BJ$52))</f>
        <v/>
      </c>
      <c r="BU153" s="76">
        <f t="shared" si="119"/>
        <v>100</v>
      </c>
      <c r="BV153" s="76" t="str">
        <f t="shared" ca="1" si="106"/>
        <v/>
      </c>
      <c r="BW153" s="76" t="str">
        <f t="shared" ca="1" si="107"/>
        <v/>
      </c>
      <c r="BX153" s="76" t="str">
        <f ca="1">IF(BV153="","",COUNTIF(BW$53:BW152,BW153))</f>
        <v/>
      </c>
      <c r="BY153" s="76" t="str">
        <f ca="1">IF(BV153="","",IF(BX153=1,1,0))</f>
        <v/>
      </c>
      <c r="BZ153" s="76" t="str">
        <f ca="1">IF(BV153="","",IF(BY153=0,0,MATCH(BW153,BW$54:BW153,0)))</f>
        <v/>
      </c>
      <c r="CA153" s="76" t="str">
        <f t="shared" ca="1" si="109"/>
        <v/>
      </c>
      <c r="CB153" s="76" t="str">
        <f ca="1">IF(BV153="","",IF(BY153=0,CA153,1-OFFSET(CA$53,BZ153,0)))</f>
        <v/>
      </c>
      <c r="CC153" s="76" t="str">
        <f ca="1">IF(BV153="","",COUNTIF(CB$54:CB153,CB153))</f>
        <v/>
      </c>
      <c r="CD153" s="76" t="str">
        <f ca="1">IF(BV153="","",MATCH(CC153,OFFSET($CG$53,1+CB153*CD$51,CD$52,CD$51),0))</f>
        <v/>
      </c>
      <c r="CE153" s="76" t="str">
        <f ca="1">IF(BV153="","",OFFSET($CG$53,CD153+CB153*CD$51,BU$52))</f>
        <v/>
      </c>
    </row>
  </sheetData>
  <phoneticPr fontId="2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>
    <tabColor indexed="48"/>
  </sheetPr>
  <dimension ref="A1:DW455"/>
  <sheetViews>
    <sheetView showGridLines="0" zoomScale="90" zoomScaleNormal="90" workbookViewId="0">
      <selection activeCell="F9" sqref="F9"/>
    </sheetView>
  </sheetViews>
  <sheetFormatPr defaultRowHeight="13.5" outlineLevelRow="1" outlineLevelCol="1"/>
  <cols>
    <col min="1" max="1" width="1.625" style="121" customWidth="1"/>
    <col min="2" max="2" width="3.625" style="1" customWidth="1"/>
    <col min="3" max="3" width="64.625" style="1" customWidth="1"/>
    <col min="4" max="13" width="3.625" style="1" customWidth="1"/>
    <col min="14" max="19" width="2.625" style="1" hidden="1" customWidth="1" outlineLevel="1"/>
    <col min="20" max="20" width="5.625" style="160" customWidth="1" collapsed="1"/>
    <col min="21" max="21" width="4.375" style="160" customWidth="1"/>
    <col min="22" max="23" width="4.625" style="160" hidden="1" customWidth="1" outlineLevel="1"/>
    <col min="24" max="24" width="5.625" style="160" hidden="1" customWidth="1" outlineLevel="1"/>
    <col min="25" max="25" width="1.625" style="121" customWidth="1" collapsed="1"/>
    <col min="26" max="26" width="3.625" style="1" customWidth="1"/>
    <col min="27" max="27" width="64.625" style="1" customWidth="1"/>
    <col min="28" max="37" width="3.625" style="1" customWidth="1"/>
    <col min="38" max="43" width="2.625" style="1" hidden="1" customWidth="1" outlineLevel="1"/>
    <col min="44" max="44" width="5.625" style="160" customWidth="1" collapsed="1"/>
    <col min="45" max="45" width="5.625" style="160" customWidth="1"/>
    <col min="46" max="47" width="4.625" style="160" hidden="1" customWidth="1" outlineLevel="1"/>
    <col min="48" max="48" width="5.625" style="160" hidden="1" customWidth="1" outlineLevel="1"/>
    <col min="49" max="49" width="1.625" style="121" customWidth="1" collapsed="1"/>
    <col min="50" max="51" width="2.625" style="1" hidden="1" customWidth="1" outlineLevel="1"/>
    <col min="52" max="52" width="6.625" style="1" hidden="1" customWidth="1" outlineLevel="1"/>
    <col min="53" max="68" width="2.625" style="161" hidden="1" customWidth="1" outlineLevel="1"/>
    <col min="69" max="77" width="2.625" style="1" hidden="1" customWidth="1" outlineLevel="1"/>
    <col min="78" max="78" width="1.625" style="1" customWidth="1" collapsed="1"/>
    <col min="79" max="80" width="2.625" style="1" hidden="1" customWidth="1" outlineLevel="1"/>
    <col min="81" max="81" width="6.625" style="1" hidden="1" customWidth="1" outlineLevel="1"/>
    <col min="82" max="97" width="2.625" style="161" hidden="1" customWidth="1" outlineLevel="1"/>
    <col min="98" max="106" width="2.625" style="1" hidden="1" customWidth="1" outlineLevel="1"/>
    <col min="107" max="107" width="1.625" style="1" customWidth="1" collapsed="1"/>
    <col min="108" max="108" width="2.625" style="1" customWidth="1"/>
    <col min="109" max="113" width="2.625" style="123" hidden="1" customWidth="1" outlineLevel="1"/>
    <col min="114" max="114" width="20.25" style="36" hidden="1" customWidth="1" outlineLevel="1"/>
    <col min="115" max="115" width="19.125" style="36" hidden="1" customWidth="1" outlineLevel="1"/>
    <col min="116" max="117" width="4.625" style="123" hidden="1" customWidth="1" outlineLevel="1"/>
    <col min="118" max="118" width="2.625" style="1" customWidth="1" collapsed="1"/>
    <col min="119" max="119" width="16.75" style="1" customWidth="1"/>
    <col min="120" max="120" width="17.125" style="1" customWidth="1"/>
    <col min="121" max="121" width="15.75" style="1" customWidth="1"/>
    <col min="122" max="122" width="13.125" style="1" customWidth="1"/>
    <col min="123" max="123" width="8" style="1" customWidth="1"/>
    <col min="124" max="124" width="6.875" style="1" customWidth="1"/>
    <col min="125" max="125" width="7.625" style="1" customWidth="1"/>
    <col min="126" max="126" width="8" style="1" customWidth="1"/>
    <col min="127" max="127" width="7.625" style="1" customWidth="1"/>
    <col min="128" max="16384" width="9" style="1"/>
  </cols>
  <sheetData>
    <row r="1" spans="2:127" ht="12" customHeight="1"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22"/>
      <c r="CX1" s="122"/>
      <c r="CY1" s="122"/>
      <c r="CZ1" s="122"/>
      <c r="DA1" s="122"/>
      <c r="DB1" s="122"/>
      <c r="DO1" s="184" t="s">
        <v>283</v>
      </c>
    </row>
    <row r="2" spans="2:127" ht="12" hidden="1" customHeight="1" outlineLevel="1">
      <c r="B2" s="124"/>
      <c r="C2" s="121" t="s">
        <v>75</v>
      </c>
      <c r="D2" s="125" t="s">
        <v>18</v>
      </c>
      <c r="F2" s="126">
        <v>1</v>
      </c>
      <c r="G2" s="127">
        <f ca="1">COUNTIF(OFFSET(gr_header,1+7*(F2-1)/2,2,5,10),"p")/2</f>
        <v>0</v>
      </c>
      <c r="H2" s="126">
        <f>F2+2</f>
        <v>3</v>
      </c>
      <c r="I2" s="127">
        <f ca="1">COUNTIF(OFFSET(gr_header,1+7*(H2-1)/2,2,5,10),"p")/2</f>
        <v>0</v>
      </c>
      <c r="J2" s="126">
        <f>H2+2</f>
        <v>5</v>
      </c>
      <c r="K2" s="127">
        <f ca="1">COUNTIF(OFFSET(gr_header,1+7*(J2-1)/2,2,5,10),"p")/2</f>
        <v>0</v>
      </c>
      <c r="L2" s="126">
        <f>J2+2</f>
        <v>7</v>
      </c>
      <c r="M2" s="127">
        <f ca="1">COUNTIF(OFFSET(gr_header,1+7*(L2-1)/2,2,5,10),"p")/2</f>
        <v>0</v>
      </c>
      <c r="N2" s="128"/>
      <c r="O2" s="128"/>
      <c r="P2" s="128"/>
      <c r="Q2" s="128"/>
      <c r="R2" s="128"/>
      <c r="S2" s="128"/>
      <c r="T2" s="129"/>
      <c r="U2" s="130"/>
      <c r="V2" s="129"/>
      <c r="W2" s="129"/>
      <c r="X2" s="129"/>
      <c r="Z2" s="124"/>
      <c r="AA2" s="121"/>
      <c r="AB2" s="125"/>
      <c r="AD2" s="126">
        <v>2</v>
      </c>
      <c r="AE2" s="127">
        <f ca="1">COUNTIF(OFFSET(gr_header,1+7*(AD2-2)/2,20,5,10),"p")/2</f>
        <v>0</v>
      </c>
      <c r="AF2" s="126">
        <f>AD2+2</f>
        <v>4</v>
      </c>
      <c r="AG2" s="127">
        <f ca="1">COUNTIF(OFFSET(gr_header,1+7*(AF2-2)/2,20,5,10),"p")/2</f>
        <v>0</v>
      </c>
      <c r="AH2" s="126">
        <f>AF2+2</f>
        <v>6</v>
      </c>
      <c r="AI2" s="127">
        <f ca="1">COUNTIF(OFFSET(gr_header,1+7*(AH2-2)/2,20,5,10),"p")/2</f>
        <v>0</v>
      </c>
      <c r="AJ2" s="126">
        <f>AH2+2</f>
        <v>8</v>
      </c>
      <c r="AK2" s="127">
        <f ca="1">COUNTIF(OFFSET(gr_header,1+7*(AJ2-2)/2,20,5,10),"p")/2</f>
        <v>0</v>
      </c>
      <c r="AL2" s="128"/>
      <c r="AM2" s="128"/>
      <c r="AN2" s="128"/>
      <c r="AO2" s="128"/>
      <c r="AP2" s="128"/>
      <c r="AQ2" s="128"/>
      <c r="AR2" s="129"/>
      <c r="AS2" s="130"/>
      <c r="AT2" s="129"/>
      <c r="AU2" s="129"/>
      <c r="AV2" s="129"/>
      <c r="AX2" s="121"/>
      <c r="AY2" s="121"/>
      <c r="AZ2" s="12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21"/>
      <c r="BR2" s="121"/>
      <c r="BS2" s="121"/>
      <c r="BT2" s="121"/>
      <c r="BU2" s="121"/>
      <c r="BV2" s="121"/>
      <c r="BW2" s="121"/>
      <c r="BX2" s="121"/>
      <c r="BY2" s="121"/>
      <c r="CA2" s="121"/>
      <c r="CB2" s="121"/>
      <c r="CC2" s="12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1"/>
      <c r="CS2" s="131"/>
      <c r="CT2" s="121"/>
      <c r="CU2" s="121"/>
      <c r="CV2" s="121"/>
      <c r="CW2" s="121"/>
      <c r="CX2" s="121"/>
      <c r="CY2" s="121"/>
      <c r="CZ2" s="121"/>
      <c r="DA2" s="121"/>
      <c r="DB2" s="121"/>
    </row>
    <row r="3" spans="2:127" ht="12" hidden="1" customHeight="1" outlineLevel="1" thickBot="1">
      <c r="B3" s="124"/>
      <c r="C3" s="121" t="s">
        <v>71</v>
      </c>
      <c r="D3" s="132">
        <f ca="1">SUM(G2,I2,K2,M2,AE2,AG2,AI2,AK2,AK5,AI5,AG5,AE5,M5,K5,I5,G5)</f>
        <v>0</v>
      </c>
      <c r="F3" s="133">
        <f ca="1">COUNTIF(OFFSET(gr_header,1+7*(F2-1)/2,2,5,10),3)/2</f>
        <v>0</v>
      </c>
      <c r="G3" s="134">
        <f ca="1">OFFSET(gr_header,1+7*(F2-1)/2,COLUMN($AX8)-2)*(OFFSET(gr_header,1+7*(F2-1)/2,COLUMN($AX8)-2)-1)/2-SUM(G2,F3)</f>
        <v>0</v>
      </c>
      <c r="H3" s="133">
        <f ca="1">COUNTIF(OFFSET(gr_header,1+7*(H2-1)/2,2,5,10),3)/2</f>
        <v>0.5</v>
      </c>
      <c r="I3" s="134">
        <f ca="1">OFFSET(gr_header,1+7*(H2-1)/2,COLUMN($AX8)-2)*(OFFSET(gr_header,1+7*(H2-1)/2,COLUMN($AX8)-2)-1)/2-SUM(I2,H3)</f>
        <v>-0.5</v>
      </c>
      <c r="J3" s="133">
        <f ca="1">COUNTIF(OFFSET(gr_header,1+7*(J2-1)/2,2,5,10),3)/2</f>
        <v>0</v>
      </c>
      <c r="K3" s="134">
        <f ca="1">OFFSET(gr_header,1+7*(J2-1)/2,COLUMN($AX8)-2)*(OFFSET(gr_header,1+7*(J2-1)/2,COLUMN($AX8)-2)-1)/2-SUM(K2,J3)</f>
        <v>0</v>
      </c>
      <c r="L3" s="133">
        <f ca="1">COUNTIF(OFFSET(gr_header,1+7*(L2-1)/2,2,5,10),3)/2</f>
        <v>0</v>
      </c>
      <c r="M3" s="134">
        <f ca="1">OFFSET(gr_header,1+7*(L2-1)/2,COLUMN($AX8)-2)*(OFFSET(gr_header,1+7*(L2-1)/2,COLUMN($AX8)-2)-1)/2-SUM(M2,L3)</f>
        <v>0</v>
      </c>
      <c r="N3" s="135"/>
      <c r="O3" s="135"/>
      <c r="P3" s="135"/>
      <c r="Q3" s="135"/>
      <c r="R3" s="135"/>
      <c r="S3" s="135"/>
      <c r="T3" s="130"/>
      <c r="U3" s="129"/>
      <c r="V3" s="129"/>
      <c r="W3" s="129"/>
      <c r="X3" s="129"/>
      <c r="Z3" s="124"/>
      <c r="AA3" s="121"/>
      <c r="AB3" s="132"/>
      <c r="AD3" s="133">
        <f ca="1">COUNTIF(OFFSET(gr_header,1+7*(AD2-2)/2,20,5,10),3)/2</f>
        <v>0.5</v>
      </c>
      <c r="AE3" s="134">
        <f ca="1">OFFSET(gr_header,1+7*(AD2-2)/2,COLUMN($CA8)-2)*(OFFSET(gr_header,1+7*(AD2-2)/2,COLUMN($CA8)-2)-1)/2-SUM(AE2,AD3)</f>
        <v>-0.5</v>
      </c>
      <c r="AF3" s="133">
        <f ca="1">COUNTIF(OFFSET(gr_header,1+7*(AF2-2)/2,20,5,10),3)/2</f>
        <v>0</v>
      </c>
      <c r="AG3" s="134">
        <f ca="1">OFFSET(gr_header,1+7*(AF2-2)/2,COLUMN($CA8)-2)*(OFFSET(gr_header,1+7*(AF2-2)/2,COLUMN($CA8)-2)-1)/2-SUM(AG2,AF3)</f>
        <v>0</v>
      </c>
      <c r="AH3" s="133">
        <f ca="1">COUNTIF(OFFSET(gr_header,1+7*(AH2-2)/2,20,5,10),3)/2</f>
        <v>0</v>
      </c>
      <c r="AI3" s="134">
        <f ca="1">OFFSET(gr_header,1+7*(AH2-2)/2,COLUMN($CA8)-2)*(OFFSET(gr_header,1+7*(AH2-2)/2,COLUMN($CA8)-2)-1)/2-SUM(AI2,AH3)</f>
        <v>0</v>
      </c>
      <c r="AJ3" s="133">
        <f ca="1">COUNTIF(OFFSET(gr_header,1+7*(AJ2-2)/2,20,5,10),3)/2</f>
        <v>0.5</v>
      </c>
      <c r="AK3" s="134">
        <f ca="1">OFFSET(gr_header,1+7*(AJ2-2)/2,COLUMN($CA8)-2)*(OFFSET(gr_header,1+7*(AJ2-2)/2,COLUMN($CA8)-2)-1)/2-SUM(AK2,AJ3)</f>
        <v>-0.5</v>
      </c>
      <c r="AL3" s="135"/>
      <c r="AM3" s="135"/>
      <c r="AN3" s="135"/>
      <c r="AO3" s="135"/>
      <c r="AP3" s="135"/>
      <c r="AQ3" s="135"/>
      <c r="AR3" s="130"/>
      <c r="AS3" s="129"/>
      <c r="AT3" s="129"/>
      <c r="AU3" s="129"/>
      <c r="AV3" s="129"/>
      <c r="AX3" s="121"/>
      <c r="AY3" s="121"/>
      <c r="AZ3" s="12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21"/>
      <c r="BR3" s="121"/>
      <c r="BS3" s="121"/>
      <c r="BT3" s="121"/>
      <c r="BU3" s="121"/>
      <c r="BV3" s="121"/>
      <c r="BW3" s="121"/>
      <c r="BX3" s="121"/>
      <c r="BY3" s="121"/>
      <c r="CA3" s="121"/>
      <c r="CB3" s="121"/>
      <c r="CC3" s="121"/>
      <c r="CD3" s="131"/>
      <c r="CE3" s="131"/>
      <c r="CF3" s="131"/>
      <c r="CG3" s="131"/>
      <c r="CH3" s="131"/>
      <c r="CI3" s="131"/>
      <c r="CJ3" s="131"/>
      <c r="CK3" s="131"/>
      <c r="CL3" s="131"/>
      <c r="CM3" s="131"/>
      <c r="CN3" s="131"/>
      <c r="CO3" s="131"/>
      <c r="CP3" s="131"/>
      <c r="CQ3" s="131"/>
      <c r="CR3" s="131"/>
      <c r="CS3" s="131"/>
      <c r="CT3" s="121"/>
      <c r="CU3" s="121"/>
      <c r="CV3" s="121"/>
      <c r="CW3" s="121"/>
      <c r="CX3" s="121"/>
      <c r="CY3" s="121"/>
      <c r="CZ3" s="121"/>
      <c r="DA3" s="121"/>
      <c r="DB3" s="121"/>
    </row>
    <row r="4" spans="2:127" ht="12" hidden="1" customHeight="1" outlineLevel="1" thickBot="1">
      <c r="B4" s="124"/>
      <c r="C4" s="121" t="s">
        <v>72</v>
      </c>
      <c r="D4" s="136">
        <f ca="1">SUM(F3,H3,J3,L3,AD3,AF3,AH3,AJ3,AJ6,AH6,AF6,AD6,L6,J6,H6,F6)</f>
        <v>4.5</v>
      </c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9"/>
      <c r="U4" s="129"/>
      <c r="V4" s="129"/>
      <c r="W4" s="129"/>
      <c r="X4" s="129"/>
      <c r="Z4" s="124"/>
      <c r="AA4" s="121"/>
      <c r="AB4" s="136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9"/>
      <c r="AS4" s="129"/>
      <c r="AT4" s="129"/>
      <c r="AU4" s="129"/>
      <c r="AV4" s="129"/>
      <c r="AX4" s="121"/>
      <c r="AY4" s="121"/>
      <c r="AZ4" s="12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1"/>
      <c r="BQ4" s="121"/>
      <c r="BR4" s="121"/>
      <c r="BS4" s="121"/>
      <c r="BT4" s="121"/>
      <c r="BU4" s="121"/>
      <c r="BV4" s="121"/>
      <c r="BW4" s="121"/>
      <c r="BX4" s="121"/>
      <c r="BY4" s="121"/>
      <c r="CA4" s="121"/>
      <c r="CB4" s="121"/>
      <c r="CC4" s="121"/>
      <c r="CD4" s="131"/>
      <c r="CE4" s="131"/>
      <c r="CF4" s="131"/>
      <c r="CG4" s="131"/>
      <c r="CH4" s="131"/>
      <c r="CI4" s="131"/>
      <c r="CJ4" s="131"/>
      <c r="CK4" s="131"/>
      <c r="CL4" s="131"/>
      <c r="CM4" s="131"/>
      <c r="CN4" s="131"/>
      <c r="CO4" s="131"/>
      <c r="CP4" s="131"/>
      <c r="CQ4" s="131"/>
      <c r="CR4" s="131"/>
      <c r="CS4" s="131"/>
      <c r="CT4" s="121"/>
      <c r="CU4" s="121"/>
      <c r="CV4" s="121"/>
      <c r="CW4" s="121"/>
      <c r="CX4" s="121"/>
      <c r="CY4" s="121"/>
      <c r="CZ4" s="121"/>
      <c r="DA4" s="121"/>
      <c r="DB4" s="121"/>
    </row>
    <row r="5" spans="2:127" ht="12" hidden="1" customHeight="1" outlineLevel="1">
      <c r="B5" s="124"/>
      <c r="C5" s="121" t="s">
        <v>73</v>
      </c>
      <c r="D5" s="137" t="e">
        <f ca="1">SUM(G3,I3,K3,M3,AE3,AG3,AI3,AK3,AK6,AI6,AG6,AE6,M6,K6,I6,G6)</f>
        <v>#VALUE!</v>
      </c>
      <c r="E5" s="121"/>
      <c r="F5" s="126">
        <v>9</v>
      </c>
      <c r="G5" s="127">
        <f ca="1">COUNTIF(OFFSET(gr_header,1+7*(F5-1)/2,2,5,10),"p")/2</f>
        <v>0</v>
      </c>
      <c r="H5" s="126">
        <f>F5+2</f>
        <v>11</v>
      </c>
      <c r="I5" s="127">
        <f ca="1">COUNTIF(OFFSET(gr_header,1+7*(H5-1)/2,2,5,10),"p")/2</f>
        <v>0</v>
      </c>
      <c r="J5" s="126">
        <f>H5+2</f>
        <v>13</v>
      </c>
      <c r="K5" s="127">
        <f ca="1">COUNTIF(OFFSET(gr_header,1+7*(J5-1)/2,2,5,10),"p")/2</f>
        <v>0</v>
      </c>
      <c r="L5" s="126">
        <f>J5+2</f>
        <v>15</v>
      </c>
      <c r="M5" s="127">
        <f ca="1">COUNTIF(OFFSET(gr_header,1+7*(L5-1)/2,2,5,10),"p")/2</f>
        <v>0</v>
      </c>
      <c r="N5" s="128"/>
      <c r="O5" s="128"/>
      <c r="P5" s="128"/>
      <c r="Q5" s="128"/>
      <c r="R5" s="128"/>
      <c r="S5" s="128"/>
      <c r="T5" s="129"/>
      <c r="U5" s="129"/>
      <c r="V5" s="129"/>
      <c r="W5" s="129"/>
      <c r="X5" s="129"/>
      <c r="Z5" s="124"/>
      <c r="AA5" s="121"/>
      <c r="AB5" s="137"/>
      <c r="AC5" s="121"/>
      <c r="AD5" s="126">
        <v>10</v>
      </c>
      <c r="AE5" s="127">
        <f ca="1">COUNTIF(OFFSET(gr_header,1+7*(AD5-2)/2,20,5,10),"p")/2</f>
        <v>0</v>
      </c>
      <c r="AF5" s="126">
        <f>AD5+2</f>
        <v>12</v>
      </c>
      <c r="AG5" s="127">
        <f ca="1">COUNTIF(OFFSET(gr_header,1+7*(AF5-2)/2,20,5,10),"p")/2</f>
        <v>0</v>
      </c>
      <c r="AH5" s="126">
        <f>AF5+2</f>
        <v>14</v>
      </c>
      <c r="AI5" s="127">
        <f ca="1">COUNTIF(OFFSET(gr_header,1+7*(AH5-2)/2,20,5,10),"p")/2</f>
        <v>0</v>
      </c>
      <c r="AJ5" s="126">
        <f>AH5+2</f>
        <v>16</v>
      </c>
      <c r="AK5" s="127">
        <f ca="1">COUNTIF(OFFSET(gr_header,1+7*(AJ5-2)/2,20,5,10),"p")/2</f>
        <v>0</v>
      </c>
      <c r="AL5" s="128"/>
      <c r="AM5" s="128"/>
      <c r="AN5" s="128"/>
      <c r="AO5" s="128"/>
      <c r="AP5" s="128"/>
      <c r="AQ5" s="128"/>
      <c r="AR5" s="129"/>
      <c r="AS5" s="129"/>
      <c r="AT5" s="129"/>
      <c r="AU5" s="129"/>
      <c r="AV5" s="129"/>
      <c r="AX5" s="121"/>
      <c r="AY5" s="121"/>
      <c r="AZ5" s="12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/>
      <c r="BL5" s="131"/>
      <c r="BM5" s="131"/>
      <c r="BN5" s="131"/>
      <c r="BO5" s="131"/>
      <c r="BP5" s="131"/>
      <c r="BQ5" s="121"/>
      <c r="BR5" s="121"/>
      <c r="BS5" s="121"/>
      <c r="BT5" s="121"/>
      <c r="BU5" s="121"/>
      <c r="BV5" s="121"/>
      <c r="BW5" s="121"/>
      <c r="BX5" s="121"/>
      <c r="BY5" s="121"/>
      <c r="CA5" s="121"/>
      <c r="CB5" s="121"/>
      <c r="CC5" s="121"/>
      <c r="CD5" s="131"/>
      <c r="CE5" s="131"/>
      <c r="CF5" s="131"/>
      <c r="CG5" s="131"/>
      <c r="CH5" s="131"/>
      <c r="CI5" s="131"/>
      <c r="CJ5" s="131"/>
      <c r="CK5" s="131"/>
      <c r="CL5" s="131"/>
      <c r="CM5" s="131"/>
      <c r="CN5" s="131"/>
      <c r="CO5" s="131"/>
      <c r="CP5" s="131"/>
      <c r="CQ5" s="131"/>
      <c r="CR5" s="131"/>
      <c r="CS5" s="131"/>
      <c r="CT5" s="121"/>
      <c r="CU5" s="121"/>
      <c r="CV5" s="121"/>
      <c r="CW5" s="121"/>
      <c r="CX5" s="121"/>
      <c r="CY5" s="121"/>
      <c r="CZ5" s="121"/>
      <c r="DA5" s="121"/>
      <c r="DB5" s="121"/>
    </row>
    <row r="6" spans="2:127" ht="12" hidden="1" customHeight="1" outlineLevel="1" thickBot="1">
      <c r="B6" s="124"/>
      <c r="C6" s="121" t="s">
        <v>74</v>
      </c>
      <c r="D6" s="138" t="e">
        <f ca="1">SUM(D3:D5)</f>
        <v>#VALUE!</v>
      </c>
      <c r="E6" s="121"/>
      <c r="F6" s="133">
        <f ca="1">COUNTIF(OFFSET(gr_header,1+7*(F5-1)/2,2,5,10),3)/2</f>
        <v>0.5</v>
      </c>
      <c r="G6" s="134">
        <f ca="1">OFFSET(gr_header,1+7*(F5-1)/2,COLUMN($AX11)-2)*(OFFSET(gr_header,1+7*(F5-1)/2,COLUMN($AX11)-2)-1)/2-SUM(G5,F6)</f>
        <v>-0.5</v>
      </c>
      <c r="H6" s="133">
        <f ca="1">COUNTIF(OFFSET(gr_header,1+7*(H5-1)/2,2,5,10),3)/2</f>
        <v>0.5</v>
      </c>
      <c r="I6" s="134">
        <f ca="1">OFFSET(gr_header,1+7*(H5-1)/2,COLUMN($AX11)-2)*(OFFSET(gr_header,1+7*(H5-1)/2,COLUMN($AX11)-2)-1)/2-SUM(I5,H6)</f>
        <v>-0.5</v>
      </c>
      <c r="J6" s="133">
        <f ca="1">COUNTIF(OFFSET(gr_header,1+7*(J5-1)/2,2,5,10),3)/2</f>
        <v>0</v>
      </c>
      <c r="K6" s="134">
        <f ca="1">OFFSET(gr_header,1+7*(J5-1)/2,COLUMN($AX11)-2)*(OFFSET(gr_header,1+7*(J5-1)/2,COLUMN($AX11)-2)-1)/2-SUM(K5,J6)</f>
        <v>0</v>
      </c>
      <c r="L6" s="133">
        <f ca="1">COUNTIF(OFFSET(gr_header,1+7*(L5-1)/2,2,5,10),3)/2</f>
        <v>0.5</v>
      </c>
      <c r="M6" s="134" t="e">
        <f ca="1">OFFSET(gr_header,1+7*(L5-1)/2,COLUMN($AX11)-2)*(OFFSET(gr_header,1+7*(L5-1)/2,COLUMN($AX11)-2)-1)/2-SUM(M5,L6)</f>
        <v>#VALUE!</v>
      </c>
      <c r="N6" s="135"/>
      <c r="O6" s="135"/>
      <c r="P6" s="135"/>
      <c r="Q6" s="135"/>
      <c r="R6" s="135"/>
      <c r="S6" s="135"/>
      <c r="T6" s="129"/>
      <c r="U6" s="129"/>
      <c r="V6" s="129"/>
      <c r="W6" s="129"/>
      <c r="X6" s="129"/>
      <c r="Z6" s="124"/>
      <c r="AA6" s="121"/>
      <c r="AB6" s="138"/>
      <c r="AC6" s="121"/>
      <c r="AD6" s="133">
        <f ca="1">COUNTIF(OFFSET(gr_header,1+7*(AD5-2)/2,20,5,10),3)/2</f>
        <v>0.5</v>
      </c>
      <c r="AE6" s="134">
        <f ca="1">OFFSET(gr_header,1+7*(AD5-2)/2,COLUMN($CA11)-2)*(OFFSET(gr_header,1+7*(AD5-2)/2,COLUMN($CA11)-2)-1)/2-SUM(AE5,AD6)</f>
        <v>-0.5</v>
      </c>
      <c r="AF6" s="133">
        <f ca="1">COUNTIF(OFFSET(gr_header,1+7*(AF5-2)/2,20,5,10),3)/2</f>
        <v>0</v>
      </c>
      <c r="AG6" s="134">
        <f ca="1">OFFSET(gr_header,1+7*(AF5-2)/2,COLUMN($CA11)-2)*(OFFSET(gr_header,1+7*(AF5-2)/2,COLUMN($CA11)-2)-1)/2-SUM(AG5,AF6)</f>
        <v>0</v>
      </c>
      <c r="AH6" s="133">
        <f ca="1">COUNTIF(OFFSET(gr_header,1+7*(AH5-2)/2,20,5,10),3)/2</f>
        <v>0.5</v>
      </c>
      <c r="AI6" s="134">
        <f ca="1">OFFSET(gr_header,1+7*(AH5-2)/2,COLUMN($CA11)-2)*(OFFSET(gr_header,1+7*(AH5-2)/2,COLUMN($CA11)-2)-1)/2-SUM(AI5,AH6)</f>
        <v>-0.5</v>
      </c>
      <c r="AJ6" s="133">
        <f ca="1">COUNTIF(OFFSET(gr_header,1+7*(AJ5-2)/2,20,5,10),3)/2</f>
        <v>0.5</v>
      </c>
      <c r="AK6" s="134" t="e">
        <f ca="1">OFFSET(gr_header,1+7*(AJ5-2)/2,COLUMN($CA11)-2)*(OFFSET(gr_header,1+7*(AJ5-2)/2,COLUMN($CA11)-2)-1)/2-SUM(AK5,AJ6)</f>
        <v>#VALUE!</v>
      </c>
      <c r="AL6" s="135"/>
      <c r="AM6" s="135"/>
      <c r="AN6" s="135"/>
      <c r="AO6" s="135"/>
      <c r="AP6" s="135"/>
      <c r="AQ6" s="135"/>
      <c r="AR6" s="129"/>
      <c r="AS6" s="129"/>
      <c r="AT6" s="129"/>
      <c r="AU6" s="129"/>
      <c r="AV6" s="129"/>
      <c r="AX6" s="121"/>
      <c r="AY6" s="121"/>
      <c r="AZ6" s="121"/>
      <c r="BA6" s="131"/>
      <c r="BB6" s="131"/>
      <c r="BC6" s="131"/>
      <c r="BD6" s="131"/>
      <c r="BE6" s="131"/>
      <c r="BF6" s="131"/>
      <c r="BG6" s="131"/>
      <c r="BH6" s="131"/>
      <c r="BI6" s="131"/>
      <c r="BJ6" s="131"/>
      <c r="BK6" s="131"/>
      <c r="BL6" s="131"/>
      <c r="BM6" s="131"/>
      <c r="BN6" s="131"/>
      <c r="BO6" s="131"/>
      <c r="BP6" s="131"/>
      <c r="BQ6" s="121"/>
      <c r="BR6" s="121"/>
      <c r="BS6" s="121"/>
      <c r="BT6" s="121"/>
      <c r="BU6" s="121"/>
      <c r="BV6" s="121"/>
      <c r="BW6" s="121"/>
      <c r="BX6" s="121"/>
      <c r="BY6" s="121"/>
      <c r="CA6" s="121"/>
      <c r="CB6" s="121"/>
      <c r="CC6" s="121"/>
      <c r="CD6" s="131"/>
      <c r="CE6" s="131"/>
      <c r="CF6" s="131"/>
      <c r="CG6" s="131"/>
      <c r="CH6" s="131"/>
      <c r="CI6" s="131"/>
      <c r="CJ6" s="131"/>
      <c r="CK6" s="131"/>
      <c r="CL6" s="131"/>
      <c r="CM6" s="131"/>
      <c r="CN6" s="131"/>
      <c r="CO6" s="131"/>
      <c r="CP6" s="131"/>
      <c r="CQ6" s="131"/>
      <c r="CR6" s="131"/>
      <c r="CS6" s="131"/>
      <c r="CT6" s="121"/>
      <c r="CU6" s="121"/>
      <c r="CV6" s="121"/>
      <c r="CW6" s="121"/>
      <c r="CX6" s="121"/>
      <c r="CY6" s="121"/>
      <c r="CZ6" s="121"/>
      <c r="DA6" s="121"/>
      <c r="DB6" s="121"/>
      <c r="DE6" s="123">
        <f>ROW(B18)-ROW(gr_header)</f>
        <v>10</v>
      </c>
      <c r="DF6" s="123">
        <f>COLUMN(Z8)-COLUMN(gr_header)</f>
        <v>24</v>
      </c>
      <c r="DG6" s="123">
        <v>8</v>
      </c>
      <c r="DH6" s="123">
        <f>COLUMN(U:U)-COLUMN(gr_header)</f>
        <v>19</v>
      </c>
    </row>
    <row r="7" spans="2:127" ht="12" customHeight="1" collapsed="1" thickBot="1">
      <c r="B7" s="139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40"/>
      <c r="U7" s="140"/>
      <c r="V7" s="140"/>
      <c r="W7" s="140"/>
      <c r="X7" s="140"/>
      <c r="Z7" s="139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40"/>
      <c r="AS7" s="140"/>
      <c r="AT7" s="140"/>
      <c r="AU7" s="140"/>
      <c r="AV7" s="140"/>
      <c r="AX7" s="121"/>
      <c r="AY7" s="121"/>
      <c r="AZ7" s="12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21"/>
      <c r="BR7" s="121"/>
      <c r="BS7" s="121"/>
      <c r="BT7" s="121"/>
      <c r="BU7" s="121"/>
      <c r="BV7" s="121"/>
      <c r="BW7" s="121"/>
      <c r="BX7" s="121"/>
      <c r="BY7" s="121"/>
      <c r="CA7" s="121"/>
      <c r="CB7" s="121"/>
      <c r="CC7" s="12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21"/>
      <c r="CU7" s="121"/>
      <c r="CV7" s="121"/>
      <c r="CW7" s="121"/>
      <c r="CX7" s="121"/>
      <c r="CY7" s="121"/>
      <c r="CZ7" s="121"/>
      <c r="DA7" s="121"/>
      <c r="DB7" s="121"/>
      <c r="DL7" s="123">
        <f ca="1">SUM(DL8:DL287)</f>
        <v>0</v>
      </c>
      <c r="DS7" s="1">
        <f ca="1">SUM(DS8:DS287)</f>
        <v>0</v>
      </c>
      <c r="DU7" s="183" t="s">
        <v>284</v>
      </c>
      <c r="DV7" s="183" t="s">
        <v>285</v>
      </c>
      <c r="DW7" s="183" t="s">
        <v>286</v>
      </c>
    </row>
    <row r="8" spans="2:127" ht="12" customHeight="1" thickBot="1">
      <c r="B8" s="164">
        <v>1</v>
      </c>
      <c r="C8" s="165" t="s">
        <v>38</v>
      </c>
      <c r="D8" s="205">
        <v>1</v>
      </c>
      <c r="E8" s="204"/>
      <c r="F8" s="203">
        <v>2</v>
      </c>
      <c r="G8" s="204"/>
      <c r="H8" s="203">
        <v>3</v>
      </c>
      <c r="I8" s="204"/>
      <c r="J8" s="203">
        <v>4</v>
      </c>
      <c r="K8" s="204"/>
      <c r="L8" s="203">
        <v>5</v>
      </c>
      <c r="M8" s="204"/>
      <c r="N8" s="195">
        <v>6</v>
      </c>
      <c r="O8" s="196"/>
      <c r="P8" s="195">
        <v>7</v>
      </c>
      <c r="Q8" s="196"/>
      <c r="R8" s="195">
        <v>8</v>
      </c>
      <c r="S8" s="197"/>
      <c r="T8" s="178" t="s">
        <v>88</v>
      </c>
      <c r="U8" s="178" t="s">
        <v>89</v>
      </c>
      <c r="V8" s="199" t="s">
        <v>5</v>
      </c>
      <c r="W8" s="198"/>
      <c r="X8" s="141" t="s">
        <v>6</v>
      </c>
      <c r="Y8" s="142"/>
      <c r="Z8" s="164">
        <v>2</v>
      </c>
      <c r="AA8" s="165" t="s">
        <v>38</v>
      </c>
      <c r="AB8" s="205">
        <v>1</v>
      </c>
      <c r="AC8" s="204"/>
      <c r="AD8" s="203">
        <v>2</v>
      </c>
      <c r="AE8" s="204"/>
      <c r="AF8" s="203">
        <v>3</v>
      </c>
      <c r="AG8" s="204"/>
      <c r="AH8" s="203">
        <v>4</v>
      </c>
      <c r="AI8" s="204"/>
      <c r="AJ8" s="203">
        <v>5</v>
      </c>
      <c r="AK8" s="204"/>
      <c r="AL8" s="195">
        <v>6</v>
      </c>
      <c r="AM8" s="196"/>
      <c r="AN8" s="195">
        <v>7</v>
      </c>
      <c r="AO8" s="196"/>
      <c r="AP8" s="195">
        <v>8</v>
      </c>
      <c r="AQ8" s="197"/>
      <c r="AR8" s="178" t="s">
        <v>88</v>
      </c>
      <c r="AS8" s="178" t="s">
        <v>89</v>
      </c>
      <c r="AT8" s="199" t="s">
        <v>5</v>
      </c>
      <c r="AU8" s="198"/>
      <c r="AV8" s="141" t="s">
        <v>6</v>
      </c>
      <c r="AW8" s="142"/>
      <c r="AX8" s="143" t="s">
        <v>7</v>
      </c>
      <c r="AY8" s="143" t="s">
        <v>8</v>
      </c>
      <c r="AZ8" s="143" t="s">
        <v>9</v>
      </c>
      <c r="BA8" s="144">
        <v>1</v>
      </c>
      <c r="BB8" s="144">
        <v>2</v>
      </c>
      <c r="BC8" s="144">
        <v>3</v>
      </c>
      <c r="BD8" s="144">
        <v>4</v>
      </c>
      <c r="BE8" s="144">
        <v>5</v>
      </c>
      <c r="BF8" s="144">
        <v>6</v>
      </c>
      <c r="BG8" s="144">
        <v>7</v>
      </c>
      <c r="BH8" s="144">
        <v>8</v>
      </c>
      <c r="BI8" s="145">
        <v>1</v>
      </c>
      <c r="BJ8" s="145">
        <v>2</v>
      </c>
      <c r="BK8" s="145">
        <v>3</v>
      </c>
      <c r="BL8" s="145">
        <v>4</v>
      </c>
      <c r="BM8" s="145">
        <v>5</v>
      </c>
      <c r="BN8" s="145">
        <v>6</v>
      </c>
      <c r="BO8" s="145">
        <v>7</v>
      </c>
      <c r="BP8" s="145">
        <v>8</v>
      </c>
      <c r="BQ8" s="144">
        <v>1</v>
      </c>
      <c r="BR8" s="144">
        <v>2</v>
      </c>
      <c r="BS8" s="144">
        <v>3</v>
      </c>
      <c r="BT8" s="144">
        <v>4</v>
      </c>
      <c r="BU8" s="144">
        <v>5</v>
      </c>
      <c r="BV8" s="144">
        <v>6</v>
      </c>
      <c r="BW8" s="144">
        <v>7</v>
      </c>
      <c r="BX8" s="144">
        <v>8</v>
      </c>
      <c r="BY8" s="146"/>
      <c r="CA8" s="143" t="s">
        <v>7</v>
      </c>
      <c r="CB8" s="143" t="s">
        <v>8</v>
      </c>
      <c r="CC8" s="143" t="s">
        <v>9</v>
      </c>
      <c r="CD8" s="144">
        <v>1</v>
      </c>
      <c r="CE8" s="144">
        <v>2</v>
      </c>
      <c r="CF8" s="144">
        <v>3</v>
      </c>
      <c r="CG8" s="144">
        <v>4</v>
      </c>
      <c r="CH8" s="144">
        <v>5</v>
      </c>
      <c r="CI8" s="144">
        <v>6</v>
      </c>
      <c r="CJ8" s="144">
        <v>7</v>
      </c>
      <c r="CK8" s="144">
        <v>8</v>
      </c>
      <c r="CL8" s="145">
        <v>1</v>
      </c>
      <c r="CM8" s="145">
        <v>2</v>
      </c>
      <c r="CN8" s="145">
        <v>3</v>
      </c>
      <c r="CO8" s="145">
        <v>4</v>
      </c>
      <c r="CP8" s="145">
        <v>5</v>
      </c>
      <c r="CQ8" s="145">
        <v>6</v>
      </c>
      <c r="CR8" s="145">
        <v>7</v>
      </c>
      <c r="CS8" s="145">
        <v>8</v>
      </c>
      <c r="CT8" s="144">
        <v>1</v>
      </c>
      <c r="CU8" s="144">
        <v>2</v>
      </c>
      <c r="CV8" s="144">
        <v>3</v>
      </c>
      <c r="CW8" s="144">
        <v>4</v>
      </c>
      <c r="CX8" s="144">
        <v>5</v>
      </c>
      <c r="CY8" s="144">
        <v>6</v>
      </c>
      <c r="CZ8" s="144">
        <v>7</v>
      </c>
      <c r="DA8" s="144">
        <v>8</v>
      </c>
      <c r="DB8" s="146"/>
      <c r="DE8" s="123">
        <f>DE9*shift1</f>
        <v>0</v>
      </c>
      <c r="DF8" s="123">
        <f>DF9*shift2</f>
        <v>0</v>
      </c>
      <c r="DG8" s="123">
        <v>1</v>
      </c>
      <c r="DH8" s="123">
        <v>2</v>
      </c>
      <c r="DI8" s="147">
        <v>1</v>
      </c>
      <c r="DJ8" s="36" t="str">
        <f ca="1">OFFSET(gr_header,DG8+DE8,1+DF8)</f>
        <v/>
      </c>
      <c r="DK8" s="36" t="str">
        <f t="shared" ref="DK8:DK33" ca="1" si="0">OFFSET(gr_header,DH8+DE8,1+DF8)</f>
        <v/>
      </c>
      <c r="DL8" s="123">
        <f ca="1">OFFSET(gr_header,DG8+DE8,2*DH8+DF8)</f>
        <v>0</v>
      </c>
      <c r="DM8" s="123">
        <f ca="1">OFFSET(gr_header,DG8+DE8,2*DH8+1+DF8)</f>
        <v>0</v>
      </c>
      <c r="DO8" s="183">
        <f ca="1">IF(DJ8="",0,TRIM(MID(DJ8,1,FIND(" ; ",DJ8)-1)))</f>
        <v>0</v>
      </c>
      <c r="DP8" s="183">
        <f ca="1">IF(DJ8="",0,TRIM(MID(DJ8,FIND(";",DJ8)+1,LEN(DJ8))))</f>
        <v>0</v>
      </c>
      <c r="DQ8" s="183">
        <f ca="1">IF(DK8="",0,TRIM(MID(DK8,1,FIND(" ; ",DK8)-1)))</f>
        <v>0</v>
      </c>
      <c r="DR8" s="183">
        <f ca="1">IF(DK8="",0,TRIM(MID(DK8,FIND(";",DK8)+1,LEN(DK8))))</f>
        <v>0</v>
      </c>
      <c r="DS8" s="182">
        <f ca="1">DL8</f>
        <v>0</v>
      </c>
      <c r="DT8" s="182">
        <f ca="1">DM8</f>
        <v>0</v>
      </c>
      <c r="DU8" s="182"/>
      <c r="DV8" s="182"/>
      <c r="DW8" s="182"/>
    </row>
    <row r="9" spans="2:127" ht="14.25" thickBot="1">
      <c r="B9" s="166">
        <v>1</v>
      </c>
      <c r="C9" s="167" t="str">
        <f ca="1">OFFSET(gr_anchor,B9,B8)</f>
        <v/>
      </c>
      <c r="D9" s="117"/>
      <c r="E9" s="118"/>
      <c r="F9" s="206"/>
      <c r="G9" s="207"/>
      <c r="H9" s="206"/>
      <c r="I9" s="207"/>
      <c r="J9" s="206"/>
      <c r="K9" s="207"/>
      <c r="L9" s="206"/>
      <c r="M9" s="207"/>
      <c r="N9" s="162"/>
      <c r="O9" s="162"/>
      <c r="P9" s="162"/>
      <c r="Q9" s="162"/>
      <c r="R9" s="162"/>
      <c r="S9" s="173"/>
      <c r="T9" s="177">
        <f ca="1">COUNTIF(OFFSET(E9,0,(B9-1)*2,8),2)*2+COUNTIF(OFFSET(D9,0,(B9-1)*2,8),2)</f>
        <v>0</v>
      </c>
      <c r="U9" s="177">
        <f t="shared" ref="U9:U11" ca="1" si="1">RANK(AZ9,AZ6:AZ13)*AY9</f>
        <v>0</v>
      </c>
      <c r="V9" s="175">
        <f ca="1">SUMPRODUCT(BA9:BH9,BI9:BP9)</f>
        <v>0</v>
      </c>
      <c r="W9" s="151">
        <f ca="1">SUMPRODUCT(BA9:BH9,BQ9:BX9)</f>
        <v>0</v>
      </c>
      <c r="X9" s="152" t="str">
        <f t="shared" ref="X9:X16" ca="1" si="2">IF(BY9=2,IF(W9=0,3,V9/W9),IF(V9=0,"",V9/W9))</f>
        <v/>
      </c>
      <c r="Y9" s="153"/>
      <c r="Z9" s="166">
        <v>1</v>
      </c>
      <c r="AA9" s="167" t="str">
        <f ca="1">OFFSET(gr_anchor,Z9,Z8)</f>
        <v/>
      </c>
      <c r="AB9" s="117"/>
      <c r="AC9" s="118"/>
      <c r="AD9" s="115"/>
      <c r="AE9" s="116"/>
      <c r="AF9" s="115"/>
      <c r="AG9" s="116"/>
      <c r="AH9" s="115"/>
      <c r="AI9" s="116"/>
      <c r="AJ9" s="115"/>
      <c r="AK9" s="116"/>
      <c r="AL9" s="162"/>
      <c r="AM9" s="162"/>
      <c r="AN9" s="162"/>
      <c r="AO9" s="162"/>
      <c r="AP9" s="162"/>
      <c r="AQ9" s="173"/>
      <c r="AR9" s="177">
        <f ca="1">COUNTIF(OFFSET(AC9,0,(Z9-1)*2,8),2)*2+COUNTIF(OFFSET(AB9,0,(Z9-1)*2,8),2)</f>
        <v>0</v>
      </c>
      <c r="AS9" s="177">
        <f ca="1">RANK(CC9,CC9:CC16)*CB9</f>
        <v>0</v>
      </c>
      <c r="AT9" s="175">
        <f ca="1">SUMPRODUCT(CD9:CK9,CL9:CS9)</f>
        <v>0</v>
      </c>
      <c r="AU9" s="151">
        <f ca="1">SUMPRODUCT(CD9:CK9,CT9:DA9)</f>
        <v>0</v>
      </c>
      <c r="AV9" s="152" t="str">
        <f ca="1">IF(DB9=2,IF(AU9=0,3,AT9/AU9),IF(AT9=0,"",AT9/AU9))</f>
        <v/>
      </c>
      <c r="AW9" s="153"/>
      <c r="AX9" s="156">
        <f ca="1">COUNTA(C9:C16)-COUNTBLANK(C9:C16)</f>
        <v>0</v>
      </c>
      <c r="AY9" s="156">
        <f t="shared" ref="AY9:AY16" ca="1" si="3">IF(AX9&lt;B9,0,1)</f>
        <v>0</v>
      </c>
      <c r="AZ9" s="157">
        <f ca="1">T9+IF(X9="",0,X9/100)</f>
        <v>0</v>
      </c>
      <c r="BA9" s="156">
        <f ca="1">IF(T9=OFFSET(T8,BA8,0),1,0)</f>
        <v>1</v>
      </c>
      <c r="BB9" s="156">
        <f ca="1">IF(T9=OFFSET(T8,BB8,0),1,0)</f>
        <v>1</v>
      </c>
      <c r="BC9" s="156">
        <f ca="1">IF(T9=OFFSET(T8,BC8,0),1,0)</f>
        <v>1</v>
      </c>
      <c r="BD9" s="156">
        <f ca="1">IF(T9=OFFSET(T8,BD8,0),1,0)</f>
        <v>1</v>
      </c>
      <c r="BE9" s="156">
        <f ca="1">IF(T9=OFFSET(T8,BE8,0),1,0)</f>
        <v>1</v>
      </c>
      <c r="BF9" s="156">
        <f ca="1">IF(T9=OFFSET(T8,BF8,0),1,0)</f>
        <v>1</v>
      </c>
      <c r="BG9" s="156">
        <f ca="1">IF(T9=OFFSET(T8,BG8,0),1,0)</f>
        <v>1</v>
      </c>
      <c r="BH9" s="156">
        <f ca="1">IF(T9=OFFSET(T8,BH8,0),1,0)</f>
        <v>1</v>
      </c>
      <c r="BI9" s="156">
        <f ca="1">OFFSET(C9,0,1+(BI8-1)*2)</f>
        <v>0</v>
      </c>
      <c r="BJ9" s="156">
        <f ca="1">OFFSET(C9,0,1+(BJ8-1)*2)</f>
        <v>0</v>
      </c>
      <c r="BK9" s="156">
        <f ca="1">OFFSET(C9,0,1+(BK8-1)*2)</f>
        <v>0</v>
      </c>
      <c r="BL9" s="156">
        <f ca="1">OFFSET(C9,0,1+(BL8-1)*2)</f>
        <v>0</v>
      </c>
      <c r="BM9" s="156">
        <f ca="1">OFFSET(C9,0,1+(BM8-1)*2)</f>
        <v>0</v>
      </c>
      <c r="BN9" s="156">
        <f ca="1">OFFSET(C9,0,1+(BN8-1)*2)</f>
        <v>0</v>
      </c>
      <c r="BO9" s="156">
        <f ca="1">OFFSET(C9,0,1+(BO8-1)*2)</f>
        <v>0</v>
      </c>
      <c r="BP9" s="156">
        <f ca="1">OFFSET(C9,0,1+(BP8-1)*2)</f>
        <v>0</v>
      </c>
      <c r="BQ9" s="156">
        <f t="shared" ref="BQ9:BX9" ca="1" si="4">OFFSET($C9,0,2+(BQ$8-1)*2)</f>
        <v>0</v>
      </c>
      <c r="BR9" s="156">
        <f t="shared" ca="1" si="4"/>
        <v>0</v>
      </c>
      <c r="BS9" s="156">
        <f t="shared" ca="1" si="4"/>
        <v>0</v>
      </c>
      <c r="BT9" s="156">
        <f t="shared" ca="1" si="4"/>
        <v>0</v>
      </c>
      <c r="BU9" s="156">
        <f t="shared" ca="1" si="4"/>
        <v>0</v>
      </c>
      <c r="BV9" s="156">
        <f t="shared" ca="1" si="4"/>
        <v>0</v>
      </c>
      <c r="BW9" s="156">
        <f t="shared" ca="1" si="4"/>
        <v>0</v>
      </c>
      <c r="BX9" s="156">
        <f t="shared" ca="1" si="4"/>
        <v>0</v>
      </c>
      <c r="BY9" s="156">
        <f ca="1">SUM(BA9:BH9)</f>
        <v>8</v>
      </c>
      <c r="CA9" s="156">
        <f ca="1">COUNTA(AA9:AA16)-COUNTBLANK(AA9:AA16)</f>
        <v>0</v>
      </c>
      <c r="CB9" s="156">
        <f ca="1">IF(CA9&lt;Z9,0,1)</f>
        <v>0</v>
      </c>
      <c r="CC9" s="157">
        <f ca="1">AR9+IF(AV9="",0,AV9/100)</f>
        <v>0</v>
      </c>
      <c r="CD9" s="156">
        <f ca="1">IF(AR9=OFFSET(AR8,CD8,0),1,0)</f>
        <v>1</v>
      </c>
      <c r="CE9" s="156">
        <f ca="1">IF(AR9=OFFSET(AR8,CE8,0),1,0)</f>
        <v>1</v>
      </c>
      <c r="CF9" s="156">
        <f ca="1">IF(AR9=OFFSET(AR8,CF8,0),1,0)</f>
        <v>1</v>
      </c>
      <c r="CG9" s="156">
        <f ca="1">IF(AR9=OFFSET(AR8,CG8,0),1,0)</f>
        <v>1</v>
      </c>
      <c r="CH9" s="156">
        <f ca="1">IF(AR9=OFFSET(AR8,CH8,0),1,0)</f>
        <v>1</v>
      </c>
      <c r="CI9" s="156">
        <f ca="1">IF(AR9=OFFSET(AR8,CI8,0),1,0)</f>
        <v>1</v>
      </c>
      <c r="CJ9" s="156">
        <f ca="1">IF(AR9=OFFSET(AR8,CJ8,0),1,0)</f>
        <v>1</v>
      </c>
      <c r="CK9" s="156">
        <f ca="1">IF(AR9=OFFSET(AR8,CK8,0),1,0)</f>
        <v>1</v>
      </c>
      <c r="CL9" s="156">
        <f ca="1">OFFSET(AA9,0,1+(CL8-1)*2)</f>
        <v>0</v>
      </c>
      <c r="CM9" s="156">
        <f ca="1">OFFSET(AA9,0,1+(CM8-1)*2)</f>
        <v>0</v>
      </c>
      <c r="CN9" s="156">
        <f ca="1">OFFSET(AA9,0,1+(CN8-1)*2)</f>
        <v>0</v>
      </c>
      <c r="CO9" s="156">
        <f ca="1">OFFSET(AA9,0,1+(CO8-1)*2)</f>
        <v>0</v>
      </c>
      <c r="CP9" s="156">
        <f ca="1">OFFSET(AA9,0,1+(CP8-1)*2)</f>
        <v>0</v>
      </c>
      <c r="CQ9" s="156">
        <f ca="1">OFFSET(AA9,0,1+(CQ8-1)*2)</f>
        <v>0</v>
      </c>
      <c r="CR9" s="156">
        <f ca="1">OFFSET(AA9,0,1+(CR8-1)*2)</f>
        <v>0</v>
      </c>
      <c r="CS9" s="156">
        <f ca="1">OFFSET(AA9,0,1+(CS8-1)*2)</f>
        <v>0</v>
      </c>
      <c r="CT9" s="156">
        <f ca="1">OFFSET(AA9,0,2+(CT8-1)*2)</f>
        <v>0</v>
      </c>
      <c r="CU9" s="156">
        <f ca="1">OFFSET(AA9,0,2+(CU8-1)*2)</f>
        <v>0</v>
      </c>
      <c r="CV9" s="156">
        <f ca="1">OFFSET(AA9,0,2+(CV8-1)*2)</f>
        <v>0</v>
      </c>
      <c r="CW9" s="156">
        <f ca="1">OFFSET(AA9,0,2+(CW8-1)*2)</f>
        <v>0</v>
      </c>
      <c r="CX9" s="156">
        <f ca="1">OFFSET(AA9,0,2+(CX8-1)*2)</f>
        <v>0</v>
      </c>
      <c r="CY9" s="156">
        <f ca="1">OFFSET(AA9,0,2+(CY8-1)*2)</f>
        <v>0</v>
      </c>
      <c r="CZ9" s="156">
        <f ca="1">OFFSET(AA9,0,2+(CZ8-1)*2)</f>
        <v>0</v>
      </c>
      <c r="DA9" s="156">
        <f ca="1">OFFSET(AA9,0,2+(DA8-1)*2)</f>
        <v>0</v>
      </c>
      <c r="DB9" s="156">
        <f ca="1">SUM(CD9:CK9)</f>
        <v>8</v>
      </c>
      <c r="DE9" s="123">
        <f>INT((DI8-1)/2)</f>
        <v>0</v>
      </c>
      <c r="DF9" s="123">
        <f>1-(INT((DI8+1)/2)*2-DI8)</f>
        <v>0</v>
      </c>
      <c r="DG9" s="123">
        <v>1</v>
      </c>
      <c r="DH9" s="123">
        <v>3</v>
      </c>
      <c r="DI9" s="123">
        <f>DI8</f>
        <v>1</v>
      </c>
      <c r="DJ9" s="36" t="str">
        <f ca="1">OFFSET(gr_header,DG9+DE8,1+DF8)</f>
        <v/>
      </c>
      <c r="DK9" s="36" t="str">
        <f t="shared" ca="1" si="0"/>
        <v/>
      </c>
      <c r="DL9" s="123">
        <f ca="1">OFFSET(gr_header,DG9+DE8,2*DH9+DF8)</f>
        <v>0</v>
      </c>
      <c r="DM9" s="123">
        <f ca="1">OFFSET(gr_header,DG9+DE8,2*DH9+1+DF8)</f>
        <v>0</v>
      </c>
      <c r="DO9" s="183">
        <f t="shared" ref="DO9:DO72" ca="1" si="5">IF(DJ9="",0,TRIM(MID(DJ9,1,FIND(" ; ",DJ9)-1)))</f>
        <v>0</v>
      </c>
      <c r="DP9" s="183">
        <f t="shared" ref="DP9:DP72" ca="1" si="6">IF(DJ9="",0,TRIM(MID(DJ9,FIND(";",DJ9)+1,LEN(DJ9))))</f>
        <v>0</v>
      </c>
      <c r="DQ9" s="183">
        <f t="shared" ref="DQ9:DQ72" ca="1" si="7">IF(DK9="",0,TRIM(MID(DK9,1,FIND(" ; ",DK9)-1)))</f>
        <v>0</v>
      </c>
      <c r="DR9" s="183">
        <f t="shared" ref="DR9:DR72" ca="1" si="8">IF(DK9="",0,TRIM(MID(DK9,FIND(";",DK9)+1,LEN(DK9))))</f>
        <v>0</v>
      </c>
      <c r="DS9" s="182">
        <f t="shared" ref="DS9:DS72" ca="1" si="9">DL9</f>
        <v>0</v>
      </c>
      <c r="DT9" s="182">
        <f t="shared" ref="DT9:DT72" ca="1" si="10">DM9</f>
        <v>0</v>
      </c>
      <c r="DU9" s="182"/>
      <c r="DV9" s="182"/>
      <c r="DW9" s="182"/>
    </row>
    <row r="10" spans="2:127" ht="14.25" thickBot="1">
      <c r="B10" s="168">
        <v>2</v>
      </c>
      <c r="C10" s="169" t="str">
        <f ca="1">OFFSET(gr_anchor,B10,B8)</f>
        <v/>
      </c>
      <c r="D10" s="210" t="str">
        <f ca="1">IF(OFFSET(D9,D8-1,1+(B10-1)*2)="","",OFFSET(D9,D8-1,1+(B10-1)*2))</f>
        <v/>
      </c>
      <c r="E10" s="211" t="str">
        <f ca="1">IF(OFFSET(D9,D8-1,(B10-1)*2)="","",OFFSET(D9,D8-1,(B10-1)*2))</f>
        <v/>
      </c>
      <c r="F10" s="117"/>
      <c r="G10" s="118"/>
      <c r="H10" s="208"/>
      <c r="I10" s="209"/>
      <c r="J10" s="208"/>
      <c r="K10" s="209"/>
      <c r="L10" s="206"/>
      <c r="M10" s="207"/>
      <c r="N10" s="150"/>
      <c r="O10" s="150"/>
      <c r="P10" s="150"/>
      <c r="Q10" s="150"/>
      <c r="R10" s="150"/>
      <c r="S10" s="174"/>
      <c r="T10" s="177">
        <f ca="1">COUNTIF(OFFSET(E9,0,(B10-1)*2,8),2)*2+COUNTIF(OFFSET(D9,0,(B10-1)*2,8),2)</f>
        <v>0</v>
      </c>
      <c r="U10" s="177">
        <f t="shared" ca="1" si="1"/>
        <v>0</v>
      </c>
      <c r="V10" s="175">
        <f t="shared" ref="V10:V16" ca="1" si="11">SUMPRODUCT(BA10:BH10,BI10:BP10)</f>
        <v>0</v>
      </c>
      <c r="W10" s="151">
        <f t="shared" ref="W10:W16" ca="1" si="12">SUMPRODUCT(BA10:BH10,BQ10:BX10)</f>
        <v>0</v>
      </c>
      <c r="X10" s="152" t="str">
        <f t="shared" ca="1" si="2"/>
        <v/>
      </c>
      <c r="Y10" s="153"/>
      <c r="Z10" s="168">
        <v>2</v>
      </c>
      <c r="AA10" s="169" t="str">
        <f ca="1">OFFSET(gr_anchor,Z10,Z8)</f>
        <v/>
      </c>
      <c r="AB10" s="210" t="str">
        <f ca="1">IF(OFFSET(AB9,AB8-1,1+(Z10-1)*2)="","",OFFSET(AB9,AB8-1,1+(Z10-1)*2))</f>
        <v/>
      </c>
      <c r="AC10" s="211" t="str">
        <f ca="1">IF(OFFSET(AB9,AB8-1,(Z10-1)*2)="","",OFFSET(AB9,AB8-1,(Z10-1)*2))</f>
        <v/>
      </c>
      <c r="AD10" s="117"/>
      <c r="AE10" s="118"/>
      <c r="AF10" s="119"/>
      <c r="AG10" s="120"/>
      <c r="AH10" s="119"/>
      <c r="AI10" s="120"/>
      <c r="AJ10" s="115"/>
      <c r="AK10" s="116"/>
      <c r="AL10" s="150"/>
      <c r="AM10" s="150"/>
      <c r="AN10" s="150"/>
      <c r="AO10" s="150"/>
      <c r="AP10" s="150"/>
      <c r="AQ10" s="174"/>
      <c r="AR10" s="177">
        <f ca="1">COUNTIF(OFFSET(AC9,0,(Z10-1)*2,8),2)*2+COUNTIF(OFFSET(AB9,0,(Z10-1)*2,8),2)</f>
        <v>0</v>
      </c>
      <c r="AS10" s="177">
        <f ca="1">RANK(CC10,CC9:CC16)*CB10</f>
        <v>0</v>
      </c>
      <c r="AT10" s="175">
        <f t="shared" ref="AT10:AT16" ca="1" si="13">SUMPRODUCT(CD10:CK10,CL10:CS10)</f>
        <v>0</v>
      </c>
      <c r="AU10" s="151">
        <f t="shared" ref="AU10:AU16" ca="1" si="14">SUMPRODUCT(CD10:CK10,CT10:DA10)</f>
        <v>0</v>
      </c>
      <c r="AV10" s="152" t="str">
        <f t="shared" ref="AV10:AV16" ca="1" si="15">IF(DB10=2,IF(AU10=0,3,AT10/AU10),IF(AT10=0,"",AT10/AU10))</f>
        <v/>
      </c>
      <c r="AW10" s="153"/>
      <c r="AX10" s="156">
        <f ca="1">COUNTA(C9:C16)-COUNTBLANK(C9:C16)</f>
        <v>0</v>
      </c>
      <c r="AY10" s="156">
        <f t="shared" ca="1" si="3"/>
        <v>0</v>
      </c>
      <c r="AZ10" s="157">
        <f t="shared" ref="AZ10:AZ16" ca="1" si="16">T10+IF(X10="",0,X10/100)</f>
        <v>0</v>
      </c>
      <c r="BA10" s="156">
        <f ca="1">IF(T10=OFFSET(T8,BA8,0),1,0)</f>
        <v>1</v>
      </c>
      <c r="BB10" s="156">
        <f ca="1">IF(T10=OFFSET(T8,BB8,0),1,0)</f>
        <v>1</v>
      </c>
      <c r="BC10" s="156">
        <f ca="1">IF(T10=OFFSET(T8,BC8,0),1,0)</f>
        <v>1</v>
      </c>
      <c r="BD10" s="156">
        <f ca="1">IF(T10=OFFSET(T8,BD8,0),1,0)</f>
        <v>1</v>
      </c>
      <c r="BE10" s="156">
        <f ca="1">IF(T10=OFFSET(T8,BE8,0),1,0)</f>
        <v>1</v>
      </c>
      <c r="BF10" s="156">
        <f ca="1">IF(T10=OFFSET(T8,BF8,0),1,0)</f>
        <v>1</v>
      </c>
      <c r="BG10" s="156">
        <f ca="1">IF(T10=OFFSET(T8,BG8,0),1,0)</f>
        <v>1</v>
      </c>
      <c r="BH10" s="156">
        <f ca="1">IF(T10=OFFSET(T8,BH8,0),1,0)</f>
        <v>1</v>
      </c>
      <c r="BI10" s="156" t="str">
        <f ca="1">OFFSET(C10,0,1+(BI8-1)*2)</f>
        <v/>
      </c>
      <c r="BJ10" s="156">
        <f ca="1">OFFSET(C10,0,1+(BJ8-1)*2)</f>
        <v>0</v>
      </c>
      <c r="BK10" s="156">
        <f ca="1">OFFSET(C10,0,1+(BK8-1)*2)</f>
        <v>0</v>
      </c>
      <c r="BL10" s="156">
        <f ca="1">OFFSET(C10,0,1+(BL8-1)*2)</f>
        <v>0</v>
      </c>
      <c r="BM10" s="156">
        <f ca="1">OFFSET(C10,0,1+(BM8-1)*2)</f>
        <v>0</v>
      </c>
      <c r="BN10" s="156">
        <f ca="1">OFFSET(C10,0,1+(BN8-1)*2)</f>
        <v>0</v>
      </c>
      <c r="BO10" s="156">
        <f ca="1">OFFSET(C10,0,1+(BO8-1)*2)</f>
        <v>0</v>
      </c>
      <c r="BP10" s="156">
        <f ca="1">OFFSET(C10,0,1+(BP8-1)*2)</f>
        <v>0</v>
      </c>
      <c r="BQ10" s="156" t="str">
        <f t="shared" ref="BQ10:BX16" ca="1" si="17">OFFSET($C10,0,2+(BQ$8-1)*2)</f>
        <v/>
      </c>
      <c r="BR10" s="156">
        <f t="shared" ca="1" si="17"/>
        <v>0</v>
      </c>
      <c r="BS10" s="156">
        <f t="shared" ca="1" si="17"/>
        <v>0</v>
      </c>
      <c r="BT10" s="156">
        <f t="shared" ca="1" si="17"/>
        <v>0</v>
      </c>
      <c r="BU10" s="156">
        <f t="shared" ca="1" si="17"/>
        <v>0</v>
      </c>
      <c r="BV10" s="156">
        <f t="shared" ca="1" si="17"/>
        <v>0</v>
      </c>
      <c r="BW10" s="156">
        <f t="shared" ca="1" si="17"/>
        <v>0</v>
      </c>
      <c r="BX10" s="156">
        <f t="shared" ca="1" si="17"/>
        <v>0</v>
      </c>
      <c r="BY10" s="156">
        <f t="shared" ref="BY10:BY16" ca="1" si="18">SUM(BA10:BH10)</f>
        <v>8</v>
      </c>
      <c r="CA10" s="156">
        <f ca="1">COUNTA(AA9:AA16)-COUNTBLANK(AA9:AA16)</f>
        <v>0</v>
      </c>
      <c r="CB10" s="156">
        <f t="shared" ref="CB10:CB16" ca="1" si="19">IF(CA10&lt;Z10,0,1)</f>
        <v>0</v>
      </c>
      <c r="CC10" s="157">
        <f t="shared" ref="CC10:CC16" ca="1" si="20">AR10+IF(AV10="",0,AV10/100)</f>
        <v>0</v>
      </c>
      <c r="CD10" s="156">
        <f ca="1">IF(AR10=OFFSET(AR8,CD8,0),1,0)</f>
        <v>1</v>
      </c>
      <c r="CE10" s="156">
        <f ca="1">IF(AR10=OFFSET(AR8,CE8,0),1,0)</f>
        <v>1</v>
      </c>
      <c r="CF10" s="156">
        <f ca="1">IF(AR10=OFFSET(AR8,CF8,0),1,0)</f>
        <v>1</v>
      </c>
      <c r="CG10" s="156">
        <f ca="1">IF(AR10=OFFSET(AR8,CG8,0),1,0)</f>
        <v>1</v>
      </c>
      <c r="CH10" s="156">
        <f ca="1">IF(AR10=OFFSET(AR8,CH8,0),1,0)</f>
        <v>1</v>
      </c>
      <c r="CI10" s="156">
        <f ca="1">IF(AR10=OFFSET(AR8,CI8,0),1,0)</f>
        <v>1</v>
      </c>
      <c r="CJ10" s="156">
        <f ca="1">IF(AR10=OFFSET(AR8,CJ8,0),1,0)</f>
        <v>1</v>
      </c>
      <c r="CK10" s="156">
        <f ca="1">IF(AR10=OFFSET(AR8,CK8,0),1,0)</f>
        <v>1</v>
      </c>
      <c r="CL10" s="156" t="str">
        <f ca="1">OFFSET(AA10,0,1+(CL8-1)*2)</f>
        <v/>
      </c>
      <c r="CM10" s="156">
        <f ca="1">OFFSET(AA10,0,1+(CM8-1)*2)</f>
        <v>0</v>
      </c>
      <c r="CN10" s="156">
        <f ca="1">OFFSET(AA10,0,1+(CN8-1)*2)</f>
        <v>0</v>
      </c>
      <c r="CO10" s="156">
        <f ca="1">OFFSET(AA10,0,1+(CO8-1)*2)</f>
        <v>0</v>
      </c>
      <c r="CP10" s="156">
        <f ca="1">OFFSET(AA10,0,1+(CP8-1)*2)</f>
        <v>0</v>
      </c>
      <c r="CQ10" s="156">
        <f ca="1">OFFSET(AA10,0,1+(CQ8-1)*2)</f>
        <v>0</v>
      </c>
      <c r="CR10" s="156">
        <f ca="1">OFFSET(AA10,0,1+(CR8-1)*2)</f>
        <v>0</v>
      </c>
      <c r="CS10" s="156">
        <f ca="1">OFFSET(AA10,0,1+(CS8-1)*2)</f>
        <v>0</v>
      </c>
      <c r="CT10" s="156" t="str">
        <f ca="1">OFFSET(AA10,0,2+(CT8-1)*2)</f>
        <v/>
      </c>
      <c r="CU10" s="156">
        <f ca="1">OFFSET(AA10,0,2+(CU8-1)*2)</f>
        <v>0</v>
      </c>
      <c r="CV10" s="156">
        <f ca="1">OFFSET(AA10,0,2+(CV8-1)*2)</f>
        <v>0</v>
      </c>
      <c r="CW10" s="156">
        <f ca="1">OFFSET(AA10,0,2+(CW8-1)*2)</f>
        <v>0</v>
      </c>
      <c r="CX10" s="156">
        <f ca="1">OFFSET(AA10,0,2+(CX8-1)*2)</f>
        <v>0</v>
      </c>
      <c r="CY10" s="156">
        <f ca="1">OFFSET(AA10,0,2+(CY8-1)*2)</f>
        <v>0</v>
      </c>
      <c r="CZ10" s="156">
        <f ca="1">OFFSET(AA10,0,2+(CZ8-1)*2)</f>
        <v>0</v>
      </c>
      <c r="DA10" s="156">
        <f ca="1">OFFSET(AA10,0,2+(DA8-1)*2)</f>
        <v>0</v>
      </c>
      <c r="DB10" s="156">
        <f t="shared" ref="DB10:DB16" ca="1" si="21">SUM(CD10:CK10)</f>
        <v>8</v>
      </c>
      <c r="DG10" s="123">
        <v>1</v>
      </c>
      <c r="DH10" s="123">
        <v>4</v>
      </c>
      <c r="DI10" s="123">
        <f t="shared" ref="DI10:DI35" si="22">DI9</f>
        <v>1</v>
      </c>
      <c r="DJ10" s="36" t="str">
        <f ca="1">OFFSET(gr_header,DG10+DE8,1+DF8)</f>
        <v/>
      </c>
      <c r="DK10" s="36" t="str">
        <f t="shared" ca="1" si="0"/>
        <v/>
      </c>
      <c r="DL10" s="123">
        <f ca="1">OFFSET(gr_header,DG10+DE8,2*DH10+DF8)</f>
        <v>0</v>
      </c>
      <c r="DM10" s="123">
        <f ca="1">OFFSET(gr_header,DG10+DE8,2*DH10+1+DF8)</f>
        <v>0</v>
      </c>
      <c r="DO10" s="183">
        <f t="shared" ca="1" si="5"/>
        <v>0</v>
      </c>
      <c r="DP10" s="183">
        <f t="shared" ca="1" si="6"/>
        <v>0</v>
      </c>
      <c r="DQ10" s="183">
        <f t="shared" ca="1" si="7"/>
        <v>0</v>
      </c>
      <c r="DR10" s="183">
        <f t="shared" ca="1" si="8"/>
        <v>0</v>
      </c>
      <c r="DS10" s="182">
        <f t="shared" ca="1" si="9"/>
        <v>0</v>
      </c>
      <c r="DT10" s="182">
        <f t="shared" ca="1" si="10"/>
        <v>0</v>
      </c>
      <c r="DU10" s="182"/>
      <c r="DV10" s="182"/>
      <c r="DW10" s="182"/>
    </row>
    <row r="11" spans="2:127" ht="14.25" thickBot="1">
      <c r="B11" s="168">
        <v>3</v>
      </c>
      <c r="C11" s="169" t="str">
        <f ca="1">OFFSET(gr_anchor,B11,B8)</f>
        <v/>
      </c>
      <c r="D11" s="210" t="str">
        <f ca="1">IF(OFFSET(D9,D8-1,1+(B11-1)*2)="","",OFFSET(D9,D8-1,1+(B11-1)*2))</f>
        <v/>
      </c>
      <c r="E11" s="211" t="str">
        <f ca="1">IF(OFFSET(D9,D8-1,(B11-1)*2)="","",OFFSET(D9,D8-1,(B11-1)*2))</f>
        <v/>
      </c>
      <c r="F11" s="210" t="str">
        <f ca="1">IF(OFFSET(D9,F8-1,1+(B11-1)*2)="","",OFFSET(D9,F8-1,1+(B11-1)*2))</f>
        <v/>
      </c>
      <c r="G11" s="211" t="str">
        <f ca="1">IF(OFFSET(D9,F8-1,(B11-1)*2)="","",OFFSET(D9,F8-1,(B11-1)*2))</f>
        <v/>
      </c>
      <c r="H11" s="170"/>
      <c r="I11" s="118"/>
      <c r="J11" s="208"/>
      <c r="K11" s="209"/>
      <c r="L11" s="206"/>
      <c r="M11" s="207"/>
      <c r="N11" s="150"/>
      <c r="O11" s="150"/>
      <c r="P11" s="150"/>
      <c r="Q11" s="150"/>
      <c r="R11" s="150"/>
      <c r="S11" s="174"/>
      <c r="T11" s="177">
        <f ca="1">COUNTIF(OFFSET(E9,0,(B11-1)*2,8),2)*2+COUNTIF(OFFSET(D9,0,(B11-1)*2,8),2)</f>
        <v>0</v>
      </c>
      <c r="U11" s="177">
        <f t="shared" ca="1" si="1"/>
        <v>0</v>
      </c>
      <c r="V11" s="175">
        <f t="shared" ca="1" si="11"/>
        <v>0</v>
      </c>
      <c r="W11" s="151">
        <f t="shared" ca="1" si="12"/>
        <v>0</v>
      </c>
      <c r="X11" s="152" t="str">
        <f t="shared" ca="1" si="2"/>
        <v/>
      </c>
      <c r="Y11" s="153"/>
      <c r="Z11" s="168">
        <v>3</v>
      </c>
      <c r="AA11" s="169" t="str">
        <f ca="1">OFFSET(gr_anchor,Z11,Z8)</f>
        <v/>
      </c>
      <c r="AB11" s="210" t="str">
        <f ca="1">IF(OFFSET(AB9,AB8-1,1+(Z11-1)*2)="","",OFFSET(AB9,AB8-1,1+(Z11-1)*2))</f>
        <v/>
      </c>
      <c r="AC11" s="211" t="str">
        <f ca="1">IF(OFFSET(AB9,AB8-1,(Z11-1)*2)="","",OFFSET(AB9,AB8-1,(Z11-1)*2))</f>
        <v/>
      </c>
      <c r="AD11" s="210" t="str">
        <f ca="1">IF(OFFSET(AB9,AD8-1,1+(Z11-1)*2)="","",OFFSET(AB9,AD8-1,1+(Z11-1)*2))</f>
        <v/>
      </c>
      <c r="AE11" s="211" t="str">
        <f ca="1">IF(OFFSET(AB9,AD8-1,(Z11-1)*2)="","",OFFSET(AB9,AD8-1,(Z11-1)*2))</f>
        <v/>
      </c>
      <c r="AF11" s="170"/>
      <c r="AG11" s="118"/>
      <c r="AH11" s="119"/>
      <c r="AI11" s="120"/>
      <c r="AJ11" s="115"/>
      <c r="AK11" s="116"/>
      <c r="AL11" s="150"/>
      <c r="AM11" s="150"/>
      <c r="AN11" s="150"/>
      <c r="AO11" s="150"/>
      <c r="AP11" s="150"/>
      <c r="AQ11" s="174"/>
      <c r="AR11" s="177">
        <f ca="1">COUNTIF(OFFSET(AC9,0,(Z11-1)*2,8),2)*2+COUNTIF(OFFSET(AB9,0,(Z11-1)*2,8),2)</f>
        <v>0</v>
      </c>
      <c r="AS11" s="177">
        <f ca="1">RANK(CC11,CC9:CC16)*CB11</f>
        <v>0</v>
      </c>
      <c r="AT11" s="175">
        <f t="shared" ca="1" si="13"/>
        <v>0</v>
      </c>
      <c r="AU11" s="151">
        <f t="shared" ca="1" si="14"/>
        <v>0</v>
      </c>
      <c r="AV11" s="152" t="str">
        <f t="shared" ca="1" si="15"/>
        <v/>
      </c>
      <c r="AW11" s="153"/>
      <c r="AX11" s="156">
        <f ca="1">COUNTA(C9:C16)-COUNTBLANK(C9:C16)</f>
        <v>0</v>
      </c>
      <c r="AY11" s="156">
        <f t="shared" ca="1" si="3"/>
        <v>0</v>
      </c>
      <c r="AZ11" s="157">
        <f t="shared" ca="1" si="16"/>
        <v>0</v>
      </c>
      <c r="BA11" s="156">
        <f ca="1">IF(T11=OFFSET(T8,BA8,0),1,0)</f>
        <v>1</v>
      </c>
      <c r="BB11" s="156">
        <f ca="1">IF(T11=OFFSET(T8,BB8,0),1,0)</f>
        <v>1</v>
      </c>
      <c r="BC11" s="156">
        <f ca="1">IF(T11=OFFSET(T8,BC8,0),1,0)</f>
        <v>1</v>
      </c>
      <c r="BD11" s="156">
        <f ca="1">IF(T11=OFFSET(T8,BD8,0),1,0)</f>
        <v>1</v>
      </c>
      <c r="BE11" s="156">
        <f ca="1">IF(T11=OFFSET(T8,BE8,0),1,0)</f>
        <v>1</v>
      </c>
      <c r="BF11" s="156">
        <f ca="1">IF(T11=OFFSET(T8,BF8,0),1,0)</f>
        <v>1</v>
      </c>
      <c r="BG11" s="156">
        <f ca="1">IF(T11=OFFSET(T8,BG8,0),1,0)</f>
        <v>1</v>
      </c>
      <c r="BH11" s="156">
        <f ca="1">IF(T11=OFFSET(T8,BH8,0),1,0)</f>
        <v>1</v>
      </c>
      <c r="BI11" s="156" t="str">
        <f ca="1">OFFSET(C11,0,1+(BI8-1)*2)</f>
        <v/>
      </c>
      <c r="BJ11" s="156" t="str">
        <f ca="1">OFFSET(C11,0,1+(BJ8-1)*2)</f>
        <v/>
      </c>
      <c r="BK11" s="156">
        <f ca="1">OFFSET(C11,0,1+(BK8-1)*2)</f>
        <v>0</v>
      </c>
      <c r="BL11" s="156">
        <f ca="1">OFFSET(C11,0,1+(BL8-1)*2)</f>
        <v>0</v>
      </c>
      <c r="BM11" s="156">
        <f ca="1">OFFSET(C11,0,1+(BM8-1)*2)</f>
        <v>0</v>
      </c>
      <c r="BN11" s="156">
        <f ca="1">OFFSET(C11,0,1+(BN8-1)*2)</f>
        <v>0</v>
      </c>
      <c r="BO11" s="156">
        <f ca="1">OFFSET(C11,0,1+(BO8-1)*2)</f>
        <v>0</v>
      </c>
      <c r="BP11" s="156">
        <f ca="1">OFFSET(C11,0,1+(BP8-1)*2)</f>
        <v>0</v>
      </c>
      <c r="BQ11" s="156" t="str">
        <f t="shared" ca="1" si="17"/>
        <v/>
      </c>
      <c r="BR11" s="156" t="str">
        <f t="shared" ca="1" si="17"/>
        <v/>
      </c>
      <c r="BS11" s="156">
        <f t="shared" ca="1" si="17"/>
        <v>0</v>
      </c>
      <c r="BT11" s="156">
        <f t="shared" ca="1" si="17"/>
        <v>0</v>
      </c>
      <c r="BU11" s="156">
        <f t="shared" ca="1" si="17"/>
        <v>0</v>
      </c>
      <c r="BV11" s="156">
        <f t="shared" ca="1" si="17"/>
        <v>0</v>
      </c>
      <c r="BW11" s="156">
        <f t="shared" ca="1" si="17"/>
        <v>0</v>
      </c>
      <c r="BX11" s="156">
        <f t="shared" ca="1" si="17"/>
        <v>0</v>
      </c>
      <c r="BY11" s="156">
        <f t="shared" ca="1" si="18"/>
        <v>8</v>
      </c>
      <c r="CA11" s="156">
        <f ca="1">COUNTA(AA9:AA16)-COUNTBLANK(AA9:AA16)</f>
        <v>0</v>
      </c>
      <c r="CB11" s="156">
        <f t="shared" ca="1" si="19"/>
        <v>0</v>
      </c>
      <c r="CC11" s="157">
        <f t="shared" ca="1" si="20"/>
        <v>0</v>
      </c>
      <c r="CD11" s="156">
        <f ca="1">IF(AR11=OFFSET(AR8,CD8,0),1,0)</f>
        <v>1</v>
      </c>
      <c r="CE11" s="156">
        <f ca="1">IF(AR11=OFFSET(AR8,CE8,0),1,0)</f>
        <v>1</v>
      </c>
      <c r="CF11" s="156">
        <f ca="1">IF(AR11=OFFSET(AR8,CF8,0),1,0)</f>
        <v>1</v>
      </c>
      <c r="CG11" s="156">
        <f ca="1">IF(AR11=OFFSET(AR8,CG8,0),1,0)</f>
        <v>1</v>
      </c>
      <c r="CH11" s="156">
        <f ca="1">IF(AR11=OFFSET(AR8,CH8,0),1,0)</f>
        <v>1</v>
      </c>
      <c r="CI11" s="156">
        <f ca="1">IF(AR11=OFFSET(AR8,CI8,0),1,0)</f>
        <v>1</v>
      </c>
      <c r="CJ11" s="156">
        <f ca="1">IF(AR11=OFFSET(AR8,CJ8,0),1,0)</f>
        <v>1</v>
      </c>
      <c r="CK11" s="156">
        <f ca="1">IF(AR11=OFFSET(AR8,CK8,0),1,0)</f>
        <v>1</v>
      </c>
      <c r="CL11" s="156" t="str">
        <f ca="1">OFFSET(AA11,0,1+(CL8-1)*2)</f>
        <v/>
      </c>
      <c r="CM11" s="156" t="str">
        <f ca="1">OFFSET(AA11,0,1+(CM8-1)*2)</f>
        <v/>
      </c>
      <c r="CN11" s="156">
        <f ca="1">OFFSET(AA11,0,1+(CN8-1)*2)</f>
        <v>0</v>
      </c>
      <c r="CO11" s="156">
        <f ca="1">OFFSET(AA11,0,1+(CO8-1)*2)</f>
        <v>0</v>
      </c>
      <c r="CP11" s="156">
        <f ca="1">OFFSET(AA11,0,1+(CP8-1)*2)</f>
        <v>0</v>
      </c>
      <c r="CQ11" s="156">
        <f ca="1">OFFSET(AA11,0,1+(CQ8-1)*2)</f>
        <v>0</v>
      </c>
      <c r="CR11" s="156">
        <f ca="1">OFFSET(AA11,0,1+(CR8-1)*2)</f>
        <v>0</v>
      </c>
      <c r="CS11" s="156">
        <f ca="1">OFFSET(AA11,0,1+(CS8-1)*2)</f>
        <v>0</v>
      </c>
      <c r="CT11" s="156" t="str">
        <f ca="1">OFFSET(AA11,0,2+(CT8-1)*2)</f>
        <v/>
      </c>
      <c r="CU11" s="156" t="str">
        <f ca="1">OFFSET(AA11,0,2+(CU8-1)*2)</f>
        <v/>
      </c>
      <c r="CV11" s="156">
        <f ca="1">OFFSET(AA11,0,2+(CV8-1)*2)</f>
        <v>0</v>
      </c>
      <c r="CW11" s="156">
        <f ca="1">OFFSET(AA11,0,2+(CW8-1)*2)</f>
        <v>0</v>
      </c>
      <c r="CX11" s="156">
        <f ca="1">OFFSET(AA11,0,2+(CX8-1)*2)</f>
        <v>0</v>
      </c>
      <c r="CY11" s="156">
        <f ca="1">OFFSET(AA11,0,2+(CY8-1)*2)</f>
        <v>0</v>
      </c>
      <c r="CZ11" s="156">
        <f ca="1">OFFSET(AA11,0,2+(CZ8-1)*2)</f>
        <v>0</v>
      </c>
      <c r="DA11" s="156">
        <f ca="1">OFFSET(AA11,0,2+(DA8-1)*2)</f>
        <v>0</v>
      </c>
      <c r="DB11" s="156">
        <f t="shared" ca="1" si="21"/>
        <v>8</v>
      </c>
      <c r="DG11" s="123">
        <v>1</v>
      </c>
      <c r="DH11" s="123">
        <v>5</v>
      </c>
      <c r="DI11" s="123">
        <f t="shared" si="22"/>
        <v>1</v>
      </c>
      <c r="DJ11" s="36" t="str">
        <f ca="1">OFFSET(gr_header,DG11+DE8,1+DF8)</f>
        <v/>
      </c>
      <c r="DK11" s="36" t="str">
        <f t="shared" ca="1" si="0"/>
        <v/>
      </c>
      <c r="DL11" s="123">
        <f ca="1">OFFSET(gr_header,DG11+DE8,2*DH11+DF8)</f>
        <v>0</v>
      </c>
      <c r="DM11" s="123">
        <f ca="1">OFFSET(gr_header,DG11+DE8,2*DH11+1+DF8)</f>
        <v>0</v>
      </c>
      <c r="DO11" s="183">
        <f t="shared" ca="1" si="5"/>
        <v>0</v>
      </c>
      <c r="DP11" s="183">
        <f t="shared" ca="1" si="6"/>
        <v>0</v>
      </c>
      <c r="DQ11" s="183">
        <f t="shared" ca="1" si="7"/>
        <v>0</v>
      </c>
      <c r="DR11" s="183">
        <f t="shared" ca="1" si="8"/>
        <v>0</v>
      </c>
      <c r="DS11" s="182">
        <f t="shared" ca="1" si="9"/>
        <v>0</v>
      </c>
      <c r="DT11" s="182">
        <f t="shared" ca="1" si="10"/>
        <v>0</v>
      </c>
      <c r="DU11" s="182"/>
      <c r="DV11" s="182"/>
      <c r="DW11" s="182"/>
    </row>
    <row r="12" spans="2:127" ht="14.25" thickBot="1">
      <c r="B12" s="168">
        <v>4</v>
      </c>
      <c r="C12" s="169" t="str">
        <f ca="1">OFFSET(gr_anchor,B12,B8)</f>
        <v/>
      </c>
      <c r="D12" s="210" t="str">
        <f ca="1">IF(OFFSET(D9,D8-1,1+(B12-1)*2)="","",OFFSET(D9,D8-1,1+(B12-1)*2))</f>
        <v/>
      </c>
      <c r="E12" s="211" t="str">
        <f ca="1">IF(OFFSET(D9,D8-1,(B12-1)*2)="","",OFFSET(D9,D8-1,(B12-1)*2))</f>
        <v/>
      </c>
      <c r="F12" s="210" t="str">
        <f ca="1">IF(OFFSET(D9,F8-1,1+(B12-1)*2)="","",OFFSET(D9,F8-1,1+(B12-1)*2))</f>
        <v/>
      </c>
      <c r="G12" s="211" t="str">
        <f ca="1">IF(OFFSET(D9,F8-1,(B12-1)*2)="","",OFFSET(D9,F8-1,(B12-1)*2))</f>
        <v/>
      </c>
      <c r="H12" s="210" t="str">
        <f ca="1">IF(OFFSET(D9,H8-1,1+(B12-1)*2)="","",OFFSET(D9,H8-1,1+(B12-1)*2))</f>
        <v/>
      </c>
      <c r="I12" s="211" t="str">
        <f ca="1">IF(OFFSET(D9,H8-1,(B12-1)*2)="","",OFFSET(D9,H8-1,(B12-1)*2))</f>
        <v/>
      </c>
      <c r="J12" s="170"/>
      <c r="K12" s="118"/>
      <c r="L12" s="206"/>
      <c r="M12" s="207"/>
      <c r="N12" s="150"/>
      <c r="O12" s="150"/>
      <c r="P12" s="150"/>
      <c r="Q12" s="150"/>
      <c r="R12" s="150"/>
      <c r="S12" s="174"/>
      <c r="T12" s="177">
        <f ca="1">COUNTIF(OFFSET(E9,0,(B12-1)*2,8),2)*2+COUNTIF(OFFSET(D9,0,(B12-1)*2,8),2)</f>
        <v>0</v>
      </c>
      <c r="U12" s="177">
        <f ca="1">RANK(AZ12,AZ9:AZ16)*AY12</f>
        <v>0</v>
      </c>
      <c r="V12" s="175">
        <f t="shared" ca="1" si="11"/>
        <v>0</v>
      </c>
      <c r="W12" s="151">
        <f t="shared" ca="1" si="12"/>
        <v>0</v>
      </c>
      <c r="X12" s="152" t="str">
        <f t="shared" ca="1" si="2"/>
        <v/>
      </c>
      <c r="Y12" s="153"/>
      <c r="Z12" s="168">
        <v>4</v>
      </c>
      <c r="AA12" s="169" t="str">
        <f ca="1">OFFSET(gr_anchor,Z12,Z8)</f>
        <v/>
      </c>
      <c r="AB12" s="210" t="str">
        <f ca="1">IF(OFFSET(AB9,AB8-1,1+(Z12-1)*2)="","",OFFSET(AB9,AB8-1,1+(Z12-1)*2))</f>
        <v/>
      </c>
      <c r="AC12" s="211" t="str">
        <f ca="1">IF(OFFSET(AB9,AB8-1,(Z12-1)*2)="","",OFFSET(AB9,AB8-1,(Z12-1)*2))</f>
        <v/>
      </c>
      <c r="AD12" s="210" t="str">
        <f ca="1">IF(OFFSET(AB9,AD8-1,1+(Z12-1)*2)="","",OFFSET(AB9,AD8-1,1+(Z12-1)*2))</f>
        <v/>
      </c>
      <c r="AE12" s="211" t="str">
        <f ca="1">IF(OFFSET(AB9,AD8-1,(Z12-1)*2)="","",OFFSET(AB9,AD8-1,(Z12-1)*2))</f>
        <v/>
      </c>
      <c r="AF12" s="210" t="str">
        <f ca="1">IF(OFFSET(AB9,AF8-1,1+(Z12-1)*2)="","",OFFSET(AB9,AF8-1,1+(Z12-1)*2))</f>
        <v/>
      </c>
      <c r="AG12" s="211" t="str">
        <f ca="1">IF(OFFSET(AB9,AF8-1,(Z12-1)*2)="","",OFFSET(AB9,AF8-1,(Z12-1)*2))</f>
        <v/>
      </c>
      <c r="AH12" s="170"/>
      <c r="AI12" s="118"/>
      <c r="AJ12" s="115"/>
      <c r="AK12" s="116"/>
      <c r="AL12" s="150"/>
      <c r="AM12" s="150"/>
      <c r="AN12" s="150"/>
      <c r="AO12" s="150"/>
      <c r="AP12" s="150"/>
      <c r="AQ12" s="174"/>
      <c r="AR12" s="177">
        <f ca="1">COUNTIF(OFFSET(AC9,0,(Z12-1)*2,8),2)*2+COUNTIF(OFFSET(AB9,0,(Z12-1)*2,8),2)</f>
        <v>0</v>
      </c>
      <c r="AS12" s="177">
        <f ca="1">RANK(CC12,CC9:CC16)*CB12</f>
        <v>0</v>
      </c>
      <c r="AT12" s="175">
        <f t="shared" ca="1" si="13"/>
        <v>0</v>
      </c>
      <c r="AU12" s="151">
        <f t="shared" ca="1" si="14"/>
        <v>0</v>
      </c>
      <c r="AV12" s="152" t="str">
        <f t="shared" ca="1" si="15"/>
        <v/>
      </c>
      <c r="AW12" s="153"/>
      <c r="AX12" s="156">
        <f ca="1">COUNTA(C9:C16)-COUNTBLANK(C9:C16)</f>
        <v>0</v>
      </c>
      <c r="AY12" s="156">
        <f t="shared" ca="1" si="3"/>
        <v>0</v>
      </c>
      <c r="AZ12" s="157">
        <f t="shared" ca="1" si="16"/>
        <v>0</v>
      </c>
      <c r="BA12" s="156">
        <f ca="1">IF(T12=OFFSET(T8,BA8,0),1,0)</f>
        <v>1</v>
      </c>
      <c r="BB12" s="156">
        <f ca="1">IF(T12=OFFSET(T8,BB8,0),1,0)</f>
        <v>1</v>
      </c>
      <c r="BC12" s="156">
        <f ca="1">IF(T12=OFFSET(T8,BC8,0),1,0)</f>
        <v>1</v>
      </c>
      <c r="BD12" s="156">
        <f ca="1">IF(T12=OFFSET(T8,BD8,0),1,0)</f>
        <v>1</v>
      </c>
      <c r="BE12" s="156">
        <f ca="1">IF(T12=OFFSET(T8,BE8,0),1,0)</f>
        <v>1</v>
      </c>
      <c r="BF12" s="156">
        <f ca="1">IF(T12=OFFSET(T8,BF8,0),1,0)</f>
        <v>1</v>
      </c>
      <c r="BG12" s="156">
        <f ca="1">IF(T12=OFFSET(T8,BG8,0),1,0)</f>
        <v>1</v>
      </c>
      <c r="BH12" s="156">
        <f ca="1">IF(T12=OFFSET(T8,BH8,0),1,0)</f>
        <v>1</v>
      </c>
      <c r="BI12" s="156" t="str">
        <f ca="1">OFFSET(C12,0,1+(BI8-1)*2)</f>
        <v/>
      </c>
      <c r="BJ12" s="156" t="str">
        <f ca="1">OFFSET(C12,0,1+(BJ8-1)*2)</f>
        <v/>
      </c>
      <c r="BK12" s="156" t="str">
        <f ca="1">OFFSET(C12,0,1+(BK8-1)*2)</f>
        <v/>
      </c>
      <c r="BL12" s="156">
        <f ca="1">OFFSET(C12,0,1+(BL8-1)*2)</f>
        <v>0</v>
      </c>
      <c r="BM12" s="156">
        <f ca="1">OFFSET(C12,0,1+(BM8-1)*2)</f>
        <v>0</v>
      </c>
      <c r="BN12" s="156">
        <f ca="1">OFFSET(C12,0,1+(BN8-1)*2)</f>
        <v>0</v>
      </c>
      <c r="BO12" s="156">
        <f ca="1">OFFSET(C12,0,1+(BO8-1)*2)</f>
        <v>0</v>
      </c>
      <c r="BP12" s="156">
        <f ca="1">OFFSET(C12,0,1+(BP8-1)*2)</f>
        <v>0</v>
      </c>
      <c r="BQ12" s="156" t="str">
        <f t="shared" ca="1" si="17"/>
        <v/>
      </c>
      <c r="BR12" s="156" t="str">
        <f t="shared" ca="1" si="17"/>
        <v/>
      </c>
      <c r="BS12" s="156" t="str">
        <f t="shared" ca="1" si="17"/>
        <v/>
      </c>
      <c r="BT12" s="156">
        <f t="shared" ca="1" si="17"/>
        <v>0</v>
      </c>
      <c r="BU12" s="156">
        <f t="shared" ca="1" si="17"/>
        <v>0</v>
      </c>
      <c r="BV12" s="156">
        <f t="shared" ca="1" si="17"/>
        <v>0</v>
      </c>
      <c r="BW12" s="156">
        <f t="shared" ca="1" si="17"/>
        <v>0</v>
      </c>
      <c r="BX12" s="156">
        <f t="shared" ca="1" si="17"/>
        <v>0</v>
      </c>
      <c r="BY12" s="156">
        <f t="shared" ca="1" si="18"/>
        <v>8</v>
      </c>
      <c r="CA12" s="156">
        <f ca="1">COUNTA(AA9:AA16)-COUNTBLANK(AA9:AA16)</f>
        <v>0</v>
      </c>
      <c r="CB12" s="156">
        <f t="shared" ca="1" si="19"/>
        <v>0</v>
      </c>
      <c r="CC12" s="157">
        <f t="shared" ca="1" si="20"/>
        <v>0</v>
      </c>
      <c r="CD12" s="156">
        <f ca="1">IF(AR12=OFFSET(AR8,CD8,0),1,0)</f>
        <v>1</v>
      </c>
      <c r="CE12" s="156">
        <f ca="1">IF(AR12=OFFSET(AR8,CE8,0),1,0)</f>
        <v>1</v>
      </c>
      <c r="CF12" s="156">
        <f ca="1">IF(AR12=OFFSET(AR8,CF8,0),1,0)</f>
        <v>1</v>
      </c>
      <c r="CG12" s="156">
        <f ca="1">IF(AR12=OFFSET(AR8,CG8,0),1,0)</f>
        <v>1</v>
      </c>
      <c r="CH12" s="156">
        <f ca="1">IF(AR12=OFFSET(AR8,CH8,0),1,0)</f>
        <v>1</v>
      </c>
      <c r="CI12" s="156">
        <f ca="1">IF(AR12=OFFSET(AR8,CI8,0),1,0)</f>
        <v>1</v>
      </c>
      <c r="CJ12" s="156">
        <f ca="1">IF(AR12=OFFSET(AR8,CJ8,0),1,0)</f>
        <v>1</v>
      </c>
      <c r="CK12" s="156">
        <f ca="1">IF(AR12=OFFSET(AR8,CK8,0),1,0)</f>
        <v>1</v>
      </c>
      <c r="CL12" s="156" t="str">
        <f ca="1">OFFSET(AA12,0,1+(CL8-1)*2)</f>
        <v/>
      </c>
      <c r="CM12" s="156" t="str">
        <f ca="1">OFFSET(AA12,0,1+(CM8-1)*2)</f>
        <v/>
      </c>
      <c r="CN12" s="156" t="str">
        <f ca="1">OFFSET(AA12,0,1+(CN8-1)*2)</f>
        <v/>
      </c>
      <c r="CO12" s="156">
        <f ca="1">OFFSET(AA12,0,1+(CO8-1)*2)</f>
        <v>0</v>
      </c>
      <c r="CP12" s="156">
        <f ca="1">OFFSET(AA12,0,1+(CP8-1)*2)</f>
        <v>0</v>
      </c>
      <c r="CQ12" s="156">
        <f ca="1">OFFSET(AA12,0,1+(CQ8-1)*2)</f>
        <v>0</v>
      </c>
      <c r="CR12" s="156">
        <f ca="1">OFFSET(AA12,0,1+(CR8-1)*2)</f>
        <v>0</v>
      </c>
      <c r="CS12" s="156">
        <f ca="1">OFFSET(AA12,0,1+(CS8-1)*2)</f>
        <v>0</v>
      </c>
      <c r="CT12" s="156" t="str">
        <f ca="1">OFFSET(AA12,0,2+(CT8-1)*2)</f>
        <v/>
      </c>
      <c r="CU12" s="156" t="str">
        <f ca="1">OFFSET(AA12,0,2+(CU8-1)*2)</f>
        <v/>
      </c>
      <c r="CV12" s="156" t="str">
        <f ca="1">OFFSET(AA12,0,2+(CV8-1)*2)</f>
        <v/>
      </c>
      <c r="CW12" s="156">
        <f ca="1">OFFSET(AA12,0,2+(CW8-1)*2)</f>
        <v>0</v>
      </c>
      <c r="CX12" s="156">
        <f ca="1">OFFSET(AA12,0,2+(CX8-1)*2)</f>
        <v>0</v>
      </c>
      <c r="CY12" s="156">
        <f ca="1">OFFSET(AA12,0,2+(CY8-1)*2)</f>
        <v>0</v>
      </c>
      <c r="CZ12" s="156">
        <f ca="1">OFFSET(AA12,0,2+(CZ8-1)*2)</f>
        <v>0</v>
      </c>
      <c r="DA12" s="156">
        <f ca="1">OFFSET(AA12,0,2+(DA8-1)*2)</f>
        <v>0</v>
      </c>
      <c r="DB12" s="156">
        <f t="shared" ca="1" si="21"/>
        <v>8</v>
      </c>
      <c r="DG12" s="123">
        <v>1</v>
      </c>
      <c r="DH12" s="123">
        <v>6</v>
      </c>
      <c r="DI12" s="123">
        <f t="shared" si="22"/>
        <v>1</v>
      </c>
      <c r="DJ12" s="36" t="str">
        <f ca="1">OFFSET(gr_header,DG12+DE8,1+DF8)</f>
        <v/>
      </c>
      <c r="DK12" s="36" t="str">
        <f t="shared" ca="1" si="0"/>
        <v/>
      </c>
      <c r="DL12" s="123">
        <f ca="1">OFFSET(gr_header,DG12+DE8,2*DH12+DF8)</f>
        <v>0</v>
      </c>
      <c r="DM12" s="123">
        <f ca="1">OFFSET(gr_header,DG12+DE8,2*DH12+1+DF8)</f>
        <v>0</v>
      </c>
      <c r="DO12" s="183">
        <f t="shared" ca="1" si="5"/>
        <v>0</v>
      </c>
      <c r="DP12" s="183">
        <f t="shared" ca="1" si="6"/>
        <v>0</v>
      </c>
      <c r="DQ12" s="183">
        <f t="shared" ca="1" si="7"/>
        <v>0</v>
      </c>
      <c r="DR12" s="183">
        <f t="shared" ca="1" si="8"/>
        <v>0</v>
      </c>
      <c r="DS12" s="182">
        <f t="shared" ca="1" si="9"/>
        <v>0</v>
      </c>
      <c r="DT12" s="182">
        <f t="shared" ca="1" si="10"/>
        <v>0</v>
      </c>
      <c r="DU12" s="182"/>
      <c r="DV12" s="182"/>
      <c r="DW12" s="182"/>
    </row>
    <row r="13" spans="2:127" ht="14.25" thickBot="1">
      <c r="B13" s="171">
        <v>5</v>
      </c>
      <c r="C13" s="172" t="str">
        <f ca="1">OFFSET(gr_anchor,B13,B8)</f>
        <v/>
      </c>
      <c r="D13" s="210" t="str">
        <f ca="1">IF(OFFSET(D9,D8-1,1+(B13-1)*2)="","",OFFSET(D9,D8-1,1+(B13-1)*2))</f>
        <v/>
      </c>
      <c r="E13" s="211" t="str">
        <f ca="1">IF(OFFSET(D9,D8-1,(B13-1)*2)="","",OFFSET(D9,D8-1,(B13-1)*2))</f>
        <v/>
      </c>
      <c r="F13" s="210" t="str">
        <f ca="1">IF(OFFSET(D9,F8-1,1+(B13-1)*2)="","",OFFSET(D9,F8-1,1+(B13-1)*2))</f>
        <v/>
      </c>
      <c r="G13" s="211" t="str">
        <f ca="1">IF(OFFSET(D9,F8-1,(B13-1)*2)="","",OFFSET(D9,F8-1,(B13-1)*2))</f>
        <v/>
      </c>
      <c r="H13" s="210" t="str">
        <f ca="1">IF(OFFSET(D9,H8-1,1+(B13-1)*2)="","",OFFSET(D9,H8-1,1+(B13-1)*2))</f>
        <v/>
      </c>
      <c r="I13" s="211" t="str">
        <f ca="1">IF(OFFSET(D9,H8-1,(B13-1)*2)="","",OFFSET(D9,H8-1,(B13-1)*2))</f>
        <v/>
      </c>
      <c r="J13" s="210" t="str">
        <f ca="1">IF(OFFSET(D9,J8-1,1+(B13-1)*2)="","",OFFSET(D9,J8-1,1+(B13-1)*2))</f>
        <v/>
      </c>
      <c r="K13" s="211" t="str">
        <f ca="1">IF(OFFSET(D9,J8-1,(B13-1)*2)="","",OFFSET(D9,J8-1,(B13-1)*2))</f>
        <v/>
      </c>
      <c r="L13" s="117"/>
      <c r="M13" s="118"/>
      <c r="N13" s="150"/>
      <c r="O13" s="150"/>
      <c r="P13" s="150"/>
      <c r="Q13" s="150"/>
      <c r="R13" s="150"/>
      <c r="S13" s="174"/>
      <c r="T13" s="177">
        <f ca="1">COUNTIF(OFFSET(E9,0,(B13-1)*2,8),2)*2+COUNTIF(OFFSET(D9,0,(B13-1)*2,8),2)</f>
        <v>0</v>
      </c>
      <c r="U13" s="177">
        <f ca="1">RANK(AZ13,AZ9:AZ16)*AY13</f>
        <v>0</v>
      </c>
      <c r="V13" s="175">
        <f t="shared" ca="1" si="11"/>
        <v>0</v>
      </c>
      <c r="W13" s="151">
        <f t="shared" ca="1" si="12"/>
        <v>0</v>
      </c>
      <c r="X13" s="152" t="str">
        <f t="shared" ca="1" si="2"/>
        <v/>
      </c>
      <c r="Y13" s="153"/>
      <c r="Z13" s="171">
        <v>5</v>
      </c>
      <c r="AA13" s="172" t="str">
        <f ca="1">OFFSET(gr_anchor,Z13,Z8)</f>
        <v/>
      </c>
      <c r="AB13" s="210" t="str">
        <f ca="1">IF(OFFSET(AB9,AB8-1,1+(Z13-1)*2)="","",OFFSET(AB9,AB8-1,1+(Z13-1)*2))</f>
        <v/>
      </c>
      <c r="AC13" s="211" t="str">
        <f ca="1">IF(OFFSET(AB9,AB8-1,(Z13-1)*2)="","",OFFSET(AB9,AB8-1,(Z13-1)*2))</f>
        <v/>
      </c>
      <c r="AD13" s="210" t="str">
        <f ca="1">IF(OFFSET(AB9,AD8-1,1+(Z13-1)*2)="","",OFFSET(AB9,AD8-1,1+(Z13-1)*2))</f>
        <v/>
      </c>
      <c r="AE13" s="211" t="str">
        <f ca="1">IF(OFFSET(AB9,AD8-1,(Z13-1)*2)="","",OFFSET(AB9,AD8-1,(Z13-1)*2))</f>
        <v/>
      </c>
      <c r="AF13" s="210" t="str">
        <f ca="1">IF(OFFSET(AB9,AF8-1,1+(Z13-1)*2)="","",OFFSET(AB9,AF8-1,1+(Z13-1)*2))</f>
        <v/>
      </c>
      <c r="AG13" s="211" t="str">
        <f ca="1">IF(OFFSET(AB9,AF8-1,(Z13-1)*2)="","",OFFSET(AB9,AF8-1,(Z13-1)*2))</f>
        <v/>
      </c>
      <c r="AH13" s="210" t="str">
        <f ca="1">IF(OFFSET(AB9,AH8-1,1+(Z13-1)*2)="","",OFFSET(AB9,AH8-1,1+(Z13-1)*2))</f>
        <v/>
      </c>
      <c r="AI13" s="211" t="str">
        <f ca="1">IF(OFFSET(AB9,AH8-1,(Z13-1)*2)="","",OFFSET(AB9,AH8-1,(Z13-1)*2))</f>
        <v/>
      </c>
      <c r="AJ13" s="117"/>
      <c r="AK13" s="118"/>
      <c r="AL13" s="150"/>
      <c r="AM13" s="150"/>
      <c r="AN13" s="150"/>
      <c r="AO13" s="150"/>
      <c r="AP13" s="150"/>
      <c r="AQ13" s="174"/>
      <c r="AR13" s="177">
        <f ca="1">COUNTIF(OFFSET(AC9,0,(Z13-1)*2,8),2)*2+COUNTIF(OFFSET(AB9,0,(Z13-1)*2,8),2)</f>
        <v>0</v>
      </c>
      <c r="AS13" s="177">
        <f ca="1">RANK(CC13,CC9:CC16)*CB13</f>
        <v>0</v>
      </c>
      <c r="AT13" s="175">
        <f t="shared" ca="1" si="13"/>
        <v>0</v>
      </c>
      <c r="AU13" s="151">
        <f t="shared" ca="1" si="14"/>
        <v>0</v>
      </c>
      <c r="AV13" s="152" t="str">
        <f t="shared" ca="1" si="15"/>
        <v/>
      </c>
      <c r="AW13" s="153"/>
      <c r="AX13" s="156">
        <f ca="1">COUNTA(C9:C16)-COUNTBLANK(C9:C16)</f>
        <v>0</v>
      </c>
      <c r="AY13" s="156">
        <f t="shared" ca="1" si="3"/>
        <v>0</v>
      </c>
      <c r="AZ13" s="157">
        <f t="shared" ca="1" si="16"/>
        <v>0</v>
      </c>
      <c r="BA13" s="156">
        <f ca="1">IF(T13=OFFSET(T8,BA8,0),1,0)</f>
        <v>1</v>
      </c>
      <c r="BB13" s="156">
        <f ca="1">IF(T13=OFFSET(T8,BB8,0),1,0)</f>
        <v>1</v>
      </c>
      <c r="BC13" s="156">
        <f ca="1">IF(T13=OFFSET(T8,BC8,0),1,0)</f>
        <v>1</v>
      </c>
      <c r="BD13" s="156">
        <f ca="1">IF(T13=OFFSET(T8,BD8,0),1,0)</f>
        <v>1</v>
      </c>
      <c r="BE13" s="156">
        <f ca="1">IF(T13=OFFSET(T8,BE8,0),1,0)</f>
        <v>1</v>
      </c>
      <c r="BF13" s="156">
        <f ca="1">IF(T13=OFFSET(T8,BF8,0),1,0)</f>
        <v>1</v>
      </c>
      <c r="BG13" s="156">
        <f ca="1">IF(T13=OFFSET(T8,BG8,0),1,0)</f>
        <v>1</v>
      </c>
      <c r="BH13" s="156">
        <f ca="1">IF(T13=OFFSET(T8,BH8,0),1,0)</f>
        <v>1</v>
      </c>
      <c r="BI13" s="156" t="str">
        <f ca="1">OFFSET(C13,0,1+(BI8-1)*2)</f>
        <v/>
      </c>
      <c r="BJ13" s="156" t="str">
        <f ca="1">OFFSET(C13,0,1+(BJ8-1)*2)</f>
        <v/>
      </c>
      <c r="BK13" s="156" t="str">
        <f ca="1">OFFSET(C13,0,1+(BK8-1)*2)</f>
        <v/>
      </c>
      <c r="BL13" s="156" t="str">
        <f ca="1">OFFSET(C13,0,1+(BL8-1)*2)</f>
        <v/>
      </c>
      <c r="BM13" s="156">
        <f ca="1">OFFSET(C13,0,1+(BM8-1)*2)</f>
        <v>0</v>
      </c>
      <c r="BN13" s="156">
        <f ca="1">OFFSET(C13,0,1+(BN8-1)*2)</f>
        <v>0</v>
      </c>
      <c r="BO13" s="156">
        <f ca="1">OFFSET(C13,0,1+(BO8-1)*2)</f>
        <v>0</v>
      </c>
      <c r="BP13" s="156">
        <f ca="1">OFFSET(C13,0,1+(BP8-1)*2)</f>
        <v>0</v>
      </c>
      <c r="BQ13" s="156" t="str">
        <f t="shared" ca="1" si="17"/>
        <v/>
      </c>
      <c r="BR13" s="156" t="str">
        <f t="shared" ca="1" si="17"/>
        <v/>
      </c>
      <c r="BS13" s="156" t="str">
        <f t="shared" ca="1" si="17"/>
        <v/>
      </c>
      <c r="BT13" s="156" t="str">
        <f t="shared" ca="1" si="17"/>
        <v/>
      </c>
      <c r="BU13" s="156">
        <f t="shared" ca="1" si="17"/>
        <v>0</v>
      </c>
      <c r="BV13" s="156">
        <f t="shared" ca="1" si="17"/>
        <v>0</v>
      </c>
      <c r="BW13" s="156">
        <f t="shared" ca="1" si="17"/>
        <v>0</v>
      </c>
      <c r="BX13" s="156">
        <f t="shared" ca="1" si="17"/>
        <v>0</v>
      </c>
      <c r="BY13" s="156">
        <f t="shared" ca="1" si="18"/>
        <v>8</v>
      </c>
      <c r="CA13" s="156">
        <f ca="1">COUNTA(AA9:AA16)-COUNTBLANK(AA9:AA16)</f>
        <v>0</v>
      </c>
      <c r="CB13" s="156">
        <f t="shared" ca="1" si="19"/>
        <v>0</v>
      </c>
      <c r="CC13" s="157">
        <f t="shared" ca="1" si="20"/>
        <v>0</v>
      </c>
      <c r="CD13" s="156">
        <f ca="1">IF(AR13=OFFSET(AR8,CD8,0),1,0)</f>
        <v>1</v>
      </c>
      <c r="CE13" s="156">
        <f ca="1">IF(AR13=OFFSET(AR8,CE8,0),1,0)</f>
        <v>1</v>
      </c>
      <c r="CF13" s="156">
        <f ca="1">IF(AR13=OFFSET(AR8,CF8,0),1,0)</f>
        <v>1</v>
      </c>
      <c r="CG13" s="156">
        <f ca="1">IF(AR13=OFFSET(AR8,CG8,0),1,0)</f>
        <v>1</v>
      </c>
      <c r="CH13" s="156">
        <f ca="1">IF(AR13=OFFSET(AR8,CH8,0),1,0)</f>
        <v>1</v>
      </c>
      <c r="CI13" s="156">
        <f ca="1">IF(AR13=OFFSET(AR8,CI8,0),1,0)</f>
        <v>1</v>
      </c>
      <c r="CJ13" s="156">
        <f ca="1">IF(AR13=OFFSET(AR8,CJ8,0),1,0)</f>
        <v>1</v>
      </c>
      <c r="CK13" s="156">
        <f ca="1">IF(AR13=OFFSET(AR8,CK8,0),1,0)</f>
        <v>1</v>
      </c>
      <c r="CL13" s="156" t="str">
        <f ca="1">OFFSET(AA13,0,1+(CL8-1)*2)</f>
        <v/>
      </c>
      <c r="CM13" s="156" t="str">
        <f ca="1">OFFSET(AA13,0,1+(CM8-1)*2)</f>
        <v/>
      </c>
      <c r="CN13" s="156" t="str">
        <f ca="1">OFFSET(AA13,0,1+(CN8-1)*2)</f>
        <v/>
      </c>
      <c r="CO13" s="156" t="str">
        <f ca="1">OFFSET(AA13,0,1+(CO8-1)*2)</f>
        <v/>
      </c>
      <c r="CP13" s="156">
        <f ca="1">OFFSET(AA13,0,1+(CP8-1)*2)</f>
        <v>0</v>
      </c>
      <c r="CQ13" s="156">
        <f ca="1">OFFSET(AA13,0,1+(CQ8-1)*2)</f>
        <v>0</v>
      </c>
      <c r="CR13" s="156">
        <f ca="1">OFFSET(AA13,0,1+(CR8-1)*2)</f>
        <v>0</v>
      </c>
      <c r="CS13" s="156">
        <f ca="1">OFFSET(AA13,0,1+(CS8-1)*2)</f>
        <v>0</v>
      </c>
      <c r="CT13" s="156" t="str">
        <f ca="1">OFFSET(AA13,0,2+(CT8-1)*2)</f>
        <v/>
      </c>
      <c r="CU13" s="156" t="str">
        <f ca="1">OFFSET(AA13,0,2+(CU8-1)*2)</f>
        <v/>
      </c>
      <c r="CV13" s="156" t="str">
        <f ca="1">OFFSET(AA13,0,2+(CV8-1)*2)</f>
        <v/>
      </c>
      <c r="CW13" s="156" t="str">
        <f ca="1">OFFSET(AA13,0,2+(CW8-1)*2)</f>
        <v/>
      </c>
      <c r="CX13" s="156">
        <f ca="1">OFFSET(AA13,0,2+(CX8-1)*2)</f>
        <v>0</v>
      </c>
      <c r="CY13" s="156">
        <f ca="1">OFFSET(AA13,0,2+(CY8-1)*2)</f>
        <v>0</v>
      </c>
      <c r="CZ13" s="156">
        <f ca="1">OFFSET(AA13,0,2+(CZ8-1)*2)</f>
        <v>0</v>
      </c>
      <c r="DA13" s="156">
        <f ca="1">OFFSET(AA13,0,2+(DA8-1)*2)</f>
        <v>0</v>
      </c>
      <c r="DB13" s="156">
        <f t="shared" ca="1" si="21"/>
        <v>8</v>
      </c>
      <c r="DG13" s="123">
        <v>1</v>
      </c>
      <c r="DH13" s="123">
        <v>7</v>
      </c>
      <c r="DI13" s="123">
        <f t="shared" si="22"/>
        <v>1</v>
      </c>
      <c r="DJ13" s="36" t="str">
        <f ca="1">OFFSET(gr_header,DG13+DE8,1+DF8)</f>
        <v/>
      </c>
      <c r="DK13" s="36" t="str">
        <f t="shared" ca="1" si="0"/>
        <v/>
      </c>
      <c r="DL13" s="123">
        <f ca="1">OFFSET(gr_header,DG13+DE8,2*DH13+DF8)</f>
        <v>0</v>
      </c>
      <c r="DM13" s="123">
        <f ca="1">OFFSET(gr_header,DG13+DE8,2*DH13+1+DF8)</f>
        <v>0</v>
      </c>
      <c r="DO13" s="183">
        <f t="shared" ca="1" si="5"/>
        <v>0</v>
      </c>
      <c r="DP13" s="183">
        <f t="shared" ca="1" si="6"/>
        <v>0</v>
      </c>
      <c r="DQ13" s="183">
        <f t="shared" ca="1" si="7"/>
        <v>0</v>
      </c>
      <c r="DR13" s="183">
        <f t="shared" ca="1" si="8"/>
        <v>0</v>
      </c>
      <c r="DS13" s="182">
        <f t="shared" ca="1" si="9"/>
        <v>0</v>
      </c>
      <c r="DT13" s="182">
        <f t="shared" ca="1" si="10"/>
        <v>0</v>
      </c>
      <c r="DU13" s="182"/>
      <c r="DV13" s="182"/>
      <c r="DW13" s="182"/>
    </row>
    <row r="14" spans="2:127" hidden="1" outlineLevel="1">
      <c r="B14" s="148">
        <v>6</v>
      </c>
      <c r="C14" s="158" t="str">
        <f ca="1">OFFSET(gr_anchor,B14,B8)</f>
        <v/>
      </c>
      <c r="D14" s="150" t="str">
        <f ca="1">IF(OFFSET(D9,D8-1,1+(B14-1)*2)="","",OFFSET(D9,D8-1,1+(B14-1)*2))</f>
        <v/>
      </c>
      <c r="E14" s="150" t="str">
        <f ca="1">IF(OFFSET(D9,D8-1,(B14-1)*2)="","",OFFSET(D9,D8-1,(B14-1)*2))</f>
        <v/>
      </c>
      <c r="F14" s="150" t="str">
        <f ca="1">IF(OFFSET(D9,F8-1,1+(B14-1)*2)="","",OFFSET(D9,F8-1,1+(B14-1)*2))</f>
        <v/>
      </c>
      <c r="G14" s="150" t="str">
        <f ca="1">IF(OFFSET(D9,F8-1,(B14-1)*2)="","",OFFSET(D9,F8-1,(B14-1)*2))</f>
        <v/>
      </c>
      <c r="H14" s="150" t="str">
        <f ca="1">IF(OFFSET(D9,H8-1,1+(B14-1)*2)="","",OFFSET(D9,H8-1,1+(B14-1)*2))</f>
        <v/>
      </c>
      <c r="I14" s="150" t="str">
        <f ca="1">IF(OFFSET(D9,H8-1,(B14-1)*2)="","",OFFSET(D9,H8-1,(B14-1)*2))</f>
        <v/>
      </c>
      <c r="J14" s="150" t="str">
        <f ca="1">IF(OFFSET(D9,J8-1,1+(B14-1)*2)="","",OFFSET(D9,J8-1,1+(B14-1)*2))</f>
        <v/>
      </c>
      <c r="K14" s="150" t="str">
        <f ca="1">IF(OFFSET(D9,J8-1,(B14-1)*2)="","",OFFSET(D9,J8-1,(B14-1)*2))</f>
        <v/>
      </c>
      <c r="L14" s="150" t="str">
        <f ca="1">IF(OFFSET(D9,L8-1,1+(B14-1)*2)="","",OFFSET(D9,L8-1,1+(B14-1)*2))</f>
        <v/>
      </c>
      <c r="M14" s="150" t="str">
        <f ca="1">IF(OFFSET(D9,L8-1,(B14-1)*2)="","",OFFSET(D9,L8-1,(B14-1)*2))</f>
        <v/>
      </c>
      <c r="N14" s="155"/>
      <c r="O14" s="149"/>
      <c r="P14" s="150"/>
      <c r="Q14" s="150"/>
      <c r="R14" s="150"/>
      <c r="S14" s="150"/>
      <c r="T14" s="163">
        <f ca="1">COUNTIF(OFFSET(E9,0,(B14-1)*2,8),2)*2+COUNTIF(OFFSET(D9,0,(B14-1)*2,8),2)</f>
        <v>0</v>
      </c>
      <c r="U14" s="163">
        <f ca="1">RANK(AZ14,AZ9:AZ16)*AY14</f>
        <v>0</v>
      </c>
      <c r="V14" s="151">
        <f t="shared" ca="1" si="11"/>
        <v>0</v>
      </c>
      <c r="W14" s="151">
        <f t="shared" ca="1" si="12"/>
        <v>0</v>
      </c>
      <c r="X14" s="152" t="str">
        <f t="shared" ca="1" si="2"/>
        <v/>
      </c>
      <c r="Y14" s="153"/>
      <c r="Z14" s="148">
        <v>6</v>
      </c>
      <c r="AA14" s="154" t="str">
        <f ca="1">OFFSET(gr_anchor,Z14,Z8)</f>
        <v/>
      </c>
      <c r="AB14" s="150" t="str">
        <f ca="1">IF(OFFSET(AB9,AB8-1,1+(Z14-1)*2)="","",OFFSET(AB9,AB8-1,1+(Z14-1)*2))</f>
        <v/>
      </c>
      <c r="AC14" s="150" t="str">
        <f ca="1">IF(OFFSET(AB9,AB8-1,(Z14-1)*2)="","",OFFSET(AB9,AB8-1,(Z14-1)*2))</f>
        <v/>
      </c>
      <c r="AD14" s="150" t="str">
        <f ca="1">IF(OFFSET(AB9,AD8-1,1+(Z14-1)*2)="","",OFFSET(AB9,AD8-1,1+(Z14-1)*2))</f>
        <v/>
      </c>
      <c r="AE14" s="150" t="str">
        <f ca="1">IF(OFFSET(AB9,AD8-1,(Z14-1)*2)="","",OFFSET(AB9,AD8-1,(Z14-1)*2))</f>
        <v/>
      </c>
      <c r="AF14" s="150" t="str">
        <f ca="1">IF(OFFSET(AB9,AF8-1,1+(Z14-1)*2)="","",OFFSET(AB9,AF8-1,1+(Z14-1)*2))</f>
        <v/>
      </c>
      <c r="AG14" s="150" t="str">
        <f ca="1">IF(OFFSET(AB9,AF8-1,(Z14-1)*2)="","",OFFSET(AB9,AF8-1,(Z14-1)*2))</f>
        <v/>
      </c>
      <c r="AH14" s="150" t="str">
        <f ca="1">IF(OFFSET(AB9,AH8-1,1+(Z14-1)*2)="","",OFFSET(AB9,AH8-1,1+(Z14-1)*2))</f>
        <v/>
      </c>
      <c r="AI14" s="150" t="str">
        <f ca="1">IF(OFFSET(AB9,AH8-1,(Z14-1)*2)="","",OFFSET(AB9,AH8-1,(Z14-1)*2))</f>
        <v/>
      </c>
      <c r="AJ14" s="150" t="str">
        <f ca="1">IF(OFFSET(AB9,AJ8-1,1+(Z14-1)*2)="","",OFFSET(AB9,AJ8-1,1+(Z14-1)*2))</f>
        <v/>
      </c>
      <c r="AK14" s="150" t="str">
        <f ca="1">IF(OFFSET(AB9,AJ8-1,(Z14-1)*2)="","",OFFSET(AB9,AJ8-1,(Z14-1)*2))</f>
        <v/>
      </c>
      <c r="AL14" s="155"/>
      <c r="AM14" s="149"/>
      <c r="AN14" s="150"/>
      <c r="AO14" s="150"/>
      <c r="AP14" s="150"/>
      <c r="AQ14" s="150"/>
      <c r="AR14" s="163">
        <f ca="1">COUNTIF(OFFSET(AC9,0,(Z14-1)*2,8),2)*2+COUNTIF(OFFSET(AB9,0,(Z14-1)*2,8),2)</f>
        <v>0</v>
      </c>
      <c r="AS14" s="163">
        <f ca="1">RANK(CC14,CC9:CC16)*CB14</f>
        <v>0</v>
      </c>
      <c r="AT14" s="151">
        <f t="shared" ca="1" si="13"/>
        <v>0</v>
      </c>
      <c r="AU14" s="151">
        <f t="shared" ca="1" si="14"/>
        <v>0</v>
      </c>
      <c r="AV14" s="152" t="str">
        <f t="shared" ca="1" si="15"/>
        <v/>
      </c>
      <c r="AW14" s="153"/>
      <c r="AX14" s="156">
        <f ca="1">COUNTA(C9:C16)-COUNTBLANK(C9:C16)</f>
        <v>0</v>
      </c>
      <c r="AY14" s="156">
        <f t="shared" ca="1" si="3"/>
        <v>0</v>
      </c>
      <c r="AZ14" s="157">
        <f t="shared" ca="1" si="16"/>
        <v>0</v>
      </c>
      <c r="BA14" s="156">
        <f ca="1">IF(T14=OFFSET(T8,BA8,0),1,0)</f>
        <v>1</v>
      </c>
      <c r="BB14" s="156">
        <f ca="1">IF(T14=OFFSET(T8,BB8,0),1,0)</f>
        <v>1</v>
      </c>
      <c r="BC14" s="156">
        <f ca="1">IF(T14=OFFSET(T8,BC8,0),1,0)</f>
        <v>1</v>
      </c>
      <c r="BD14" s="156">
        <f ca="1">IF(T14=OFFSET(T8,BD8,0),1,0)</f>
        <v>1</v>
      </c>
      <c r="BE14" s="156">
        <f ca="1">IF(T14=OFFSET(T8,BE8,0),1,0)</f>
        <v>1</v>
      </c>
      <c r="BF14" s="156">
        <f ca="1">IF(T14=OFFSET(T8,BF8,0),1,0)</f>
        <v>1</v>
      </c>
      <c r="BG14" s="156">
        <f ca="1">IF(T14=OFFSET(T8,BG8,0),1,0)</f>
        <v>1</v>
      </c>
      <c r="BH14" s="156">
        <f ca="1">IF(T14=OFFSET(T8,BH8,0),1,0)</f>
        <v>1</v>
      </c>
      <c r="BI14" s="156" t="str">
        <f ca="1">OFFSET(C14,0,1+(BI8-1)*2)</f>
        <v/>
      </c>
      <c r="BJ14" s="156" t="str">
        <f ca="1">OFFSET(C14,0,1+(BJ8-1)*2)</f>
        <v/>
      </c>
      <c r="BK14" s="156" t="str">
        <f ca="1">OFFSET(C14,0,1+(BK8-1)*2)</f>
        <v/>
      </c>
      <c r="BL14" s="156" t="str">
        <f ca="1">OFFSET(C14,0,1+(BL8-1)*2)</f>
        <v/>
      </c>
      <c r="BM14" s="156" t="str">
        <f ca="1">OFFSET(C14,0,1+(BM8-1)*2)</f>
        <v/>
      </c>
      <c r="BN14" s="156">
        <f ca="1">OFFSET(C14,0,1+(BN8-1)*2)</f>
        <v>0</v>
      </c>
      <c r="BO14" s="156">
        <f ca="1">OFFSET(C14,0,1+(BO8-1)*2)</f>
        <v>0</v>
      </c>
      <c r="BP14" s="156">
        <f ca="1">OFFSET(C14,0,1+(BP8-1)*2)</f>
        <v>0</v>
      </c>
      <c r="BQ14" s="156" t="str">
        <f t="shared" ca="1" si="17"/>
        <v/>
      </c>
      <c r="BR14" s="156" t="str">
        <f t="shared" ca="1" si="17"/>
        <v/>
      </c>
      <c r="BS14" s="156" t="str">
        <f t="shared" ca="1" si="17"/>
        <v/>
      </c>
      <c r="BT14" s="156" t="str">
        <f t="shared" ca="1" si="17"/>
        <v/>
      </c>
      <c r="BU14" s="156" t="str">
        <f t="shared" ca="1" si="17"/>
        <v/>
      </c>
      <c r="BV14" s="156">
        <f t="shared" ca="1" si="17"/>
        <v>0</v>
      </c>
      <c r="BW14" s="156">
        <f t="shared" ca="1" si="17"/>
        <v>0</v>
      </c>
      <c r="BX14" s="156">
        <f t="shared" ca="1" si="17"/>
        <v>0</v>
      </c>
      <c r="BY14" s="156">
        <f t="shared" ca="1" si="18"/>
        <v>8</v>
      </c>
      <c r="CA14" s="156">
        <f ca="1">COUNTA(AA9:AA16)-COUNTBLANK(AA9:AA16)</f>
        <v>0</v>
      </c>
      <c r="CB14" s="156">
        <f t="shared" ca="1" si="19"/>
        <v>0</v>
      </c>
      <c r="CC14" s="157">
        <f t="shared" ca="1" si="20"/>
        <v>0</v>
      </c>
      <c r="CD14" s="156">
        <f ca="1">IF(AR14=OFFSET(AR8,CD8,0),1,0)</f>
        <v>1</v>
      </c>
      <c r="CE14" s="156">
        <f ca="1">IF(AR14=OFFSET(AR8,CE8,0),1,0)</f>
        <v>1</v>
      </c>
      <c r="CF14" s="156">
        <f ca="1">IF(AR14=OFFSET(AR8,CF8,0),1,0)</f>
        <v>1</v>
      </c>
      <c r="CG14" s="156">
        <f ca="1">IF(AR14=OFFSET(AR8,CG8,0),1,0)</f>
        <v>1</v>
      </c>
      <c r="CH14" s="156">
        <f ca="1">IF(AR14=OFFSET(AR8,CH8,0),1,0)</f>
        <v>1</v>
      </c>
      <c r="CI14" s="156">
        <f ca="1">IF(AR14=OFFSET(AR8,CI8,0),1,0)</f>
        <v>1</v>
      </c>
      <c r="CJ14" s="156">
        <f ca="1">IF(AR14=OFFSET(AR8,CJ8,0),1,0)</f>
        <v>1</v>
      </c>
      <c r="CK14" s="156">
        <f ca="1">IF(AR14=OFFSET(AR8,CK8,0),1,0)</f>
        <v>1</v>
      </c>
      <c r="CL14" s="156" t="str">
        <f ca="1">OFFSET(AA14,0,1+(CL8-1)*2)</f>
        <v/>
      </c>
      <c r="CM14" s="156" t="str">
        <f ca="1">OFFSET(AA14,0,1+(CM8-1)*2)</f>
        <v/>
      </c>
      <c r="CN14" s="156" t="str">
        <f ca="1">OFFSET(AA14,0,1+(CN8-1)*2)</f>
        <v/>
      </c>
      <c r="CO14" s="156" t="str">
        <f ca="1">OFFSET(AA14,0,1+(CO8-1)*2)</f>
        <v/>
      </c>
      <c r="CP14" s="156" t="str">
        <f ca="1">OFFSET(AA14,0,1+(CP8-1)*2)</f>
        <v/>
      </c>
      <c r="CQ14" s="156">
        <f ca="1">OFFSET(AA14,0,1+(CQ8-1)*2)</f>
        <v>0</v>
      </c>
      <c r="CR14" s="156">
        <f ca="1">OFFSET(AA14,0,1+(CR8-1)*2)</f>
        <v>0</v>
      </c>
      <c r="CS14" s="156">
        <f ca="1">OFFSET(AA14,0,1+(CS8-1)*2)</f>
        <v>0</v>
      </c>
      <c r="CT14" s="156" t="str">
        <f ca="1">OFFSET(AA14,0,2+(CT8-1)*2)</f>
        <v/>
      </c>
      <c r="CU14" s="156" t="str">
        <f ca="1">OFFSET(AA14,0,2+(CU8-1)*2)</f>
        <v/>
      </c>
      <c r="CV14" s="156" t="str">
        <f ca="1">OFFSET(AA14,0,2+(CV8-1)*2)</f>
        <v/>
      </c>
      <c r="CW14" s="156" t="str">
        <f ca="1">OFFSET(AA14,0,2+(CW8-1)*2)</f>
        <v/>
      </c>
      <c r="CX14" s="156" t="str">
        <f ca="1">OFFSET(AA14,0,2+(CX8-1)*2)</f>
        <v/>
      </c>
      <c r="CY14" s="156">
        <f ca="1">OFFSET(AA14,0,2+(CY8-1)*2)</f>
        <v>0</v>
      </c>
      <c r="CZ14" s="156">
        <f ca="1">OFFSET(AA14,0,2+(CZ8-1)*2)</f>
        <v>0</v>
      </c>
      <c r="DA14" s="156">
        <f ca="1">OFFSET(AA14,0,2+(DA8-1)*2)</f>
        <v>0</v>
      </c>
      <c r="DB14" s="156">
        <f t="shared" ca="1" si="21"/>
        <v>8</v>
      </c>
      <c r="DE14" s="159"/>
      <c r="DF14" s="159"/>
      <c r="DG14" s="159">
        <v>1</v>
      </c>
      <c r="DH14" s="123">
        <v>8</v>
      </c>
      <c r="DI14" s="123">
        <f t="shared" si="22"/>
        <v>1</v>
      </c>
      <c r="DJ14" s="36" t="str">
        <f ca="1">OFFSET(gr_header,DG14+DE8,1+DF8)</f>
        <v/>
      </c>
      <c r="DK14" s="36" t="str">
        <f t="shared" ca="1" si="0"/>
        <v/>
      </c>
      <c r="DL14" s="123">
        <f ca="1">OFFSET(gr_header,DG14+DE8,2*DH14+DF8)</f>
        <v>0</v>
      </c>
      <c r="DM14" s="123">
        <f ca="1">OFFSET(gr_header,DG14+DE8,2*DH14+1+DF8)</f>
        <v>0</v>
      </c>
      <c r="DN14" s="34"/>
      <c r="DO14" s="183">
        <f t="shared" ca="1" si="5"/>
        <v>0</v>
      </c>
      <c r="DP14" s="183">
        <f t="shared" ca="1" si="6"/>
        <v>0</v>
      </c>
      <c r="DQ14" s="183">
        <f t="shared" ca="1" si="7"/>
        <v>0</v>
      </c>
      <c r="DR14" s="183">
        <f t="shared" ca="1" si="8"/>
        <v>0</v>
      </c>
      <c r="DS14" s="182">
        <f t="shared" ca="1" si="9"/>
        <v>0</v>
      </c>
      <c r="DT14" s="182">
        <f t="shared" ca="1" si="10"/>
        <v>0</v>
      </c>
      <c r="DU14" s="182"/>
      <c r="DV14" s="182"/>
      <c r="DW14" s="182"/>
    </row>
    <row r="15" spans="2:127" hidden="1" outlineLevel="1">
      <c r="B15" s="148">
        <v>7</v>
      </c>
      <c r="C15" s="158" t="str">
        <f ca="1">OFFSET(gr_anchor,B15,B8)</f>
        <v/>
      </c>
      <c r="D15" s="150" t="str">
        <f ca="1">IF(OFFSET(D9,D8-1,1+(B15-1)*2)="","",OFFSET(D9,D8-1,1+(B15-1)*2))</f>
        <v/>
      </c>
      <c r="E15" s="150" t="str">
        <f ca="1">IF(OFFSET(D9,D8-1,(B15-1)*2)="","",OFFSET(D9,D8-1,(B15-1)*2))</f>
        <v/>
      </c>
      <c r="F15" s="150" t="str">
        <f ca="1">IF(OFFSET(D9,F8-1,1+(B15-1)*2)="","",OFFSET(D9,F8-1,1+(B15-1)*2))</f>
        <v/>
      </c>
      <c r="G15" s="150" t="str">
        <f ca="1">IF(OFFSET(D9,F8-1,(B15-1)*2)="","",OFFSET(D9,F8-1,(B15-1)*2))</f>
        <v/>
      </c>
      <c r="H15" s="150" t="str">
        <f ca="1">IF(OFFSET(D9,H8-1,1+(B15-1)*2)="","",OFFSET(D9,H8-1,1+(B15-1)*2))</f>
        <v/>
      </c>
      <c r="I15" s="150" t="str">
        <f ca="1">IF(OFFSET(D9,H8-1,(B15-1)*2)="","",OFFSET(D9,H8-1,(B15-1)*2))</f>
        <v/>
      </c>
      <c r="J15" s="150" t="str">
        <f ca="1">IF(OFFSET(D9,J8-1,1+(B15-1)*2)="","",OFFSET(D9,J8-1,1+(B15-1)*2))</f>
        <v/>
      </c>
      <c r="K15" s="150" t="str">
        <f ca="1">IF(OFFSET(D9,J8-1,(B15-1)*2)="","",OFFSET(D9,J8-1,(B15-1)*2))</f>
        <v/>
      </c>
      <c r="L15" s="150" t="str">
        <f ca="1">IF(OFFSET(D9,L8-1,1+(B15-1)*2)="","",OFFSET(D9,L8-1,1+(B15-1)*2))</f>
        <v/>
      </c>
      <c r="M15" s="150" t="str">
        <f ca="1">IF(OFFSET(D9,L8-1,(B15-1)*2)="","",OFFSET(D9,L8-1,(B15-1)*2))</f>
        <v/>
      </c>
      <c r="N15" s="150" t="str">
        <f ca="1">IF(OFFSET(D9,N8-1,1+(B15-1)*2)="","",OFFSET(D9,N8-1,1+(B15-1)*2))</f>
        <v/>
      </c>
      <c r="O15" s="150" t="str">
        <f ca="1">IF(OFFSET(D9,N8-1,(B15-1)*2)="","",OFFSET(D9,N8-1,(B15-1)*2))</f>
        <v/>
      </c>
      <c r="P15" s="155"/>
      <c r="Q15" s="149"/>
      <c r="R15" s="150"/>
      <c r="S15" s="150"/>
      <c r="T15" s="151">
        <f ca="1">COUNTIF(OFFSET(E9,0,(B15-1)*2,8),2)*2+COUNTIF(OFFSET(D9,0,(B15-1)*2,8),2)</f>
        <v>0</v>
      </c>
      <c r="U15" s="151">
        <f ca="1">RANK(AZ15,AZ9:AZ16)*AY15</f>
        <v>0</v>
      </c>
      <c r="V15" s="151">
        <f t="shared" ca="1" si="11"/>
        <v>0</v>
      </c>
      <c r="W15" s="151">
        <f t="shared" ca="1" si="12"/>
        <v>0</v>
      </c>
      <c r="X15" s="152" t="str">
        <f t="shared" ca="1" si="2"/>
        <v/>
      </c>
      <c r="Y15" s="153"/>
      <c r="Z15" s="148">
        <v>7</v>
      </c>
      <c r="AA15" s="154" t="str">
        <f ca="1">OFFSET(gr_anchor,Z15,Z8)</f>
        <v/>
      </c>
      <c r="AB15" s="150" t="str">
        <f ca="1">IF(OFFSET(AB9,AB8-1,1+(Z15-1)*2)="","",OFFSET(AB9,AB8-1,1+(Z15-1)*2))</f>
        <v/>
      </c>
      <c r="AC15" s="150" t="str">
        <f ca="1">IF(OFFSET(AB9,AB8-1,(Z15-1)*2)="","",OFFSET(AB9,AB8-1,(Z15-1)*2))</f>
        <v/>
      </c>
      <c r="AD15" s="150" t="str">
        <f ca="1">IF(OFFSET(AB9,AD8-1,1+(Z15-1)*2)="","",OFFSET(AB9,AD8-1,1+(Z15-1)*2))</f>
        <v/>
      </c>
      <c r="AE15" s="150" t="str">
        <f ca="1">IF(OFFSET(AB9,AD8-1,(Z15-1)*2)="","",OFFSET(AB9,AD8-1,(Z15-1)*2))</f>
        <v/>
      </c>
      <c r="AF15" s="150" t="str">
        <f ca="1">IF(OFFSET(AB9,AF8-1,1+(Z15-1)*2)="","",OFFSET(AB9,AF8-1,1+(Z15-1)*2))</f>
        <v/>
      </c>
      <c r="AG15" s="150" t="str">
        <f ca="1">IF(OFFSET(AB9,AF8-1,(Z15-1)*2)="","",OFFSET(AB9,AF8-1,(Z15-1)*2))</f>
        <v/>
      </c>
      <c r="AH15" s="150" t="str">
        <f ca="1">IF(OFFSET(AB9,AH8-1,1+(Z15-1)*2)="","",OFFSET(AB9,AH8-1,1+(Z15-1)*2))</f>
        <v/>
      </c>
      <c r="AI15" s="150" t="str">
        <f ca="1">IF(OFFSET(AB9,AH8-1,(Z15-1)*2)="","",OFFSET(AB9,AH8-1,(Z15-1)*2))</f>
        <v/>
      </c>
      <c r="AJ15" s="150" t="str">
        <f ca="1">IF(OFFSET(AB9,AJ8-1,1+(Z15-1)*2)="","",OFFSET(AB9,AJ8-1,1+(Z15-1)*2))</f>
        <v/>
      </c>
      <c r="AK15" s="150" t="str">
        <f ca="1">IF(OFFSET(AB9,AJ8-1,(Z15-1)*2)="","",OFFSET(AB9,AJ8-1,(Z15-1)*2))</f>
        <v/>
      </c>
      <c r="AL15" s="150" t="str">
        <f ca="1">IF(OFFSET(AB9,AL8-1,1+(Z15-1)*2)="","",OFFSET(AB9,AL8-1,1+(Z15-1)*2))</f>
        <v/>
      </c>
      <c r="AM15" s="150" t="str">
        <f ca="1">IF(OFFSET(AB9,AL8-1,(Z15-1)*2)="","",OFFSET(AB9,AL8-1,(Z15-1)*2))</f>
        <v/>
      </c>
      <c r="AN15" s="155"/>
      <c r="AO15" s="149"/>
      <c r="AP15" s="150"/>
      <c r="AQ15" s="150"/>
      <c r="AR15" s="151">
        <f ca="1">COUNTIF(OFFSET(AC9,0,(Z15-1)*2,8),2)*2+COUNTIF(OFFSET(AB9,0,(Z15-1)*2,8),2)</f>
        <v>0</v>
      </c>
      <c r="AS15" s="151">
        <f ca="1">RANK(CC15,CC9:CC16)*CB15</f>
        <v>0</v>
      </c>
      <c r="AT15" s="151">
        <f t="shared" ca="1" si="13"/>
        <v>0</v>
      </c>
      <c r="AU15" s="151">
        <f t="shared" ca="1" si="14"/>
        <v>0</v>
      </c>
      <c r="AV15" s="152" t="str">
        <f t="shared" ca="1" si="15"/>
        <v/>
      </c>
      <c r="AW15" s="153"/>
      <c r="AX15" s="156">
        <f ca="1">COUNTA(C9:C16)-COUNTBLANK(C9:C16)</f>
        <v>0</v>
      </c>
      <c r="AY15" s="156">
        <f t="shared" ca="1" si="3"/>
        <v>0</v>
      </c>
      <c r="AZ15" s="157">
        <f t="shared" ca="1" si="16"/>
        <v>0</v>
      </c>
      <c r="BA15" s="156">
        <f ca="1">IF(T15=OFFSET(T8,BA8,0),1,0)</f>
        <v>1</v>
      </c>
      <c r="BB15" s="156">
        <f ca="1">IF(T15=OFFSET(T8,BB8,0),1,0)</f>
        <v>1</v>
      </c>
      <c r="BC15" s="156">
        <f ca="1">IF(T15=OFFSET(T8,BC8,0),1,0)</f>
        <v>1</v>
      </c>
      <c r="BD15" s="156">
        <f ca="1">IF(T15=OFFSET(T8,BD8,0),1,0)</f>
        <v>1</v>
      </c>
      <c r="BE15" s="156">
        <f ca="1">IF(T15=OFFSET(T8,BE8,0),1,0)</f>
        <v>1</v>
      </c>
      <c r="BF15" s="156">
        <f ca="1">IF(T15=OFFSET(T8,BF8,0),1,0)</f>
        <v>1</v>
      </c>
      <c r="BG15" s="156">
        <f ca="1">IF(T15=OFFSET(T8,BG8,0),1,0)</f>
        <v>1</v>
      </c>
      <c r="BH15" s="156">
        <f ca="1">IF(T15=OFFSET(T8,BH8,0),1,0)</f>
        <v>1</v>
      </c>
      <c r="BI15" s="156" t="str">
        <f ca="1">OFFSET(C15,0,1+(BI8-1)*2)</f>
        <v/>
      </c>
      <c r="BJ15" s="156" t="str">
        <f ca="1">OFFSET(C15,0,1+(BJ8-1)*2)</f>
        <v/>
      </c>
      <c r="BK15" s="156" t="str">
        <f ca="1">OFFSET(C15,0,1+(BK8-1)*2)</f>
        <v/>
      </c>
      <c r="BL15" s="156" t="str">
        <f ca="1">OFFSET(C15,0,1+(BL8-1)*2)</f>
        <v/>
      </c>
      <c r="BM15" s="156" t="str">
        <f ca="1">OFFSET(C15,0,1+(BM8-1)*2)</f>
        <v/>
      </c>
      <c r="BN15" s="156" t="str">
        <f ca="1">OFFSET(C15,0,1+(BN8-1)*2)</f>
        <v/>
      </c>
      <c r="BO15" s="156">
        <f ca="1">OFFSET(C15,0,1+(BO8-1)*2)</f>
        <v>0</v>
      </c>
      <c r="BP15" s="156">
        <f ca="1">OFFSET(C15,0,1+(BP8-1)*2)</f>
        <v>0</v>
      </c>
      <c r="BQ15" s="156" t="str">
        <f t="shared" ca="1" si="17"/>
        <v/>
      </c>
      <c r="BR15" s="156" t="str">
        <f t="shared" ca="1" si="17"/>
        <v/>
      </c>
      <c r="BS15" s="156" t="str">
        <f t="shared" ca="1" si="17"/>
        <v/>
      </c>
      <c r="BT15" s="156" t="str">
        <f t="shared" ca="1" si="17"/>
        <v/>
      </c>
      <c r="BU15" s="156" t="str">
        <f t="shared" ca="1" si="17"/>
        <v/>
      </c>
      <c r="BV15" s="156" t="str">
        <f t="shared" ca="1" si="17"/>
        <v/>
      </c>
      <c r="BW15" s="156">
        <f t="shared" ca="1" si="17"/>
        <v>0</v>
      </c>
      <c r="BX15" s="156">
        <f t="shared" ca="1" si="17"/>
        <v>0</v>
      </c>
      <c r="BY15" s="156">
        <f t="shared" ca="1" si="18"/>
        <v>8</v>
      </c>
      <c r="CA15" s="156">
        <f ca="1">COUNTA(AA9:AA16)-COUNTBLANK(AA9:AA16)</f>
        <v>0</v>
      </c>
      <c r="CB15" s="156">
        <f t="shared" ca="1" si="19"/>
        <v>0</v>
      </c>
      <c r="CC15" s="157">
        <f t="shared" ca="1" si="20"/>
        <v>0</v>
      </c>
      <c r="CD15" s="156">
        <f ca="1">IF(AR15=OFFSET(AR8,CD8,0),1,0)</f>
        <v>1</v>
      </c>
      <c r="CE15" s="156">
        <f ca="1">IF(AR15=OFFSET(AR8,CE8,0),1,0)</f>
        <v>1</v>
      </c>
      <c r="CF15" s="156">
        <f ca="1">IF(AR15=OFFSET(AR8,CF8,0),1,0)</f>
        <v>1</v>
      </c>
      <c r="CG15" s="156">
        <f ca="1">IF(AR15=OFFSET(AR8,CG8,0),1,0)</f>
        <v>1</v>
      </c>
      <c r="CH15" s="156">
        <f ca="1">IF(AR15=OFFSET(AR8,CH8,0),1,0)</f>
        <v>1</v>
      </c>
      <c r="CI15" s="156">
        <f ca="1">IF(AR15=OFFSET(AR8,CI8,0),1,0)</f>
        <v>1</v>
      </c>
      <c r="CJ15" s="156">
        <f ca="1">IF(AR15=OFFSET(AR8,CJ8,0),1,0)</f>
        <v>1</v>
      </c>
      <c r="CK15" s="156">
        <f ca="1">IF(AR15=OFFSET(AR8,CK8,0),1,0)</f>
        <v>1</v>
      </c>
      <c r="CL15" s="156" t="str">
        <f ca="1">OFFSET(AA15,0,1+(CL8-1)*2)</f>
        <v/>
      </c>
      <c r="CM15" s="156" t="str">
        <f ca="1">OFFSET(AA15,0,1+(CM8-1)*2)</f>
        <v/>
      </c>
      <c r="CN15" s="156" t="str">
        <f ca="1">OFFSET(AA15,0,1+(CN8-1)*2)</f>
        <v/>
      </c>
      <c r="CO15" s="156" t="str">
        <f ca="1">OFFSET(AA15,0,1+(CO8-1)*2)</f>
        <v/>
      </c>
      <c r="CP15" s="156" t="str">
        <f ca="1">OFFSET(AA15,0,1+(CP8-1)*2)</f>
        <v/>
      </c>
      <c r="CQ15" s="156" t="str">
        <f ca="1">OFFSET(AA15,0,1+(CQ8-1)*2)</f>
        <v/>
      </c>
      <c r="CR15" s="156">
        <f ca="1">OFFSET(AA15,0,1+(CR8-1)*2)</f>
        <v>0</v>
      </c>
      <c r="CS15" s="156">
        <f ca="1">OFFSET(AA15,0,1+(CS8-1)*2)</f>
        <v>0</v>
      </c>
      <c r="CT15" s="156" t="str">
        <f ca="1">OFFSET(AA15,0,2+(CT8-1)*2)</f>
        <v/>
      </c>
      <c r="CU15" s="156" t="str">
        <f ca="1">OFFSET(AA15,0,2+(CU8-1)*2)</f>
        <v/>
      </c>
      <c r="CV15" s="156" t="str">
        <f ca="1">OFFSET(AA15,0,2+(CV8-1)*2)</f>
        <v/>
      </c>
      <c r="CW15" s="156" t="str">
        <f ca="1">OFFSET(AA15,0,2+(CW8-1)*2)</f>
        <v/>
      </c>
      <c r="CX15" s="156" t="str">
        <f ca="1">OFFSET(AA15,0,2+(CX8-1)*2)</f>
        <v/>
      </c>
      <c r="CY15" s="156" t="str">
        <f ca="1">OFFSET(AA15,0,2+(CY8-1)*2)</f>
        <v/>
      </c>
      <c r="CZ15" s="156">
        <f ca="1">OFFSET(AA15,0,2+(CZ8-1)*2)</f>
        <v>0</v>
      </c>
      <c r="DA15" s="156">
        <f ca="1">OFFSET(AA15,0,2+(DA8-1)*2)</f>
        <v>0</v>
      </c>
      <c r="DB15" s="156">
        <f t="shared" ca="1" si="21"/>
        <v>8</v>
      </c>
      <c r="DE15" s="159"/>
      <c r="DF15" s="159"/>
      <c r="DG15" s="159">
        <v>2</v>
      </c>
      <c r="DH15" s="159">
        <v>3</v>
      </c>
      <c r="DI15" s="123">
        <f t="shared" si="22"/>
        <v>1</v>
      </c>
      <c r="DJ15" s="36" t="str">
        <f ca="1">OFFSET(gr_header,DG15+DE8,1+DF8)</f>
        <v/>
      </c>
      <c r="DK15" s="36" t="str">
        <f t="shared" ca="1" si="0"/>
        <v/>
      </c>
      <c r="DL15" s="123">
        <f ca="1">OFFSET(gr_header,DG15+DE8,2*DH15+DF8)</f>
        <v>0</v>
      </c>
      <c r="DM15" s="123">
        <f ca="1">OFFSET(gr_header,DG15+DE8,2*DH15+1+DF8)</f>
        <v>0</v>
      </c>
      <c r="DN15" s="34"/>
      <c r="DO15" s="183">
        <f t="shared" ca="1" si="5"/>
        <v>0</v>
      </c>
      <c r="DP15" s="183">
        <f t="shared" ca="1" si="6"/>
        <v>0</v>
      </c>
      <c r="DQ15" s="183">
        <f t="shared" ca="1" si="7"/>
        <v>0</v>
      </c>
      <c r="DR15" s="183">
        <f t="shared" ca="1" si="8"/>
        <v>0</v>
      </c>
      <c r="DS15" s="182">
        <f t="shared" ca="1" si="9"/>
        <v>0</v>
      </c>
      <c r="DT15" s="182">
        <f t="shared" ca="1" si="10"/>
        <v>0</v>
      </c>
      <c r="DU15" s="182"/>
      <c r="DV15" s="182"/>
      <c r="DW15" s="182"/>
    </row>
    <row r="16" spans="2:127" hidden="1" outlineLevel="1">
      <c r="B16" s="148">
        <v>8</v>
      </c>
      <c r="C16" s="154" t="str">
        <f ca="1">OFFSET(gr_anchor,B16,B8)</f>
        <v/>
      </c>
      <c r="D16" s="150" t="str">
        <f ca="1">IF(OFFSET(D9,D8-1,1+(B16-1)*2)="","",OFFSET(D9,D8-1,1+(B16-1)*2))</f>
        <v/>
      </c>
      <c r="E16" s="150" t="str">
        <f ca="1">IF(OFFSET(D9,D8-1,(B16-1)*2)="","",OFFSET(D9,D8-1,(B16-1)*2))</f>
        <v/>
      </c>
      <c r="F16" s="150" t="str">
        <f ca="1">IF(OFFSET(D9,F8-1,1+(B16-1)*2)="","",OFFSET(D9,F8-1,1+(B16-1)*2))</f>
        <v/>
      </c>
      <c r="G16" s="150" t="str">
        <f ca="1">IF(OFFSET(D9,F8-1,(B16-1)*2)="","",OFFSET(D9,F8-1,(B16-1)*2))</f>
        <v/>
      </c>
      <c r="H16" s="150" t="str">
        <f ca="1">IF(OFFSET(D9,H8-1,1+(B16-1)*2)="","",OFFSET(D9,H8-1,1+(B16-1)*2))</f>
        <v/>
      </c>
      <c r="I16" s="150" t="str">
        <f ca="1">IF(OFFSET(D9,H8-1,(B16-1)*2)="","",OFFSET(D9,H8-1,(B16-1)*2))</f>
        <v/>
      </c>
      <c r="J16" s="150" t="str">
        <f ca="1">IF(OFFSET(D9,J8-1,1+(B16-1)*2)="","",OFFSET(D9,J8-1,1+(B16-1)*2))</f>
        <v/>
      </c>
      <c r="K16" s="150" t="str">
        <f ca="1">IF(OFFSET(D9,J8-1,(B16-1)*2)="","",OFFSET(D9,J8-1,(B16-1)*2))</f>
        <v/>
      </c>
      <c r="L16" s="150" t="str">
        <f ca="1">IF(OFFSET(D9,L8-1,1+(B16-1)*2)="","",OFFSET(D9,L8-1,1+(B16-1)*2))</f>
        <v/>
      </c>
      <c r="M16" s="150" t="str">
        <f ca="1">IF(OFFSET(D9,L8-1,(B16-1)*2)="","",OFFSET(D9,L8-1,(B16-1)*2))</f>
        <v/>
      </c>
      <c r="N16" s="150" t="str">
        <f ca="1">IF(OFFSET(D9,N8-1,1+(B16-1)*2)="","",OFFSET(D9,N8-1,1+(B16-1)*2))</f>
        <v/>
      </c>
      <c r="O16" s="150" t="str">
        <f ca="1">IF(OFFSET(D9,N8-1,(B16-1)*2)="","",OFFSET(D9,N8-1,(B16-1)*2))</f>
        <v/>
      </c>
      <c r="P16" s="150" t="str">
        <f ca="1">IF(OFFSET(D9,P8-1,1+(B16-1)*2)="","",OFFSET(D9,P8-1,1+(B16-1)*2))</f>
        <v/>
      </c>
      <c r="Q16" s="150" t="str">
        <f ca="1">IF(OFFSET(D9,P8-1,(B16-1)*2)="","",OFFSET(D9,P8-1,(B16-1)*2))</f>
        <v/>
      </c>
      <c r="R16" s="155"/>
      <c r="S16" s="149"/>
      <c r="T16" s="151">
        <f ca="1">COUNTIF(OFFSET(E9,0,(B16-1)*2,8),2)*2+COUNTIF(OFFSET(D9,0,(B16-1)*2,8),2)</f>
        <v>0</v>
      </c>
      <c r="U16" s="151">
        <f ca="1">RANK(AZ16,AZ9:AZ16)*AY16</f>
        <v>0</v>
      </c>
      <c r="V16" s="151">
        <f t="shared" ca="1" si="11"/>
        <v>0</v>
      </c>
      <c r="W16" s="151">
        <f t="shared" ca="1" si="12"/>
        <v>0</v>
      </c>
      <c r="X16" s="152" t="str">
        <f t="shared" ca="1" si="2"/>
        <v/>
      </c>
      <c r="Y16" s="153"/>
      <c r="Z16" s="148">
        <v>8</v>
      </c>
      <c r="AA16" s="154" t="str">
        <f ca="1">OFFSET(gr_anchor,Z16,Z8)</f>
        <v/>
      </c>
      <c r="AB16" s="150" t="str">
        <f ca="1">IF(OFFSET(AB9,AB8-1,1+(Z16-1)*2)="","",OFFSET(AB9,AB8-1,1+(Z16-1)*2))</f>
        <v/>
      </c>
      <c r="AC16" s="150" t="str">
        <f ca="1">IF(OFFSET(AB9,AB8-1,(Z16-1)*2)="","",OFFSET(AB9,AB8-1,(Z16-1)*2))</f>
        <v/>
      </c>
      <c r="AD16" s="150" t="str">
        <f ca="1">IF(OFFSET(AB9,AD8-1,1+(Z16-1)*2)="","",OFFSET(AB9,AD8-1,1+(Z16-1)*2))</f>
        <v/>
      </c>
      <c r="AE16" s="150" t="str">
        <f ca="1">IF(OFFSET(AB9,AD8-1,(Z16-1)*2)="","",OFFSET(AB9,AD8-1,(Z16-1)*2))</f>
        <v/>
      </c>
      <c r="AF16" s="150" t="str">
        <f ca="1">IF(OFFSET(AB9,AF8-1,1+(Z16-1)*2)="","",OFFSET(AB9,AF8-1,1+(Z16-1)*2))</f>
        <v/>
      </c>
      <c r="AG16" s="150" t="str">
        <f ca="1">IF(OFFSET(AB9,AF8-1,(Z16-1)*2)="","",OFFSET(AB9,AF8-1,(Z16-1)*2))</f>
        <v/>
      </c>
      <c r="AH16" s="150" t="str">
        <f ca="1">IF(OFFSET(AB9,AH8-1,1+(Z16-1)*2)="","",OFFSET(AB9,AH8-1,1+(Z16-1)*2))</f>
        <v/>
      </c>
      <c r="AI16" s="150" t="str">
        <f ca="1">IF(OFFSET(AB9,AH8-1,(Z16-1)*2)="","",OFFSET(AB9,AH8-1,(Z16-1)*2))</f>
        <v/>
      </c>
      <c r="AJ16" s="150" t="str">
        <f ca="1">IF(OFFSET(AB9,AJ8-1,1+(Z16-1)*2)="","",OFFSET(AB9,AJ8-1,1+(Z16-1)*2))</f>
        <v/>
      </c>
      <c r="AK16" s="150" t="str">
        <f ca="1">IF(OFFSET(AB9,AJ8-1,(Z16-1)*2)="","",OFFSET(AB9,AJ8-1,(Z16-1)*2))</f>
        <v/>
      </c>
      <c r="AL16" s="150" t="str">
        <f ca="1">IF(OFFSET(AB9,AL8-1,1+(Z16-1)*2)="","",OFFSET(AB9,AL8-1,1+(Z16-1)*2))</f>
        <v/>
      </c>
      <c r="AM16" s="150" t="str">
        <f ca="1">IF(OFFSET(AB9,AL8-1,(Z16-1)*2)="","",OFFSET(AB9,AL8-1,(Z16-1)*2))</f>
        <v/>
      </c>
      <c r="AN16" s="150" t="str">
        <f ca="1">IF(OFFSET(AB9,AN8-1,1+(Z16-1)*2)="","",OFFSET(AB9,AN8-1,1+(Z16-1)*2))</f>
        <v/>
      </c>
      <c r="AO16" s="150" t="str">
        <f ca="1">IF(OFFSET(AB9,AN8-1,(Z16-1)*2)="","",OFFSET(AB9,AN8-1,(Z16-1)*2))</f>
        <v/>
      </c>
      <c r="AP16" s="155"/>
      <c r="AQ16" s="149"/>
      <c r="AR16" s="151">
        <f ca="1">COUNTIF(OFFSET(AC9,0,(Z16-1)*2,8),2)*2+COUNTIF(OFFSET(AB9,0,(Z16-1)*2,8),2)</f>
        <v>0</v>
      </c>
      <c r="AS16" s="151">
        <f ca="1">RANK(CC16,CC9:CC16)*CB16</f>
        <v>0</v>
      </c>
      <c r="AT16" s="151">
        <f t="shared" ca="1" si="13"/>
        <v>0</v>
      </c>
      <c r="AU16" s="151">
        <f t="shared" ca="1" si="14"/>
        <v>0</v>
      </c>
      <c r="AV16" s="152" t="str">
        <f t="shared" ca="1" si="15"/>
        <v/>
      </c>
      <c r="AW16" s="153"/>
      <c r="AX16" s="156">
        <f ca="1">COUNTA(C9:C16)-COUNTBLANK(C9:C16)</f>
        <v>0</v>
      </c>
      <c r="AY16" s="156">
        <f t="shared" ca="1" si="3"/>
        <v>0</v>
      </c>
      <c r="AZ16" s="157">
        <f t="shared" ca="1" si="16"/>
        <v>0</v>
      </c>
      <c r="BA16" s="156">
        <f ca="1">IF(T16=OFFSET(T8,BA8,0),1,0)</f>
        <v>1</v>
      </c>
      <c r="BB16" s="156">
        <f ca="1">IF(T16=OFFSET(T8,BB8,0),1,0)</f>
        <v>1</v>
      </c>
      <c r="BC16" s="156">
        <f ca="1">IF(T16=OFFSET(T8,BC8,0),1,0)</f>
        <v>1</v>
      </c>
      <c r="BD16" s="156">
        <f ca="1">IF(T16=OFFSET(T8,BD8,0),1,0)</f>
        <v>1</v>
      </c>
      <c r="BE16" s="156">
        <f ca="1">IF(T16=OFFSET(T8,BE8,0),1,0)</f>
        <v>1</v>
      </c>
      <c r="BF16" s="156">
        <f ca="1">IF(T16=OFFSET(T8,BF8,0),1,0)</f>
        <v>1</v>
      </c>
      <c r="BG16" s="156">
        <f ca="1">IF(T16=OFFSET(T8,BG8,0),1,0)</f>
        <v>1</v>
      </c>
      <c r="BH16" s="156">
        <f ca="1">IF(T16=OFFSET(T8,BH8,0),1,0)</f>
        <v>1</v>
      </c>
      <c r="BI16" s="156" t="str">
        <f ca="1">OFFSET(C16,0,1+(BI8-1)*2)</f>
        <v/>
      </c>
      <c r="BJ16" s="156" t="str">
        <f ca="1">OFFSET(C16,0,1+(BJ8-1)*2)</f>
        <v/>
      </c>
      <c r="BK16" s="156" t="str">
        <f ca="1">OFFSET(C16,0,1+(BK8-1)*2)</f>
        <v/>
      </c>
      <c r="BL16" s="156" t="str">
        <f ca="1">OFFSET(C16,0,1+(BL8-1)*2)</f>
        <v/>
      </c>
      <c r="BM16" s="156" t="str">
        <f ca="1">OFFSET(C16,0,1+(BM8-1)*2)</f>
        <v/>
      </c>
      <c r="BN16" s="156" t="str">
        <f ca="1">OFFSET(C16,0,1+(BN8-1)*2)</f>
        <v/>
      </c>
      <c r="BO16" s="156" t="str">
        <f ca="1">OFFSET(C16,0,1+(BO8-1)*2)</f>
        <v/>
      </c>
      <c r="BP16" s="156">
        <f ca="1">OFFSET(C16,0,1+(BP8-1)*2)</f>
        <v>0</v>
      </c>
      <c r="BQ16" s="156" t="str">
        <f t="shared" ca="1" si="17"/>
        <v/>
      </c>
      <c r="BR16" s="156" t="str">
        <f t="shared" ca="1" si="17"/>
        <v/>
      </c>
      <c r="BS16" s="156" t="str">
        <f t="shared" ca="1" si="17"/>
        <v/>
      </c>
      <c r="BT16" s="156" t="str">
        <f t="shared" ca="1" si="17"/>
        <v/>
      </c>
      <c r="BU16" s="156" t="str">
        <f t="shared" ca="1" si="17"/>
        <v/>
      </c>
      <c r="BV16" s="156" t="str">
        <f t="shared" ca="1" si="17"/>
        <v/>
      </c>
      <c r="BW16" s="156" t="str">
        <f t="shared" ca="1" si="17"/>
        <v/>
      </c>
      <c r="BX16" s="156">
        <f t="shared" ca="1" si="17"/>
        <v>0</v>
      </c>
      <c r="BY16" s="156">
        <f t="shared" ca="1" si="18"/>
        <v>8</v>
      </c>
      <c r="CA16" s="156">
        <f ca="1">COUNTA(AA9:AA16)-COUNTBLANK(AA9:AA16)</f>
        <v>0</v>
      </c>
      <c r="CB16" s="156">
        <f t="shared" ca="1" si="19"/>
        <v>0</v>
      </c>
      <c r="CC16" s="157">
        <f t="shared" ca="1" si="20"/>
        <v>0</v>
      </c>
      <c r="CD16" s="156">
        <f ca="1">IF(AR16=OFFSET(AR8,CD8,0),1,0)</f>
        <v>1</v>
      </c>
      <c r="CE16" s="156">
        <f ca="1">IF(AR16=OFFSET(AR8,CE8,0),1,0)</f>
        <v>1</v>
      </c>
      <c r="CF16" s="156">
        <f ca="1">IF(AR16=OFFSET(AR8,CF8,0),1,0)</f>
        <v>1</v>
      </c>
      <c r="CG16" s="156">
        <f ca="1">IF(AR16=OFFSET(AR8,CG8,0),1,0)</f>
        <v>1</v>
      </c>
      <c r="CH16" s="156">
        <f ca="1">IF(AR16=OFFSET(AR8,CH8,0),1,0)</f>
        <v>1</v>
      </c>
      <c r="CI16" s="156">
        <f ca="1">IF(AR16=OFFSET(AR8,CI8,0),1,0)</f>
        <v>1</v>
      </c>
      <c r="CJ16" s="156">
        <f ca="1">IF(AR16=OFFSET(AR8,CJ8,0),1,0)</f>
        <v>1</v>
      </c>
      <c r="CK16" s="156">
        <f ca="1">IF(AR16=OFFSET(AR8,CK8,0),1,0)</f>
        <v>1</v>
      </c>
      <c r="CL16" s="156" t="str">
        <f ca="1">OFFSET(AA16,0,1+(CL8-1)*2)</f>
        <v/>
      </c>
      <c r="CM16" s="156" t="str">
        <f ca="1">OFFSET(AA16,0,1+(CM8-1)*2)</f>
        <v/>
      </c>
      <c r="CN16" s="156" t="str">
        <f ca="1">OFFSET(AA16,0,1+(CN8-1)*2)</f>
        <v/>
      </c>
      <c r="CO16" s="156" t="str">
        <f ca="1">OFFSET(AA16,0,1+(CO8-1)*2)</f>
        <v/>
      </c>
      <c r="CP16" s="156" t="str">
        <f ca="1">OFFSET(AA16,0,1+(CP8-1)*2)</f>
        <v/>
      </c>
      <c r="CQ16" s="156" t="str">
        <f ca="1">OFFSET(AA16,0,1+(CQ8-1)*2)</f>
        <v/>
      </c>
      <c r="CR16" s="156" t="str">
        <f ca="1">OFFSET(AA16,0,1+(CR8-1)*2)</f>
        <v/>
      </c>
      <c r="CS16" s="156">
        <f ca="1">OFFSET(AA16,0,1+(CS8-1)*2)</f>
        <v>0</v>
      </c>
      <c r="CT16" s="156" t="str">
        <f ca="1">OFFSET(AA16,0,2+(CT8-1)*2)</f>
        <v/>
      </c>
      <c r="CU16" s="156" t="str">
        <f ca="1">OFFSET(AA16,0,2+(CU8-1)*2)</f>
        <v/>
      </c>
      <c r="CV16" s="156" t="str">
        <f ca="1">OFFSET(AA16,0,2+(CV8-1)*2)</f>
        <v/>
      </c>
      <c r="CW16" s="156" t="str">
        <f ca="1">OFFSET(AA16,0,2+(CW8-1)*2)</f>
        <v/>
      </c>
      <c r="CX16" s="156" t="str">
        <f ca="1">OFFSET(AA16,0,2+(CX8-1)*2)</f>
        <v/>
      </c>
      <c r="CY16" s="156" t="str">
        <f ca="1">OFFSET(AA16,0,2+(CY8-1)*2)</f>
        <v/>
      </c>
      <c r="CZ16" s="156" t="str">
        <f ca="1">OFFSET(AA16,0,2+(CZ8-1)*2)</f>
        <v/>
      </c>
      <c r="DA16" s="156">
        <f ca="1">OFFSET(AA16,0,2+(DA8-1)*2)</f>
        <v>0</v>
      </c>
      <c r="DB16" s="156">
        <f t="shared" ca="1" si="21"/>
        <v>8</v>
      </c>
      <c r="DE16" s="159"/>
      <c r="DF16" s="159"/>
      <c r="DG16" s="159">
        <v>2</v>
      </c>
      <c r="DH16" s="159">
        <v>4</v>
      </c>
      <c r="DI16" s="123">
        <f t="shared" si="22"/>
        <v>1</v>
      </c>
      <c r="DJ16" s="36" t="str">
        <f ca="1">OFFSET(gr_header,DG16+DE8,1+DF8)</f>
        <v/>
      </c>
      <c r="DK16" s="36" t="str">
        <f t="shared" ca="1" si="0"/>
        <v/>
      </c>
      <c r="DL16" s="123">
        <f ca="1">OFFSET(gr_header,DG16+DE8,2*DH16+DF8)</f>
        <v>0</v>
      </c>
      <c r="DM16" s="123">
        <f ca="1">OFFSET(gr_header,DG16+DE8,2*DH16+1+DF8)</f>
        <v>0</v>
      </c>
      <c r="DN16" s="34"/>
      <c r="DO16" s="183">
        <f t="shared" ca="1" si="5"/>
        <v>0</v>
      </c>
      <c r="DP16" s="183">
        <f t="shared" ca="1" si="6"/>
        <v>0</v>
      </c>
      <c r="DQ16" s="183">
        <f t="shared" ca="1" si="7"/>
        <v>0</v>
      </c>
      <c r="DR16" s="183">
        <f t="shared" ca="1" si="8"/>
        <v>0</v>
      </c>
      <c r="DS16" s="182">
        <f t="shared" ca="1" si="9"/>
        <v>0</v>
      </c>
      <c r="DT16" s="182">
        <f t="shared" ca="1" si="10"/>
        <v>0</v>
      </c>
      <c r="DU16" s="182"/>
      <c r="DV16" s="182"/>
      <c r="DW16" s="182"/>
    </row>
    <row r="17" spans="2:127" ht="14.25" collapsed="1" thickBot="1">
      <c r="DE17" s="159"/>
      <c r="DF17" s="159"/>
      <c r="DG17" s="159">
        <v>2</v>
      </c>
      <c r="DH17" s="159">
        <v>5</v>
      </c>
      <c r="DI17" s="123">
        <f t="shared" si="22"/>
        <v>1</v>
      </c>
      <c r="DJ17" s="36" t="str">
        <f ca="1">OFFSET(gr_header,DG17+DE8,1+DF8)</f>
        <v/>
      </c>
      <c r="DK17" s="36" t="str">
        <f t="shared" ca="1" si="0"/>
        <v/>
      </c>
      <c r="DL17" s="123">
        <f ca="1">OFFSET(gr_header,DG17+DE8,2*DH17+DF8)</f>
        <v>0</v>
      </c>
      <c r="DM17" s="123">
        <f ca="1">OFFSET(gr_header,DG17+DE8,2*DH17+1+DF8)</f>
        <v>0</v>
      </c>
      <c r="DN17" s="34"/>
      <c r="DO17" s="183">
        <f t="shared" ca="1" si="5"/>
        <v>0</v>
      </c>
      <c r="DP17" s="183">
        <f t="shared" ca="1" si="6"/>
        <v>0</v>
      </c>
      <c r="DQ17" s="183">
        <f t="shared" ca="1" si="7"/>
        <v>0</v>
      </c>
      <c r="DR17" s="183">
        <f t="shared" ca="1" si="8"/>
        <v>0</v>
      </c>
      <c r="DS17" s="182">
        <f t="shared" ca="1" si="9"/>
        <v>0</v>
      </c>
      <c r="DT17" s="182">
        <f t="shared" ca="1" si="10"/>
        <v>0</v>
      </c>
      <c r="DU17" s="182"/>
      <c r="DV17" s="182"/>
      <c r="DW17" s="182"/>
    </row>
    <row r="18" spans="2:127" ht="12" customHeight="1" thickBot="1">
      <c r="B18" s="164">
        <f>B8+2</f>
        <v>3</v>
      </c>
      <c r="C18" s="165" t="s">
        <v>38</v>
      </c>
      <c r="D18" s="205">
        <v>1</v>
      </c>
      <c r="E18" s="204"/>
      <c r="F18" s="203">
        <v>2</v>
      </c>
      <c r="G18" s="204"/>
      <c r="H18" s="203">
        <v>3</v>
      </c>
      <c r="I18" s="204"/>
      <c r="J18" s="203">
        <v>4</v>
      </c>
      <c r="K18" s="204"/>
      <c r="L18" s="203">
        <v>5</v>
      </c>
      <c r="M18" s="204"/>
      <c r="N18" s="200">
        <v>6</v>
      </c>
      <c r="O18" s="201"/>
      <c r="P18" s="200">
        <v>7</v>
      </c>
      <c r="Q18" s="201"/>
      <c r="R18" s="200">
        <v>8</v>
      </c>
      <c r="S18" s="202"/>
      <c r="T18" s="178" t="s">
        <v>88</v>
      </c>
      <c r="U18" s="178" t="s">
        <v>89</v>
      </c>
      <c r="V18" s="199" t="s">
        <v>5</v>
      </c>
      <c r="W18" s="198"/>
      <c r="X18" s="141" t="s">
        <v>6</v>
      </c>
      <c r="Y18" s="142"/>
      <c r="Z18" s="164">
        <f>Z8+2</f>
        <v>4</v>
      </c>
      <c r="AA18" s="165" t="s">
        <v>38</v>
      </c>
      <c r="AB18" s="205">
        <v>1</v>
      </c>
      <c r="AC18" s="204"/>
      <c r="AD18" s="203">
        <v>2</v>
      </c>
      <c r="AE18" s="204"/>
      <c r="AF18" s="203">
        <v>3</v>
      </c>
      <c r="AG18" s="204"/>
      <c r="AH18" s="203">
        <v>4</v>
      </c>
      <c r="AI18" s="204"/>
      <c r="AJ18" s="203">
        <v>5</v>
      </c>
      <c r="AK18" s="204"/>
      <c r="AL18" s="200">
        <v>6</v>
      </c>
      <c r="AM18" s="201"/>
      <c r="AN18" s="200">
        <v>7</v>
      </c>
      <c r="AO18" s="201"/>
      <c r="AP18" s="200">
        <v>8</v>
      </c>
      <c r="AQ18" s="202"/>
      <c r="AR18" s="178" t="s">
        <v>88</v>
      </c>
      <c r="AS18" s="178" t="s">
        <v>89</v>
      </c>
      <c r="AT18" s="199" t="s">
        <v>5</v>
      </c>
      <c r="AU18" s="198"/>
      <c r="AV18" s="141" t="s">
        <v>6</v>
      </c>
      <c r="AW18" s="142"/>
      <c r="AX18" s="143" t="s">
        <v>7</v>
      </c>
      <c r="AY18" s="143" t="s">
        <v>8</v>
      </c>
      <c r="AZ18" s="143" t="s">
        <v>9</v>
      </c>
      <c r="BA18" s="144">
        <v>1</v>
      </c>
      <c r="BB18" s="144">
        <v>2</v>
      </c>
      <c r="BC18" s="144">
        <v>3</v>
      </c>
      <c r="BD18" s="144">
        <v>4</v>
      </c>
      <c r="BE18" s="144">
        <v>5</v>
      </c>
      <c r="BF18" s="144">
        <v>6</v>
      </c>
      <c r="BG18" s="144">
        <v>7</v>
      </c>
      <c r="BH18" s="144">
        <v>8</v>
      </c>
      <c r="BI18" s="145">
        <v>1</v>
      </c>
      <c r="BJ18" s="145">
        <v>2</v>
      </c>
      <c r="BK18" s="145">
        <v>3</v>
      </c>
      <c r="BL18" s="145">
        <v>4</v>
      </c>
      <c r="BM18" s="145">
        <v>5</v>
      </c>
      <c r="BN18" s="145">
        <v>6</v>
      </c>
      <c r="BO18" s="145">
        <v>7</v>
      </c>
      <c r="BP18" s="145">
        <v>8</v>
      </c>
      <c r="BQ18" s="144">
        <v>1</v>
      </c>
      <c r="BR18" s="144">
        <v>2</v>
      </c>
      <c r="BS18" s="144">
        <v>3</v>
      </c>
      <c r="BT18" s="144">
        <v>4</v>
      </c>
      <c r="BU18" s="144">
        <v>5</v>
      </c>
      <c r="BV18" s="144">
        <v>6</v>
      </c>
      <c r="BW18" s="144">
        <v>7</v>
      </c>
      <c r="BX18" s="144">
        <v>8</v>
      </c>
      <c r="BY18" s="146"/>
      <c r="CA18" s="143" t="s">
        <v>7</v>
      </c>
      <c r="CB18" s="143" t="s">
        <v>8</v>
      </c>
      <c r="CC18" s="143" t="s">
        <v>9</v>
      </c>
      <c r="CD18" s="144">
        <v>1</v>
      </c>
      <c r="CE18" s="144">
        <v>2</v>
      </c>
      <c r="CF18" s="144">
        <v>3</v>
      </c>
      <c r="CG18" s="144">
        <v>4</v>
      </c>
      <c r="CH18" s="144">
        <v>5</v>
      </c>
      <c r="CI18" s="144">
        <v>6</v>
      </c>
      <c r="CJ18" s="144">
        <v>7</v>
      </c>
      <c r="CK18" s="144">
        <v>8</v>
      </c>
      <c r="CL18" s="145">
        <v>1</v>
      </c>
      <c r="CM18" s="145">
        <v>2</v>
      </c>
      <c r="CN18" s="145">
        <v>3</v>
      </c>
      <c r="CO18" s="145">
        <v>4</v>
      </c>
      <c r="CP18" s="145">
        <v>5</v>
      </c>
      <c r="CQ18" s="145">
        <v>6</v>
      </c>
      <c r="CR18" s="145">
        <v>7</v>
      </c>
      <c r="CS18" s="145">
        <v>8</v>
      </c>
      <c r="CT18" s="144">
        <v>1</v>
      </c>
      <c r="CU18" s="144">
        <v>2</v>
      </c>
      <c r="CV18" s="144">
        <v>3</v>
      </c>
      <c r="CW18" s="144">
        <v>4</v>
      </c>
      <c r="CX18" s="144">
        <v>5</v>
      </c>
      <c r="CY18" s="144">
        <v>6</v>
      </c>
      <c r="CZ18" s="144">
        <v>7</v>
      </c>
      <c r="DA18" s="144">
        <v>8</v>
      </c>
      <c r="DB18" s="146"/>
      <c r="DE18" s="159"/>
      <c r="DF18" s="159"/>
      <c r="DG18" s="159">
        <v>2</v>
      </c>
      <c r="DH18" s="159">
        <v>6</v>
      </c>
      <c r="DI18" s="123">
        <f t="shared" si="22"/>
        <v>1</v>
      </c>
      <c r="DJ18" s="36" t="str">
        <f ca="1">OFFSET(gr_header,DG18+DE8,1+DF8)</f>
        <v/>
      </c>
      <c r="DK18" s="36" t="str">
        <f t="shared" ca="1" si="0"/>
        <v/>
      </c>
      <c r="DL18" s="123">
        <f ca="1">OFFSET(gr_header,DG18+DE8,2*DH18+DF8)</f>
        <v>0</v>
      </c>
      <c r="DM18" s="123">
        <f ca="1">OFFSET(gr_header,DG18+DE8,2*DH18+1+DF8)</f>
        <v>0</v>
      </c>
      <c r="DN18" s="34"/>
      <c r="DO18" s="183">
        <f t="shared" ca="1" si="5"/>
        <v>0</v>
      </c>
      <c r="DP18" s="183">
        <f t="shared" ca="1" si="6"/>
        <v>0</v>
      </c>
      <c r="DQ18" s="183">
        <f t="shared" ca="1" si="7"/>
        <v>0</v>
      </c>
      <c r="DR18" s="183">
        <f t="shared" ca="1" si="8"/>
        <v>0</v>
      </c>
      <c r="DS18" s="182">
        <f t="shared" ca="1" si="9"/>
        <v>0</v>
      </c>
      <c r="DT18" s="182">
        <f t="shared" ca="1" si="10"/>
        <v>0</v>
      </c>
      <c r="DU18" s="182"/>
      <c r="DV18" s="182"/>
      <c r="DW18" s="182"/>
    </row>
    <row r="19" spans="2:127" ht="14.25" thickBot="1">
      <c r="B19" s="166">
        <v>1</v>
      </c>
      <c r="C19" s="167" t="str">
        <f ca="1">OFFSET(gr_anchor,B19,B18)</f>
        <v/>
      </c>
      <c r="D19" s="117"/>
      <c r="E19" s="118"/>
      <c r="F19" s="206"/>
      <c r="G19" s="207"/>
      <c r="H19" s="206"/>
      <c r="I19" s="207"/>
      <c r="J19" s="206"/>
      <c r="K19" s="207"/>
      <c r="L19" s="206"/>
      <c r="M19" s="207"/>
      <c r="N19" s="150"/>
      <c r="O19" s="150"/>
      <c r="P19" s="150"/>
      <c r="Q19" s="150"/>
      <c r="R19" s="150"/>
      <c r="S19" s="174"/>
      <c r="T19" s="177">
        <f ca="1">COUNTIF(OFFSET(E19,0,(B19-1)*2,8),2)*2+COUNTIF(OFFSET(D19,0,(B19-1)*2,8),2)</f>
        <v>0</v>
      </c>
      <c r="U19" s="177">
        <f ca="1">RANK(AZ19,AZ19:AZ26)*AY19</f>
        <v>0</v>
      </c>
      <c r="V19" s="175">
        <f ca="1">SUMPRODUCT(BA19:BH19,BI19:BP19)</f>
        <v>0</v>
      </c>
      <c r="W19" s="151">
        <f ca="1">SUMPRODUCT(BA19:BH19,BQ19:BX19)</f>
        <v>0</v>
      </c>
      <c r="X19" s="152" t="str">
        <f t="shared" ref="X19:X26" ca="1" si="23">IF(BY19=2,IF(W19=0,3,V19/W19),IF(V19=0,"",V19/W19))</f>
        <v/>
      </c>
      <c r="Y19" s="153"/>
      <c r="Z19" s="166">
        <v>1</v>
      </c>
      <c r="AA19" s="167" t="str">
        <f ca="1">OFFSET(gr_anchor,Z19,Z18)</f>
        <v/>
      </c>
      <c r="AB19" s="117"/>
      <c r="AC19" s="118"/>
      <c r="AD19" s="115"/>
      <c r="AE19" s="116"/>
      <c r="AF19" s="115"/>
      <c r="AG19" s="116"/>
      <c r="AH19" s="206"/>
      <c r="AI19" s="207"/>
      <c r="AJ19" s="115"/>
      <c r="AK19" s="116"/>
      <c r="AL19" s="150"/>
      <c r="AM19" s="150"/>
      <c r="AN19" s="150"/>
      <c r="AO19" s="150"/>
      <c r="AP19" s="150"/>
      <c r="AQ19" s="174"/>
      <c r="AR19" s="177">
        <f ca="1">COUNTIF(OFFSET(AC19,0,(Z19-1)*2,8),2)*2+COUNTIF(OFFSET(AB19,0,(Z19-1)*2,8),2)</f>
        <v>0</v>
      </c>
      <c r="AS19" s="177">
        <f ca="1">RANK(CC19,CC19:CC26)*CB19</f>
        <v>0</v>
      </c>
      <c r="AT19" s="175">
        <f ca="1">SUMPRODUCT(CD19:CK19,CL19:CS19)</f>
        <v>0</v>
      </c>
      <c r="AU19" s="151">
        <f ca="1">SUMPRODUCT(CD19:CK19,CT19:DA19)</f>
        <v>0</v>
      </c>
      <c r="AV19" s="152" t="str">
        <f ca="1">IF(DB19=2,IF(AU19=0,3,AT19/AU19),IF(AT19=0,"",AT19/AU19))</f>
        <v/>
      </c>
      <c r="AW19" s="153"/>
      <c r="AX19" s="156">
        <f ca="1">COUNTA(C19:C26)-COUNTBLANK(C19:C26)</f>
        <v>0</v>
      </c>
      <c r="AY19" s="156">
        <f t="shared" ref="AY19:AY26" ca="1" si="24">IF(AX19&lt;B19,0,1)</f>
        <v>0</v>
      </c>
      <c r="AZ19" s="157">
        <f ca="1">T19+IF(X19="",0,X19/100)</f>
        <v>0</v>
      </c>
      <c r="BA19" s="156">
        <f ca="1">IF(T19=OFFSET(T18,BA18,0),1,0)</f>
        <v>1</v>
      </c>
      <c r="BB19" s="156">
        <f ca="1">IF(T19=OFFSET(T18,BB18,0),1,0)</f>
        <v>1</v>
      </c>
      <c r="BC19" s="156">
        <f ca="1">IF(T19=OFFSET(T18,BC18,0),1,0)</f>
        <v>1</v>
      </c>
      <c r="BD19" s="156">
        <f ca="1">IF(T19=OFFSET(T18,BD18,0),1,0)</f>
        <v>1</v>
      </c>
      <c r="BE19" s="156">
        <f ca="1">IF(T19=OFFSET(T18,BE18,0),1,0)</f>
        <v>1</v>
      </c>
      <c r="BF19" s="156">
        <f ca="1">IF(T19=OFFSET(T18,BF18,0),1,0)</f>
        <v>1</v>
      </c>
      <c r="BG19" s="156">
        <f ca="1">IF(T19=OFFSET(T18,BG18,0),1,0)</f>
        <v>1</v>
      </c>
      <c r="BH19" s="156">
        <f ca="1">IF(T19=OFFSET(T18,BH18,0),1,0)</f>
        <v>1</v>
      </c>
      <c r="BI19" s="156">
        <f ca="1">OFFSET(C19,0,1+(BI18-1)*2)</f>
        <v>0</v>
      </c>
      <c r="BJ19" s="156">
        <f ca="1">OFFSET(C19,0,1+(BJ18-1)*2)</f>
        <v>0</v>
      </c>
      <c r="BK19" s="156">
        <f ca="1">OFFSET(C19,0,1+(BK18-1)*2)</f>
        <v>0</v>
      </c>
      <c r="BL19" s="156">
        <f ca="1">OFFSET(C19,0,1+(BL18-1)*2)</f>
        <v>0</v>
      </c>
      <c r="BM19" s="156">
        <f ca="1">OFFSET(C19,0,1+(BM18-1)*2)</f>
        <v>0</v>
      </c>
      <c r="BN19" s="156">
        <f ca="1">OFFSET(C19,0,1+(BN18-1)*2)</f>
        <v>0</v>
      </c>
      <c r="BO19" s="156">
        <f ca="1">OFFSET(C19,0,1+(BO18-1)*2)</f>
        <v>0</v>
      </c>
      <c r="BP19" s="156">
        <f ca="1">OFFSET(C19,0,1+(BP18-1)*2)</f>
        <v>0</v>
      </c>
      <c r="BQ19" s="156">
        <f t="shared" ref="BQ19:BX19" ca="1" si="25">OFFSET($C19,0,2+(BQ$8-1)*2)</f>
        <v>0</v>
      </c>
      <c r="BR19" s="156">
        <f t="shared" ca="1" si="25"/>
        <v>0</v>
      </c>
      <c r="BS19" s="156">
        <f t="shared" ca="1" si="25"/>
        <v>0</v>
      </c>
      <c r="BT19" s="156">
        <f t="shared" ca="1" si="25"/>
        <v>0</v>
      </c>
      <c r="BU19" s="156">
        <f t="shared" ca="1" si="25"/>
        <v>0</v>
      </c>
      <c r="BV19" s="156">
        <f t="shared" ca="1" si="25"/>
        <v>0</v>
      </c>
      <c r="BW19" s="156">
        <f t="shared" ca="1" si="25"/>
        <v>0</v>
      </c>
      <c r="BX19" s="156">
        <f t="shared" ca="1" si="25"/>
        <v>0</v>
      </c>
      <c r="BY19" s="156">
        <f ca="1">SUM(BA19:BH19)</f>
        <v>8</v>
      </c>
      <c r="CA19" s="156">
        <f ca="1">COUNTA(AA19:AA26)-COUNTBLANK(AA19:AA26)</f>
        <v>0</v>
      </c>
      <c r="CB19" s="156">
        <f ca="1">IF(CA19&lt;Z19,0,1)</f>
        <v>0</v>
      </c>
      <c r="CC19" s="157">
        <f ca="1">AR19+IF(AV19="",0,AV19/100)</f>
        <v>0</v>
      </c>
      <c r="CD19" s="156">
        <f ca="1">IF(AR19=OFFSET(AR18,CD18,0),1,0)</f>
        <v>1</v>
      </c>
      <c r="CE19" s="156">
        <f ca="1">IF(AR19=OFFSET(AR18,CE18,0),1,0)</f>
        <v>1</v>
      </c>
      <c r="CF19" s="156">
        <f ca="1">IF(AR19=OFFSET(AR18,CF18,0),1,0)</f>
        <v>1</v>
      </c>
      <c r="CG19" s="156">
        <f ca="1">IF(AR19=OFFSET(AR18,CG18,0),1,0)</f>
        <v>1</v>
      </c>
      <c r="CH19" s="156">
        <f ca="1">IF(AR19=OFFSET(AR18,CH18,0),1,0)</f>
        <v>1</v>
      </c>
      <c r="CI19" s="156">
        <f ca="1">IF(AR19=OFFSET(AR18,CI18,0),1,0)</f>
        <v>1</v>
      </c>
      <c r="CJ19" s="156">
        <f ca="1">IF(AR19=OFFSET(AR18,CJ18,0),1,0)</f>
        <v>1</v>
      </c>
      <c r="CK19" s="156">
        <f ca="1">IF(AR19=OFFSET(AR18,CK18,0),1,0)</f>
        <v>1</v>
      </c>
      <c r="CL19" s="156">
        <f ca="1">OFFSET(AA19,0,1+(CL18-1)*2)</f>
        <v>0</v>
      </c>
      <c r="CM19" s="156">
        <f ca="1">OFFSET(AA19,0,1+(CM18-1)*2)</f>
        <v>0</v>
      </c>
      <c r="CN19" s="156">
        <f ca="1">OFFSET(AA19,0,1+(CN18-1)*2)</f>
        <v>0</v>
      </c>
      <c r="CO19" s="156">
        <f ca="1">OFFSET(AA19,0,1+(CO18-1)*2)</f>
        <v>0</v>
      </c>
      <c r="CP19" s="156">
        <f ca="1">OFFSET(AA19,0,1+(CP18-1)*2)</f>
        <v>0</v>
      </c>
      <c r="CQ19" s="156">
        <f ca="1">OFFSET(AA19,0,1+(CQ18-1)*2)</f>
        <v>0</v>
      </c>
      <c r="CR19" s="156">
        <f ca="1">OFFSET(AA19,0,1+(CR18-1)*2)</f>
        <v>0</v>
      </c>
      <c r="CS19" s="156">
        <f ca="1">OFFSET(AA19,0,1+(CS18-1)*2)</f>
        <v>0</v>
      </c>
      <c r="CT19" s="156">
        <f ca="1">OFFSET(AA19,0,2+(CT18-1)*2)</f>
        <v>0</v>
      </c>
      <c r="CU19" s="156">
        <f ca="1">OFFSET(AA19,0,2+(CU18-1)*2)</f>
        <v>0</v>
      </c>
      <c r="CV19" s="156">
        <f ca="1">OFFSET(AA19,0,2+(CV18-1)*2)</f>
        <v>0</v>
      </c>
      <c r="CW19" s="156">
        <f ca="1">OFFSET(AA19,0,2+(CW18-1)*2)</f>
        <v>0</v>
      </c>
      <c r="CX19" s="156">
        <f ca="1">OFFSET(AA19,0,2+(CX18-1)*2)</f>
        <v>0</v>
      </c>
      <c r="CY19" s="156">
        <f ca="1">OFFSET(AA19,0,2+(CY18-1)*2)</f>
        <v>0</v>
      </c>
      <c r="CZ19" s="156">
        <f ca="1">OFFSET(AA19,0,2+(CZ18-1)*2)</f>
        <v>0</v>
      </c>
      <c r="DA19" s="156">
        <f ca="1">OFFSET(AA19,0,2+(DA18-1)*2)</f>
        <v>0</v>
      </c>
      <c r="DB19" s="156">
        <f ca="1">SUM(CD19:CK19)</f>
        <v>8</v>
      </c>
      <c r="DE19" s="159"/>
      <c r="DF19" s="159"/>
      <c r="DG19" s="159">
        <v>2</v>
      </c>
      <c r="DH19" s="159">
        <v>7</v>
      </c>
      <c r="DI19" s="123">
        <f t="shared" si="22"/>
        <v>1</v>
      </c>
      <c r="DJ19" s="36" t="str">
        <f ca="1">OFFSET(gr_header,DG19+DE8,1+DF8)</f>
        <v/>
      </c>
      <c r="DK19" s="36" t="str">
        <f t="shared" ca="1" si="0"/>
        <v/>
      </c>
      <c r="DL19" s="123">
        <f ca="1">OFFSET(gr_header,DG19+DE8,2*DH19+DF8)</f>
        <v>0</v>
      </c>
      <c r="DM19" s="123">
        <f ca="1">OFFSET(gr_header,DG19+DE8,2*DH19+1+DF8)</f>
        <v>0</v>
      </c>
      <c r="DN19" s="34"/>
      <c r="DO19" s="183">
        <f t="shared" ca="1" si="5"/>
        <v>0</v>
      </c>
      <c r="DP19" s="183">
        <f t="shared" ca="1" si="6"/>
        <v>0</v>
      </c>
      <c r="DQ19" s="183">
        <f t="shared" ca="1" si="7"/>
        <v>0</v>
      </c>
      <c r="DR19" s="183">
        <f t="shared" ca="1" si="8"/>
        <v>0</v>
      </c>
      <c r="DS19" s="182">
        <f t="shared" ca="1" si="9"/>
        <v>0</v>
      </c>
      <c r="DT19" s="182">
        <f t="shared" ca="1" si="10"/>
        <v>0</v>
      </c>
      <c r="DU19" s="182"/>
      <c r="DV19" s="182"/>
      <c r="DW19" s="182"/>
    </row>
    <row r="20" spans="2:127" ht="14.25" thickBot="1">
      <c r="B20" s="168">
        <v>2</v>
      </c>
      <c r="C20" s="169" t="str">
        <f ca="1">OFFSET(gr_anchor,B20,B18)</f>
        <v/>
      </c>
      <c r="D20" s="210" t="str">
        <f ca="1">IF(OFFSET(D19,D18-1,1+(B20-1)*2)="","",OFFSET(D19,D18-1,1+(B20-1)*2))</f>
        <v/>
      </c>
      <c r="E20" s="211" t="str">
        <f ca="1">IF(OFFSET(D19,D18-1,(B20-1)*2)="","",OFFSET(D19,D18-1,(B20-1)*2))</f>
        <v/>
      </c>
      <c r="F20" s="117"/>
      <c r="G20" s="118"/>
      <c r="H20" s="208"/>
      <c r="I20" s="209"/>
      <c r="J20" s="208"/>
      <c r="K20" s="209"/>
      <c r="L20" s="206"/>
      <c r="M20" s="207"/>
      <c r="N20" s="150"/>
      <c r="O20" s="150"/>
      <c r="P20" s="150"/>
      <c r="Q20" s="150"/>
      <c r="R20" s="150"/>
      <c r="S20" s="174"/>
      <c r="T20" s="177">
        <f ca="1">COUNTIF(OFFSET(E19,0,(B20-1)*2,8),2)*2+COUNTIF(OFFSET(D19,0,(B20-1)*2,8),2)</f>
        <v>0</v>
      </c>
      <c r="U20" s="177">
        <f ca="1">RANK(AZ20,AZ19:AZ26)*AY20</f>
        <v>0</v>
      </c>
      <c r="V20" s="175">
        <f t="shared" ref="V20:V26" ca="1" si="26">SUMPRODUCT(BA20:BH20,BI20:BP20)</f>
        <v>0</v>
      </c>
      <c r="W20" s="151">
        <f t="shared" ref="W20:W26" ca="1" si="27">SUMPRODUCT(BA20:BH20,BQ20:BX20)</f>
        <v>0</v>
      </c>
      <c r="X20" s="152" t="str">
        <f t="shared" ca="1" si="23"/>
        <v/>
      </c>
      <c r="Y20" s="153"/>
      <c r="Z20" s="168">
        <v>2</v>
      </c>
      <c r="AA20" s="169" t="str">
        <f ca="1">OFFSET(gr_anchor,Z20,Z18)</f>
        <v/>
      </c>
      <c r="AB20" s="210" t="str">
        <f ca="1">IF(OFFSET(AB19,AB18-1,1+(Z20-1)*2)="","",OFFSET(AB19,AB18-1,1+(Z20-1)*2))</f>
        <v/>
      </c>
      <c r="AC20" s="211" t="str">
        <f ca="1">IF(OFFSET(AB19,AB18-1,(Z20-1)*2)="","",OFFSET(AB19,AB18-1,(Z20-1)*2))</f>
        <v/>
      </c>
      <c r="AD20" s="117"/>
      <c r="AE20" s="118"/>
      <c r="AF20" s="119"/>
      <c r="AG20" s="120"/>
      <c r="AH20" s="208"/>
      <c r="AI20" s="209"/>
      <c r="AJ20" s="115"/>
      <c r="AK20" s="116"/>
      <c r="AL20" s="150"/>
      <c r="AM20" s="150"/>
      <c r="AN20" s="150"/>
      <c r="AO20" s="150"/>
      <c r="AP20" s="150"/>
      <c r="AQ20" s="174"/>
      <c r="AR20" s="177">
        <f ca="1">COUNTIF(OFFSET(AC19,0,(Z20-1)*2,8),2)*2+COUNTIF(OFFSET(AB19,0,(Z20-1)*2,8),2)</f>
        <v>0</v>
      </c>
      <c r="AS20" s="177">
        <f ca="1">RANK(CC20,CC19:CC26)*CB20</f>
        <v>0</v>
      </c>
      <c r="AT20" s="175">
        <f t="shared" ref="AT20:AT26" ca="1" si="28">SUMPRODUCT(CD20:CK20,CL20:CS20)</f>
        <v>0</v>
      </c>
      <c r="AU20" s="151">
        <f t="shared" ref="AU20:AU26" ca="1" si="29">SUMPRODUCT(CD20:CK20,CT20:DA20)</f>
        <v>0</v>
      </c>
      <c r="AV20" s="152" t="str">
        <f t="shared" ref="AV20:AV26" ca="1" si="30">IF(DB20=2,IF(AU20=0,3,AT20/AU20),IF(AT20=0,"",AT20/AU20))</f>
        <v/>
      </c>
      <c r="AW20" s="153"/>
      <c r="AX20" s="156">
        <f ca="1">COUNTA(C19:C26)-COUNTBLANK(C19:C26)</f>
        <v>0</v>
      </c>
      <c r="AY20" s="156">
        <f t="shared" ca="1" si="24"/>
        <v>0</v>
      </c>
      <c r="AZ20" s="157">
        <f t="shared" ref="AZ20:AZ26" ca="1" si="31">T20+IF(X20="",0,X20/100)</f>
        <v>0</v>
      </c>
      <c r="BA20" s="156">
        <f ca="1">IF(T20=OFFSET(T18,BA18,0),1,0)</f>
        <v>1</v>
      </c>
      <c r="BB20" s="156">
        <f ca="1">IF(T20=OFFSET(T18,BB18,0),1,0)</f>
        <v>1</v>
      </c>
      <c r="BC20" s="156">
        <f ca="1">IF(T20=OFFSET(T18,BC18,0),1,0)</f>
        <v>1</v>
      </c>
      <c r="BD20" s="156">
        <f ca="1">IF(T20=OFFSET(T18,BD18,0),1,0)</f>
        <v>1</v>
      </c>
      <c r="BE20" s="156">
        <f ca="1">IF(T20=OFFSET(T18,BE18,0),1,0)</f>
        <v>1</v>
      </c>
      <c r="BF20" s="156">
        <f ca="1">IF(T20=OFFSET(T18,BF18,0),1,0)</f>
        <v>1</v>
      </c>
      <c r="BG20" s="156">
        <f ca="1">IF(T20=OFFSET(T18,BG18,0),1,0)</f>
        <v>1</v>
      </c>
      <c r="BH20" s="156">
        <f ca="1">IF(T20=OFFSET(T18,BH18,0),1,0)</f>
        <v>1</v>
      </c>
      <c r="BI20" s="156" t="str">
        <f ca="1">OFFSET(C20,0,1+(BI18-1)*2)</f>
        <v/>
      </c>
      <c r="BJ20" s="156">
        <f ca="1">OFFSET(C20,0,1+(BJ18-1)*2)</f>
        <v>0</v>
      </c>
      <c r="BK20" s="156">
        <f ca="1">OFFSET(C20,0,1+(BK18-1)*2)</f>
        <v>0</v>
      </c>
      <c r="BL20" s="156">
        <f ca="1">OFFSET(C20,0,1+(BL18-1)*2)</f>
        <v>0</v>
      </c>
      <c r="BM20" s="156">
        <f ca="1">OFFSET(C20,0,1+(BM18-1)*2)</f>
        <v>0</v>
      </c>
      <c r="BN20" s="156">
        <f ca="1">OFFSET(C20,0,1+(BN18-1)*2)</f>
        <v>0</v>
      </c>
      <c r="BO20" s="156">
        <f ca="1">OFFSET(C20,0,1+(BO18-1)*2)</f>
        <v>0</v>
      </c>
      <c r="BP20" s="156">
        <f ca="1">OFFSET(C20,0,1+(BP18-1)*2)</f>
        <v>0</v>
      </c>
      <c r="BQ20" s="156" t="str">
        <f t="shared" ref="BQ20:BX26" ca="1" si="32">OFFSET($C20,0,2+(BQ$8-1)*2)</f>
        <v/>
      </c>
      <c r="BR20" s="156">
        <f t="shared" ca="1" si="32"/>
        <v>0</v>
      </c>
      <c r="BS20" s="156">
        <f t="shared" ca="1" si="32"/>
        <v>0</v>
      </c>
      <c r="BT20" s="156">
        <f t="shared" ca="1" si="32"/>
        <v>0</v>
      </c>
      <c r="BU20" s="156">
        <f t="shared" ca="1" si="32"/>
        <v>0</v>
      </c>
      <c r="BV20" s="156">
        <f t="shared" ca="1" si="32"/>
        <v>0</v>
      </c>
      <c r="BW20" s="156">
        <f t="shared" ca="1" si="32"/>
        <v>0</v>
      </c>
      <c r="BX20" s="156">
        <f t="shared" ca="1" si="32"/>
        <v>0</v>
      </c>
      <c r="BY20" s="156">
        <f t="shared" ref="BY20:BY26" ca="1" si="33">SUM(BA20:BH20)</f>
        <v>8</v>
      </c>
      <c r="CA20" s="156">
        <f ca="1">COUNTA(AA19:AA26)-COUNTBLANK(AA19:AA26)</f>
        <v>0</v>
      </c>
      <c r="CB20" s="156">
        <f t="shared" ref="CB20:CB26" ca="1" si="34">IF(CA20&lt;Z20,0,1)</f>
        <v>0</v>
      </c>
      <c r="CC20" s="157">
        <f t="shared" ref="CC20:CC26" ca="1" si="35">AR20+IF(AV20="",0,AV20/100)</f>
        <v>0</v>
      </c>
      <c r="CD20" s="156">
        <f ca="1">IF(AR20=OFFSET(AR18,CD18,0),1,0)</f>
        <v>1</v>
      </c>
      <c r="CE20" s="156">
        <f ca="1">IF(AR20=OFFSET(AR18,CE18,0),1,0)</f>
        <v>1</v>
      </c>
      <c r="CF20" s="156">
        <f ca="1">IF(AR20=OFFSET(AR18,CF18,0),1,0)</f>
        <v>1</v>
      </c>
      <c r="CG20" s="156">
        <f ca="1">IF(AR20=OFFSET(AR18,CG18,0),1,0)</f>
        <v>1</v>
      </c>
      <c r="CH20" s="156">
        <f ca="1">IF(AR20=OFFSET(AR18,CH18,0),1,0)</f>
        <v>1</v>
      </c>
      <c r="CI20" s="156">
        <f ca="1">IF(AR20=OFFSET(AR18,CI18,0),1,0)</f>
        <v>1</v>
      </c>
      <c r="CJ20" s="156">
        <f ca="1">IF(AR20=OFFSET(AR18,CJ18,0),1,0)</f>
        <v>1</v>
      </c>
      <c r="CK20" s="156">
        <f ca="1">IF(AR20=OFFSET(AR18,CK18,0),1,0)</f>
        <v>1</v>
      </c>
      <c r="CL20" s="156" t="str">
        <f ca="1">OFFSET(AA20,0,1+(CL18-1)*2)</f>
        <v/>
      </c>
      <c r="CM20" s="156">
        <f ca="1">OFFSET(AA20,0,1+(CM18-1)*2)</f>
        <v>0</v>
      </c>
      <c r="CN20" s="156">
        <f ca="1">OFFSET(AA20,0,1+(CN18-1)*2)</f>
        <v>0</v>
      </c>
      <c r="CO20" s="156">
        <f ca="1">OFFSET(AA20,0,1+(CO18-1)*2)</f>
        <v>0</v>
      </c>
      <c r="CP20" s="156">
        <f ca="1">OFFSET(AA20,0,1+(CP18-1)*2)</f>
        <v>0</v>
      </c>
      <c r="CQ20" s="156">
        <f ca="1">OFFSET(AA20,0,1+(CQ18-1)*2)</f>
        <v>0</v>
      </c>
      <c r="CR20" s="156">
        <f ca="1">OFFSET(AA20,0,1+(CR18-1)*2)</f>
        <v>0</v>
      </c>
      <c r="CS20" s="156">
        <f ca="1">OFFSET(AA20,0,1+(CS18-1)*2)</f>
        <v>0</v>
      </c>
      <c r="CT20" s="156" t="str">
        <f ca="1">OFFSET(AA20,0,2+(CT18-1)*2)</f>
        <v/>
      </c>
      <c r="CU20" s="156">
        <f ca="1">OFFSET(AA20,0,2+(CU18-1)*2)</f>
        <v>0</v>
      </c>
      <c r="CV20" s="156">
        <f ca="1">OFFSET(AA20,0,2+(CV18-1)*2)</f>
        <v>0</v>
      </c>
      <c r="CW20" s="156">
        <f ca="1">OFFSET(AA20,0,2+(CW18-1)*2)</f>
        <v>0</v>
      </c>
      <c r="CX20" s="156">
        <f ca="1">OFFSET(AA20,0,2+(CX18-1)*2)</f>
        <v>0</v>
      </c>
      <c r="CY20" s="156">
        <f ca="1">OFFSET(AA20,0,2+(CY18-1)*2)</f>
        <v>0</v>
      </c>
      <c r="CZ20" s="156">
        <f ca="1">OFFSET(AA20,0,2+(CZ18-1)*2)</f>
        <v>0</v>
      </c>
      <c r="DA20" s="156">
        <f ca="1">OFFSET(AA20,0,2+(DA18-1)*2)</f>
        <v>0</v>
      </c>
      <c r="DB20" s="156">
        <f t="shared" ref="DB20:DB26" ca="1" si="36">SUM(CD20:CK20)</f>
        <v>8</v>
      </c>
      <c r="DE20" s="159"/>
      <c r="DF20" s="159"/>
      <c r="DG20" s="159">
        <v>2</v>
      </c>
      <c r="DH20" s="159">
        <v>8</v>
      </c>
      <c r="DI20" s="123">
        <f t="shared" si="22"/>
        <v>1</v>
      </c>
      <c r="DJ20" s="36" t="str">
        <f ca="1">OFFSET(gr_header,DG20+DE8,1+DF8)</f>
        <v/>
      </c>
      <c r="DK20" s="36" t="str">
        <f t="shared" ca="1" si="0"/>
        <v/>
      </c>
      <c r="DL20" s="123">
        <f ca="1">OFFSET(gr_header,DG20+DE8,2*DH20+DF8)</f>
        <v>0</v>
      </c>
      <c r="DM20" s="123">
        <f ca="1">OFFSET(gr_header,DG20+DE8,2*DH20+1+DF8)</f>
        <v>0</v>
      </c>
      <c r="DN20" s="34"/>
      <c r="DO20" s="183">
        <f t="shared" ca="1" si="5"/>
        <v>0</v>
      </c>
      <c r="DP20" s="183">
        <f t="shared" ca="1" si="6"/>
        <v>0</v>
      </c>
      <c r="DQ20" s="183">
        <f t="shared" ca="1" si="7"/>
        <v>0</v>
      </c>
      <c r="DR20" s="183">
        <f t="shared" ca="1" si="8"/>
        <v>0</v>
      </c>
      <c r="DS20" s="182">
        <f t="shared" ca="1" si="9"/>
        <v>0</v>
      </c>
      <c r="DT20" s="182">
        <f t="shared" ca="1" si="10"/>
        <v>0</v>
      </c>
      <c r="DU20" s="182"/>
      <c r="DV20" s="182"/>
      <c r="DW20" s="182"/>
    </row>
    <row r="21" spans="2:127" ht="14.25" thickBot="1">
      <c r="B21" s="168">
        <v>3</v>
      </c>
      <c r="C21" s="169" t="str">
        <f ca="1">OFFSET(gr_anchor,B21,B18)</f>
        <v/>
      </c>
      <c r="D21" s="210" t="str">
        <f ca="1">IF(OFFSET(D19,D18-1,1+(B21-1)*2)="","",OFFSET(D19,D18-1,1+(B21-1)*2))</f>
        <v/>
      </c>
      <c r="E21" s="211" t="str">
        <f ca="1">IF(OFFSET(D19,D18-1,(B21-1)*2)="","",OFFSET(D19,D18-1,(B21-1)*2))</f>
        <v/>
      </c>
      <c r="F21" s="210" t="str">
        <f ca="1">IF(OFFSET(D19,F18-1,1+(B21-1)*2)="","",OFFSET(D19,F18-1,1+(B21-1)*2))</f>
        <v/>
      </c>
      <c r="G21" s="211" t="str">
        <f ca="1">IF(OFFSET(D19,F18-1,(B21-1)*2)="","",OFFSET(D19,F18-1,(B21-1)*2))</f>
        <v/>
      </c>
      <c r="H21" s="170"/>
      <c r="I21" s="118"/>
      <c r="J21" s="206"/>
      <c r="K21" s="207"/>
      <c r="L21" s="206"/>
      <c r="M21" s="207"/>
      <c r="N21" s="150"/>
      <c r="O21" s="150"/>
      <c r="P21" s="150"/>
      <c r="Q21" s="150"/>
      <c r="R21" s="150"/>
      <c r="S21" s="174"/>
      <c r="T21" s="177">
        <f ca="1">COUNTIF(OFFSET(E19,0,(B21-1)*2,8),2)*2+COUNTIF(OFFSET(D19,0,(B21-1)*2,8),2)</f>
        <v>0</v>
      </c>
      <c r="U21" s="177">
        <f ca="1">RANK(AZ21,AZ19:AZ26)*AY21</f>
        <v>0</v>
      </c>
      <c r="V21" s="175">
        <f t="shared" ca="1" si="26"/>
        <v>0</v>
      </c>
      <c r="W21" s="151">
        <f t="shared" ca="1" si="27"/>
        <v>0</v>
      </c>
      <c r="X21" s="152" t="str">
        <f t="shared" ca="1" si="23"/>
        <v/>
      </c>
      <c r="Y21" s="153"/>
      <c r="Z21" s="168">
        <v>3</v>
      </c>
      <c r="AA21" s="169" t="str">
        <f ca="1">OFFSET(gr_anchor,Z21,Z18)</f>
        <v/>
      </c>
      <c r="AB21" s="210" t="str">
        <f ca="1">IF(OFFSET(AB19,AB18-1,1+(Z21-1)*2)="","",OFFSET(AB19,AB18-1,1+(Z21-1)*2))</f>
        <v/>
      </c>
      <c r="AC21" s="211" t="str">
        <f ca="1">IF(OFFSET(AB19,AB18-1,(Z21-1)*2)="","",OFFSET(AB19,AB18-1,(Z21-1)*2))</f>
        <v/>
      </c>
      <c r="AD21" s="210" t="str">
        <f ca="1">IF(OFFSET(AB19,AD18-1,1+(Z21-1)*2)="","",OFFSET(AB19,AD18-1,1+(Z21-1)*2))</f>
        <v/>
      </c>
      <c r="AE21" s="211" t="str">
        <f ca="1">IF(OFFSET(AB19,AD18-1,(Z21-1)*2)="","",OFFSET(AB19,AD18-1,(Z21-1)*2))</f>
        <v/>
      </c>
      <c r="AF21" s="170"/>
      <c r="AG21" s="118"/>
      <c r="AH21" s="115"/>
      <c r="AI21" s="116"/>
      <c r="AJ21" s="206"/>
      <c r="AK21" s="207"/>
      <c r="AL21" s="150"/>
      <c r="AM21" s="150"/>
      <c r="AN21" s="150"/>
      <c r="AO21" s="150"/>
      <c r="AP21" s="150"/>
      <c r="AQ21" s="174"/>
      <c r="AR21" s="177">
        <f ca="1">COUNTIF(OFFSET(AC19,0,(Z21-1)*2,8),2)*2+COUNTIF(OFFSET(AB19,0,(Z21-1)*2,8),2)</f>
        <v>0</v>
      </c>
      <c r="AS21" s="177">
        <f ca="1">RANK(CC21,CC19:CC26)*CB21</f>
        <v>0</v>
      </c>
      <c r="AT21" s="175">
        <f t="shared" ca="1" si="28"/>
        <v>0</v>
      </c>
      <c r="AU21" s="151">
        <f t="shared" ca="1" si="29"/>
        <v>0</v>
      </c>
      <c r="AV21" s="152" t="str">
        <f t="shared" ca="1" si="30"/>
        <v/>
      </c>
      <c r="AW21" s="153"/>
      <c r="AX21" s="156">
        <f ca="1">COUNTA(C19:C26)-COUNTBLANK(C19:C26)</f>
        <v>0</v>
      </c>
      <c r="AY21" s="156">
        <f t="shared" ca="1" si="24"/>
        <v>0</v>
      </c>
      <c r="AZ21" s="157">
        <f t="shared" ca="1" si="31"/>
        <v>0</v>
      </c>
      <c r="BA21" s="156">
        <f ca="1">IF(T21=OFFSET(T18,BA18,0),1,0)</f>
        <v>1</v>
      </c>
      <c r="BB21" s="156">
        <f ca="1">IF(T21=OFFSET(T18,BB18,0),1,0)</f>
        <v>1</v>
      </c>
      <c r="BC21" s="156">
        <f ca="1">IF(T21=OFFSET(T18,BC18,0),1,0)</f>
        <v>1</v>
      </c>
      <c r="BD21" s="156">
        <f ca="1">IF(T21=OFFSET(T18,BD18,0),1,0)</f>
        <v>1</v>
      </c>
      <c r="BE21" s="156">
        <f ca="1">IF(T21=OFFSET(T18,BE18,0),1,0)</f>
        <v>1</v>
      </c>
      <c r="BF21" s="156">
        <f ca="1">IF(T21=OFFSET(T18,BF18,0),1,0)</f>
        <v>1</v>
      </c>
      <c r="BG21" s="156">
        <f ca="1">IF(T21=OFFSET(T18,BG18,0),1,0)</f>
        <v>1</v>
      </c>
      <c r="BH21" s="156">
        <f ca="1">IF(T21=OFFSET(T18,BH18,0),1,0)</f>
        <v>1</v>
      </c>
      <c r="BI21" s="156" t="str">
        <f ca="1">OFFSET(C21,0,1+(BI18-1)*2)</f>
        <v/>
      </c>
      <c r="BJ21" s="156" t="str">
        <f ca="1">OFFSET(C21,0,1+(BJ18-1)*2)</f>
        <v/>
      </c>
      <c r="BK21" s="156">
        <f ca="1">OFFSET(C21,0,1+(BK18-1)*2)</f>
        <v>0</v>
      </c>
      <c r="BL21" s="156">
        <f ca="1">OFFSET(C21,0,1+(BL18-1)*2)</f>
        <v>0</v>
      </c>
      <c r="BM21" s="156">
        <f ca="1">OFFSET(C21,0,1+(BM18-1)*2)</f>
        <v>0</v>
      </c>
      <c r="BN21" s="156">
        <f ca="1">OFFSET(C21,0,1+(BN18-1)*2)</f>
        <v>0</v>
      </c>
      <c r="BO21" s="156">
        <f ca="1">OFFSET(C21,0,1+(BO18-1)*2)</f>
        <v>0</v>
      </c>
      <c r="BP21" s="156">
        <f ca="1">OFFSET(C21,0,1+(BP18-1)*2)</f>
        <v>0</v>
      </c>
      <c r="BQ21" s="156" t="str">
        <f t="shared" ca="1" si="32"/>
        <v/>
      </c>
      <c r="BR21" s="156" t="str">
        <f t="shared" ca="1" si="32"/>
        <v/>
      </c>
      <c r="BS21" s="156">
        <f t="shared" ca="1" si="32"/>
        <v>0</v>
      </c>
      <c r="BT21" s="156">
        <f t="shared" ca="1" si="32"/>
        <v>0</v>
      </c>
      <c r="BU21" s="156">
        <f t="shared" ca="1" si="32"/>
        <v>0</v>
      </c>
      <c r="BV21" s="156">
        <f t="shared" ca="1" si="32"/>
        <v>0</v>
      </c>
      <c r="BW21" s="156">
        <f t="shared" ca="1" si="32"/>
        <v>0</v>
      </c>
      <c r="BX21" s="156">
        <f t="shared" ca="1" si="32"/>
        <v>0</v>
      </c>
      <c r="BY21" s="156">
        <f t="shared" ca="1" si="33"/>
        <v>8</v>
      </c>
      <c r="CA21" s="156">
        <f ca="1">COUNTA(AA19:AA26)-COUNTBLANK(AA19:AA26)</f>
        <v>0</v>
      </c>
      <c r="CB21" s="156">
        <f t="shared" ca="1" si="34"/>
        <v>0</v>
      </c>
      <c r="CC21" s="157">
        <f t="shared" ca="1" si="35"/>
        <v>0</v>
      </c>
      <c r="CD21" s="156">
        <f ca="1">IF(AR21=OFFSET(AR18,CD18,0),1,0)</f>
        <v>1</v>
      </c>
      <c r="CE21" s="156">
        <f ca="1">IF(AR21=OFFSET(AR18,CE18,0),1,0)</f>
        <v>1</v>
      </c>
      <c r="CF21" s="156">
        <f ca="1">IF(AR21=OFFSET(AR18,CF18,0),1,0)</f>
        <v>1</v>
      </c>
      <c r="CG21" s="156">
        <f ca="1">IF(AR21=OFFSET(AR18,CG18,0),1,0)</f>
        <v>1</v>
      </c>
      <c r="CH21" s="156">
        <f ca="1">IF(AR21=OFFSET(AR18,CH18,0),1,0)</f>
        <v>1</v>
      </c>
      <c r="CI21" s="156">
        <f ca="1">IF(AR21=OFFSET(AR18,CI18,0),1,0)</f>
        <v>1</v>
      </c>
      <c r="CJ21" s="156">
        <f ca="1">IF(AR21=OFFSET(AR18,CJ18,0),1,0)</f>
        <v>1</v>
      </c>
      <c r="CK21" s="156">
        <f ca="1">IF(AR21=OFFSET(AR18,CK18,0),1,0)</f>
        <v>1</v>
      </c>
      <c r="CL21" s="156" t="str">
        <f ca="1">OFFSET(AA21,0,1+(CL18-1)*2)</f>
        <v/>
      </c>
      <c r="CM21" s="156" t="str">
        <f ca="1">OFFSET(AA21,0,1+(CM18-1)*2)</f>
        <v/>
      </c>
      <c r="CN21" s="156">
        <f ca="1">OFFSET(AA21,0,1+(CN18-1)*2)</f>
        <v>0</v>
      </c>
      <c r="CO21" s="156">
        <f ca="1">OFFSET(AA21,0,1+(CO18-1)*2)</f>
        <v>0</v>
      </c>
      <c r="CP21" s="156">
        <f ca="1">OFFSET(AA21,0,1+(CP18-1)*2)</f>
        <v>0</v>
      </c>
      <c r="CQ21" s="156">
        <f ca="1">OFFSET(AA21,0,1+(CQ18-1)*2)</f>
        <v>0</v>
      </c>
      <c r="CR21" s="156">
        <f ca="1">OFFSET(AA21,0,1+(CR18-1)*2)</f>
        <v>0</v>
      </c>
      <c r="CS21" s="156">
        <f ca="1">OFFSET(AA21,0,1+(CS18-1)*2)</f>
        <v>0</v>
      </c>
      <c r="CT21" s="156" t="str">
        <f ca="1">OFFSET(AA21,0,2+(CT18-1)*2)</f>
        <v/>
      </c>
      <c r="CU21" s="156" t="str">
        <f ca="1">OFFSET(AA21,0,2+(CU18-1)*2)</f>
        <v/>
      </c>
      <c r="CV21" s="156">
        <f ca="1">OFFSET(AA21,0,2+(CV18-1)*2)</f>
        <v>0</v>
      </c>
      <c r="CW21" s="156">
        <f ca="1">OFFSET(AA21,0,2+(CW18-1)*2)</f>
        <v>0</v>
      </c>
      <c r="CX21" s="156">
        <f ca="1">OFFSET(AA21,0,2+(CX18-1)*2)</f>
        <v>0</v>
      </c>
      <c r="CY21" s="156">
        <f ca="1">OFFSET(AA21,0,2+(CY18-1)*2)</f>
        <v>0</v>
      </c>
      <c r="CZ21" s="156">
        <f ca="1">OFFSET(AA21,0,2+(CZ18-1)*2)</f>
        <v>0</v>
      </c>
      <c r="DA21" s="156">
        <f ca="1">OFFSET(AA21,0,2+(DA18-1)*2)</f>
        <v>0</v>
      </c>
      <c r="DB21" s="156">
        <f t="shared" ca="1" si="36"/>
        <v>8</v>
      </c>
      <c r="DE21" s="159"/>
      <c r="DF21" s="159"/>
      <c r="DG21" s="159">
        <v>3</v>
      </c>
      <c r="DH21" s="159">
        <v>4</v>
      </c>
      <c r="DI21" s="123">
        <f t="shared" si="22"/>
        <v>1</v>
      </c>
      <c r="DJ21" s="36" t="str">
        <f ca="1">OFFSET(gr_header,DG21+DE8,1+DF8)</f>
        <v/>
      </c>
      <c r="DK21" s="36" t="str">
        <f t="shared" ca="1" si="0"/>
        <v/>
      </c>
      <c r="DL21" s="123">
        <f ca="1">OFFSET(gr_header,DG21+DE8,2*DH21+DF8)</f>
        <v>0</v>
      </c>
      <c r="DM21" s="123">
        <f ca="1">OFFSET(gr_header,DG21+DE8,2*DH21+1+DF8)</f>
        <v>0</v>
      </c>
      <c r="DN21" s="34"/>
      <c r="DO21" s="183">
        <f t="shared" ca="1" si="5"/>
        <v>0</v>
      </c>
      <c r="DP21" s="183">
        <f t="shared" ca="1" si="6"/>
        <v>0</v>
      </c>
      <c r="DQ21" s="183">
        <f t="shared" ca="1" si="7"/>
        <v>0</v>
      </c>
      <c r="DR21" s="183">
        <f t="shared" ca="1" si="8"/>
        <v>0</v>
      </c>
      <c r="DS21" s="182">
        <f t="shared" ca="1" si="9"/>
        <v>0</v>
      </c>
      <c r="DT21" s="182">
        <f t="shared" ca="1" si="10"/>
        <v>0</v>
      </c>
      <c r="DU21" s="182"/>
      <c r="DV21" s="182"/>
      <c r="DW21" s="182"/>
    </row>
    <row r="22" spans="2:127" ht="14.25" thickBot="1">
      <c r="B22" s="168">
        <v>4</v>
      </c>
      <c r="C22" s="169" t="str">
        <f ca="1">OFFSET(gr_anchor,B22,B18)</f>
        <v/>
      </c>
      <c r="D22" s="210" t="str">
        <f ca="1">IF(OFFSET(D19,D18-1,1+(B22-1)*2)="","",OFFSET(D19,D18-1,1+(B22-1)*2))</f>
        <v/>
      </c>
      <c r="E22" s="211" t="str">
        <f ca="1">IF(OFFSET(D19,D18-1,(B22-1)*2)="","",OFFSET(D19,D18-1,(B22-1)*2))</f>
        <v/>
      </c>
      <c r="F22" s="210" t="str">
        <f ca="1">IF(OFFSET(D19,F18-1,1+(B22-1)*2)="","",OFFSET(D19,F18-1,1+(B22-1)*2))</f>
        <v/>
      </c>
      <c r="G22" s="211" t="str">
        <f ca="1">IF(OFFSET(D19,F18-1,(B22-1)*2)="","",OFFSET(D19,F18-1,(B22-1)*2))</f>
        <v/>
      </c>
      <c r="H22" s="210" t="str">
        <f ca="1">IF(OFFSET(D19,H18-1,1+(B22-1)*2)="","",OFFSET(D19,H18-1,1+(B22-1)*2))</f>
        <v/>
      </c>
      <c r="I22" s="211" t="str">
        <f ca="1">IF(OFFSET(D19,H18-1,(B22-1)*2)="","",OFFSET(D19,H18-1,(B22-1)*2))</f>
        <v/>
      </c>
      <c r="J22" s="170"/>
      <c r="K22" s="118"/>
      <c r="L22" s="206"/>
      <c r="M22" s="207"/>
      <c r="N22" s="150"/>
      <c r="O22" s="150"/>
      <c r="P22" s="150"/>
      <c r="Q22" s="150"/>
      <c r="R22" s="150"/>
      <c r="S22" s="174"/>
      <c r="T22" s="177">
        <f ca="1">COUNTIF(OFFSET(E19,0,(B22-1)*2,8),2)*2+COUNTIF(OFFSET(D19,0,(B22-1)*2,8),2)</f>
        <v>0</v>
      </c>
      <c r="U22" s="177">
        <f ca="1">RANK(AZ22,AZ19:AZ26)*AY22</f>
        <v>0</v>
      </c>
      <c r="V22" s="175">
        <f t="shared" ca="1" si="26"/>
        <v>0</v>
      </c>
      <c r="W22" s="151">
        <f t="shared" ca="1" si="27"/>
        <v>0</v>
      </c>
      <c r="X22" s="152" t="str">
        <f t="shared" ca="1" si="23"/>
        <v/>
      </c>
      <c r="Y22" s="153"/>
      <c r="Z22" s="168">
        <v>4</v>
      </c>
      <c r="AA22" s="169" t="str">
        <f ca="1">OFFSET(gr_anchor,Z22,Z18)</f>
        <v/>
      </c>
      <c r="AB22" s="210" t="str">
        <f ca="1">IF(OFFSET(AB19,AB18-1,1+(Z22-1)*2)="","",OFFSET(AB19,AB18-1,1+(Z22-1)*2))</f>
        <v/>
      </c>
      <c r="AC22" s="211" t="str">
        <f ca="1">IF(OFFSET(AB19,AB18-1,(Z22-1)*2)="","",OFFSET(AB19,AB18-1,(Z22-1)*2))</f>
        <v/>
      </c>
      <c r="AD22" s="210" t="str">
        <f ca="1">IF(OFFSET(AB19,AD18-1,1+(Z22-1)*2)="","",OFFSET(AB19,AD18-1,1+(Z22-1)*2))</f>
        <v/>
      </c>
      <c r="AE22" s="211" t="str">
        <f ca="1">IF(OFFSET(AB19,AD18-1,(Z22-1)*2)="","",OFFSET(AB19,AD18-1,(Z22-1)*2))</f>
        <v/>
      </c>
      <c r="AF22" s="210" t="str">
        <f ca="1">IF(OFFSET(AB19,AF18-1,1+(Z22-1)*2)="","",OFFSET(AB19,AF18-1,1+(Z22-1)*2))</f>
        <v/>
      </c>
      <c r="AG22" s="211" t="str">
        <f ca="1">IF(OFFSET(AB19,AF18-1,(Z22-1)*2)="","",OFFSET(AB19,AF18-1,(Z22-1)*2))</f>
        <v/>
      </c>
      <c r="AH22" s="170"/>
      <c r="AI22" s="118"/>
      <c r="AJ22" s="115"/>
      <c r="AK22" s="116"/>
      <c r="AL22" s="150"/>
      <c r="AM22" s="150"/>
      <c r="AN22" s="150"/>
      <c r="AO22" s="150"/>
      <c r="AP22" s="150"/>
      <c r="AQ22" s="174"/>
      <c r="AR22" s="177">
        <f ca="1">COUNTIF(OFFSET(AC19,0,(Z22-1)*2,8),2)*2+COUNTIF(OFFSET(AB19,0,(Z22-1)*2,8),2)</f>
        <v>0</v>
      </c>
      <c r="AS22" s="177">
        <f ca="1">RANK(CC22,CC19:CC26)*CB22</f>
        <v>0</v>
      </c>
      <c r="AT22" s="175">
        <f t="shared" ca="1" si="28"/>
        <v>0</v>
      </c>
      <c r="AU22" s="151">
        <f t="shared" ca="1" si="29"/>
        <v>0</v>
      </c>
      <c r="AV22" s="152" t="str">
        <f t="shared" ca="1" si="30"/>
        <v/>
      </c>
      <c r="AW22" s="153"/>
      <c r="AX22" s="156">
        <f ca="1">COUNTA(C19:C26)-COUNTBLANK(C19:C26)</f>
        <v>0</v>
      </c>
      <c r="AY22" s="156">
        <f t="shared" ca="1" si="24"/>
        <v>0</v>
      </c>
      <c r="AZ22" s="157">
        <f t="shared" ca="1" si="31"/>
        <v>0</v>
      </c>
      <c r="BA22" s="156">
        <f ca="1">IF(T22=OFFSET(T18,BA18,0),1,0)</f>
        <v>1</v>
      </c>
      <c r="BB22" s="156">
        <f ca="1">IF(T22=OFFSET(T18,BB18,0),1,0)</f>
        <v>1</v>
      </c>
      <c r="BC22" s="156">
        <f ca="1">IF(T22=OFFSET(T18,BC18,0),1,0)</f>
        <v>1</v>
      </c>
      <c r="BD22" s="156">
        <f ca="1">IF(T22=OFFSET(T18,BD18,0),1,0)</f>
        <v>1</v>
      </c>
      <c r="BE22" s="156">
        <f ca="1">IF(T22=OFFSET(T18,BE18,0),1,0)</f>
        <v>1</v>
      </c>
      <c r="BF22" s="156">
        <f ca="1">IF(T22=OFFSET(T18,BF18,0),1,0)</f>
        <v>1</v>
      </c>
      <c r="BG22" s="156">
        <f ca="1">IF(T22=OFFSET(T18,BG18,0),1,0)</f>
        <v>1</v>
      </c>
      <c r="BH22" s="156">
        <f ca="1">IF(T22=OFFSET(T18,BH18,0),1,0)</f>
        <v>1</v>
      </c>
      <c r="BI22" s="156" t="str">
        <f ca="1">OFFSET(C22,0,1+(BI18-1)*2)</f>
        <v/>
      </c>
      <c r="BJ22" s="156" t="str">
        <f ca="1">OFFSET(C22,0,1+(BJ18-1)*2)</f>
        <v/>
      </c>
      <c r="BK22" s="156" t="str">
        <f ca="1">OFFSET(C22,0,1+(BK18-1)*2)</f>
        <v/>
      </c>
      <c r="BL22" s="156">
        <f ca="1">OFFSET(C22,0,1+(BL18-1)*2)</f>
        <v>0</v>
      </c>
      <c r="BM22" s="156">
        <f ca="1">OFFSET(C22,0,1+(BM18-1)*2)</f>
        <v>0</v>
      </c>
      <c r="BN22" s="156">
        <f ca="1">OFFSET(C22,0,1+(BN18-1)*2)</f>
        <v>0</v>
      </c>
      <c r="BO22" s="156">
        <f ca="1">OFFSET(C22,0,1+(BO18-1)*2)</f>
        <v>0</v>
      </c>
      <c r="BP22" s="156">
        <f ca="1">OFFSET(C22,0,1+(BP18-1)*2)</f>
        <v>0</v>
      </c>
      <c r="BQ22" s="156" t="str">
        <f t="shared" ca="1" si="32"/>
        <v/>
      </c>
      <c r="BR22" s="156" t="str">
        <f t="shared" ca="1" si="32"/>
        <v/>
      </c>
      <c r="BS22" s="156" t="str">
        <f t="shared" ca="1" si="32"/>
        <v/>
      </c>
      <c r="BT22" s="156">
        <f t="shared" ca="1" si="32"/>
        <v>0</v>
      </c>
      <c r="BU22" s="156">
        <f t="shared" ca="1" si="32"/>
        <v>0</v>
      </c>
      <c r="BV22" s="156">
        <f t="shared" ca="1" si="32"/>
        <v>0</v>
      </c>
      <c r="BW22" s="156">
        <f t="shared" ca="1" si="32"/>
        <v>0</v>
      </c>
      <c r="BX22" s="156">
        <f t="shared" ca="1" si="32"/>
        <v>0</v>
      </c>
      <c r="BY22" s="156">
        <f t="shared" ca="1" si="33"/>
        <v>8</v>
      </c>
      <c r="CA22" s="156">
        <f ca="1">COUNTA(AA19:AA26)-COUNTBLANK(AA19:AA26)</f>
        <v>0</v>
      </c>
      <c r="CB22" s="156">
        <f t="shared" ca="1" si="34"/>
        <v>0</v>
      </c>
      <c r="CC22" s="157">
        <f t="shared" ca="1" si="35"/>
        <v>0</v>
      </c>
      <c r="CD22" s="156">
        <f ca="1">IF(AR22=OFFSET(AR18,CD18,0),1,0)</f>
        <v>1</v>
      </c>
      <c r="CE22" s="156">
        <f ca="1">IF(AR22=OFFSET(AR18,CE18,0),1,0)</f>
        <v>1</v>
      </c>
      <c r="CF22" s="156">
        <f ca="1">IF(AR22=OFFSET(AR18,CF18,0),1,0)</f>
        <v>1</v>
      </c>
      <c r="CG22" s="156">
        <f ca="1">IF(AR22=OFFSET(AR18,CG18,0),1,0)</f>
        <v>1</v>
      </c>
      <c r="CH22" s="156">
        <f ca="1">IF(AR22=OFFSET(AR18,CH18,0),1,0)</f>
        <v>1</v>
      </c>
      <c r="CI22" s="156">
        <f ca="1">IF(AR22=OFFSET(AR18,CI18,0),1,0)</f>
        <v>1</v>
      </c>
      <c r="CJ22" s="156">
        <f ca="1">IF(AR22=OFFSET(AR18,CJ18,0),1,0)</f>
        <v>1</v>
      </c>
      <c r="CK22" s="156">
        <f ca="1">IF(AR22=OFFSET(AR18,CK18,0),1,0)</f>
        <v>1</v>
      </c>
      <c r="CL22" s="156" t="str">
        <f ca="1">OFFSET(AA22,0,1+(CL18-1)*2)</f>
        <v/>
      </c>
      <c r="CM22" s="156" t="str">
        <f ca="1">OFFSET(AA22,0,1+(CM18-1)*2)</f>
        <v/>
      </c>
      <c r="CN22" s="156" t="str">
        <f ca="1">OFFSET(AA22,0,1+(CN18-1)*2)</f>
        <v/>
      </c>
      <c r="CO22" s="156">
        <f ca="1">OFFSET(AA22,0,1+(CO18-1)*2)</f>
        <v>0</v>
      </c>
      <c r="CP22" s="156">
        <f ca="1">OFFSET(AA22,0,1+(CP18-1)*2)</f>
        <v>0</v>
      </c>
      <c r="CQ22" s="156">
        <f ca="1">OFFSET(AA22,0,1+(CQ18-1)*2)</f>
        <v>0</v>
      </c>
      <c r="CR22" s="156">
        <f ca="1">OFFSET(AA22,0,1+(CR18-1)*2)</f>
        <v>0</v>
      </c>
      <c r="CS22" s="156">
        <f ca="1">OFFSET(AA22,0,1+(CS18-1)*2)</f>
        <v>0</v>
      </c>
      <c r="CT22" s="156" t="str">
        <f ca="1">OFFSET(AA22,0,2+(CT18-1)*2)</f>
        <v/>
      </c>
      <c r="CU22" s="156" t="str">
        <f ca="1">OFFSET(AA22,0,2+(CU18-1)*2)</f>
        <v/>
      </c>
      <c r="CV22" s="156" t="str">
        <f ca="1">OFFSET(AA22,0,2+(CV18-1)*2)</f>
        <v/>
      </c>
      <c r="CW22" s="156">
        <f ca="1">OFFSET(AA22,0,2+(CW18-1)*2)</f>
        <v>0</v>
      </c>
      <c r="CX22" s="156">
        <f ca="1">OFFSET(AA22,0,2+(CX18-1)*2)</f>
        <v>0</v>
      </c>
      <c r="CY22" s="156">
        <f ca="1">OFFSET(AA22,0,2+(CY18-1)*2)</f>
        <v>0</v>
      </c>
      <c r="CZ22" s="156">
        <f ca="1">OFFSET(AA22,0,2+(CZ18-1)*2)</f>
        <v>0</v>
      </c>
      <c r="DA22" s="156">
        <f ca="1">OFFSET(AA22,0,2+(DA18-1)*2)</f>
        <v>0</v>
      </c>
      <c r="DB22" s="156">
        <f t="shared" ca="1" si="36"/>
        <v>8</v>
      </c>
      <c r="DE22" s="159"/>
      <c r="DF22" s="159"/>
      <c r="DG22" s="159">
        <v>3</v>
      </c>
      <c r="DH22" s="159">
        <v>5</v>
      </c>
      <c r="DI22" s="123">
        <f t="shared" si="22"/>
        <v>1</v>
      </c>
      <c r="DJ22" s="36" t="str">
        <f ca="1">OFFSET(gr_header,DG22+DE8,1+DF8)</f>
        <v/>
      </c>
      <c r="DK22" s="36" t="str">
        <f t="shared" ca="1" si="0"/>
        <v/>
      </c>
      <c r="DL22" s="123">
        <f ca="1">OFFSET(gr_header,DG22+DE8,2*DH22+DF8)</f>
        <v>0</v>
      </c>
      <c r="DM22" s="123">
        <f ca="1">OFFSET(gr_header,DG22+DE8,2*DH22+1+DF8)</f>
        <v>0</v>
      </c>
      <c r="DN22" s="34"/>
      <c r="DO22" s="183">
        <f t="shared" ca="1" si="5"/>
        <v>0</v>
      </c>
      <c r="DP22" s="183">
        <f t="shared" ca="1" si="6"/>
        <v>0</v>
      </c>
      <c r="DQ22" s="183">
        <f t="shared" ca="1" si="7"/>
        <v>0</v>
      </c>
      <c r="DR22" s="183">
        <f t="shared" ca="1" si="8"/>
        <v>0</v>
      </c>
      <c r="DS22" s="182">
        <f t="shared" ca="1" si="9"/>
        <v>0</v>
      </c>
      <c r="DT22" s="182">
        <f t="shared" ca="1" si="10"/>
        <v>0</v>
      </c>
      <c r="DU22" s="182"/>
      <c r="DV22" s="182"/>
      <c r="DW22" s="182"/>
    </row>
    <row r="23" spans="2:127" ht="14.25" thickBot="1">
      <c r="B23" s="171">
        <v>5</v>
      </c>
      <c r="C23" s="172" t="str">
        <f ca="1">OFFSET(gr_anchor,B23,B18)</f>
        <v/>
      </c>
      <c r="D23" s="210" t="str">
        <f ca="1">IF(OFFSET(D19,D18-1,1+(B23-1)*2)="","",OFFSET(D19,D18-1,1+(B23-1)*2))</f>
        <v/>
      </c>
      <c r="E23" s="211" t="str">
        <f ca="1">IF(OFFSET(D19,D18-1,(B23-1)*2)="","",OFFSET(D19,D18-1,(B23-1)*2))</f>
        <v/>
      </c>
      <c r="F23" s="210" t="str">
        <f ca="1">IF(OFFSET(D19,F18-1,1+(B23-1)*2)="","",OFFSET(D19,F18-1,1+(B23-1)*2))</f>
        <v/>
      </c>
      <c r="G23" s="211" t="str">
        <f ca="1">IF(OFFSET(D19,F18-1,(B23-1)*2)="","",OFFSET(D19,F18-1,(B23-1)*2))</f>
        <v/>
      </c>
      <c r="H23" s="210" t="str">
        <f ca="1">IF(OFFSET(D19,H18-1,1+(B23-1)*2)="","",OFFSET(D19,H18-1,1+(B23-1)*2))</f>
        <v/>
      </c>
      <c r="I23" s="211" t="str">
        <f ca="1">IF(OFFSET(D19,H18-1,(B23-1)*2)="","",OFFSET(D19,H18-1,(B23-1)*2))</f>
        <v/>
      </c>
      <c r="J23" s="210" t="str">
        <f ca="1">IF(OFFSET(D19,J18-1,1+(B23-1)*2)="","",OFFSET(D19,J18-1,1+(B23-1)*2))</f>
        <v/>
      </c>
      <c r="K23" s="211" t="str">
        <f ca="1">IF(OFFSET(D19,J18-1,(B23-1)*2)="","",OFFSET(D19,J18-1,(B23-1)*2))</f>
        <v/>
      </c>
      <c r="L23" s="117"/>
      <c r="M23" s="118"/>
      <c r="N23" s="150"/>
      <c r="O23" s="150"/>
      <c r="P23" s="150"/>
      <c r="Q23" s="150"/>
      <c r="R23" s="150"/>
      <c r="S23" s="174"/>
      <c r="T23" s="177">
        <f ca="1">COUNTIF(OFFSET(E19,0,(B23-1)*2,8),2)*2+COUNTIF(OFFSET(D19,0,(B23-1)*2,8),2)</f>
        <v>0</v>
      </c>
      <c r="U23" s="177">
        <f ca="1">RANK(AZ23,AZ19:AZ26)*AY23</f>
        <v>0</v>
      </c>
      <c r="V23" s="175">
        <f t="shared" ca="1" si="26"/>
        <v>0</v>
      </c>
      <c r="W23" s="151">
        <f t="shared" ca="1" si="27"/>
        <v>0</v>
      </c>
      <c r="X23" s="152" t="str">
        <f t="shared" ca="1" si="23"/>
        <v/>
      </c>
      <c r="Y23" s="153"/>
      <c r="Z23" s="171">
        <v>5</v>
      </c>
      <c r="AA23" s="172" t="str">
        <f ca="1">OFFSET(gr_anchor,Z23,Z18)</f>
        <v/>
      </c>
      <c r="AB23" s="210" t="str">
        <f ca="1">IF(OFFSET(AB19,AB18-1,1+(Z23-1)*2)="","",OFFSET(AB19,AB18-1,1+(Z23-1)*2))</f>
        <v/>
      </c>
      <c r="AC23" s="211" t="str">
        <f ca="1">IF(OFFSET(AB19,AB18-1,(Z23-1)*2)="","",OFFSET(AB19,AB18-1,(Z23-1)*2))</f>
        <v/>
      </c>
      <c r="AD23" s="210" t="str">
        <f ca="1">IF(OFFSET(AB19,AD18-1,1+(Z23-1)*2)="","",OFFSET(AB19,AD18-1,1+(Z23-1)*2))</f>
        <v/>
      </c>
      <c r="AE23" s="211" t="str">
        <f ca="1">IF(OFFSET(AB19,AD18-1,(Z23-1)*2)="","",OFFSET(AB19,AD18-1,(Z23-1)*2))</f>
        <v/>
      </c>
      <c r="AF23" s="210" t="str">
        <f ca="1">IF(OFFSET(AB19,AF18-1,1+(Z23-1)*2)="","",OFFSET(AB19,AF18-1,1+(Z23-1)*2))</f>
        <v/>
      </c>
      <c r="AG23" s="211" t="str">
        <f ca="1">IF(OFFSET(AB19,AF18-1,(Z23-1)*2)="","",OFFSET(AB19,AF18-1,(Z23-1)*2))</f>
        <v/>
      </c>
      <c r="AH23" s="210" t="str">
        <f ca="1">IF(OFFSET(AB19,AH18-1,1+(Z23-1)*2)="","",OFFSET(AB19,AH18-1,1+(Z23-1)*2))</f>
        <v/>
      </c>
      <c r="AI23" s="211" t="str">
        <f ca="1">IF(OFFSET(AB19,AH18-1,(Z23-1)*2)="","",OFFSET(AB19,AH18-1,(Z23-1)*2))</f>
        <v/>
      </c>
      <c r="AJ23" s="117"/>
      <c r="AK23" s="118"/>
      <c r="AL23" s="150"/>
      <c r="AM23" s="150"/>
      <c r="AN23" s="150"/>
      <c r="AO23" s="150"/>
      <c r="AP23" s="150"/>
      <c r="AQ23" s="174"/>
      <c r="AR23" s="177">
        <f ca="1">COUNTIF(OFFSET(AC19,0,(Z23-1)*2,8),2)*2+COUNTIF(OFFSET(AB19,0,(Z23-1)*2,8),2)</f>
        <v>0</v>
      </c>
      <c r="AS23" s="177">
        <f ca="1">RANK(CC23,CC19:CC26)*CB23</f>
        <v>0</v>
      </c>
      <c r="AT23" s="175">
        <f t="shared" ca="1" si="28"/>
        <v>0</v>
      </c>
      <c r="AU23" s="151">
        <f t="shared" ca="1" si="29"/>
        <v>0</v>
      </c>
      <c r="AV23" s="152" t="str">
        <f t="shared" ca="1" si="30"/>
        <v/>
      </c>
      <c r="AW23" s="153"/>
      <c r="AX23" s="156">
        <f ca="1">COUNTA(C19:C26)-COUNTBLANK(C19:C26)</f>
        <v>0</v>
      </c>
      <c r="AY23" s="156">
        <f t="shared" ca="1" si="24"/>
        <v>0</v>
      </c>
      <c r="AZ23" s="157">
        <f t="shared" ca="1" si="31"/>
        <v>0</v>
      </c>
      <c r="BA23" s="156">
        <f ca="1">IF(T23=OFFSET(T18,BA18,0),1,0)</f>
        <v>1</v>
      </c>
      <c r="BB23" s="156">
        <f ca="1">IF(T23=OFFSET(T18,BB18,0),1,0)</f>
        <v>1</v>
      </c>
      <c r="BC23" s="156">
        <f ca="1">IF(T23=OFFSET(T18,BC18,0),1,0)</f>
        <v>1</v>
      </c>
      <c r="BD23" s="156">
        <f ca="1">IF(T23=OFFSET(T18,BD18,0),1,0)</f>
        <v>1</v>
      </c>
      <c r="BE23" s="156">
        <f ca="1">IF(T23=OFFSET(T18,BE18,0),1,0)</f>
        <v>1</v>
      </c>
      <c r="BF23" s="156">
        <f ca="1">IF(T23=OFFSET(T18,BF18,0),1,0)</f>
        <v>1</v>
      </c>
      <c r="BG23" s="156">
        <f ca="1">IF(T23=OFFSET(T18,BG18,0),1,0)</f>
        <v>1</v>
      </c>
      <c r="BH23" s="156">
        <f ca="1">IF(T23=OFFSET(T18,BH18,0),1,0)</f>
        <v>1</v>
      </c>
      <c r="BI23" s="156" t="str">
        <f ca="1">OFFSET(C23,0,1+(BI18-1)*2)</f>
        <v/>
      </c>
      <c r="BJ23" s="156" t="str">
        <f ca="1">OFFSET(C23,0,1+(BJ18-1)*2)</f>
        <v/>
      </c>
      <c r="BK23" s="156" t="str">
        <f ca="1">OFFSET(C23,0,1+(BK18-1)*2)</f>
        <v/>
      </c>
      <c r="BL23" s="156" t="str">
        <f ca="1">OFFSET(C23,0,1+(BL18-1)*2)</f>
        <v/>
      </c>
      <c r="BM23" s="156">
        <f ca="1">OFFSET(C23,0,1+(BM18-1)*2)</f>
        <v>0</v>
      </c>
      <c r="BN23" s="156">
        <f ca="1">OFFSET(C23,0,1+(BN18-1)*2)</f>
        <v>0</v>
      </c>
      <c r="BO23" s="156">
        <f ca="1">OFFSET(C23,0,1+(BO18-1)*2)</f>
        <v>0</v>
      </c>
      <c r="BP23" s="156">
        <f ca="1">OFFSET(C23,0,1+(BP18-1)*2)</f>
        <v>0</v>
      </c>
      <c r="BQ23" s="156" t="str">
        <f t="shared" ca="1" si="32"/>
        <v/>
      </c>
      <c r="BR23" s="156" t="str">
        <f t="shared" ca="1" si="32"/>
        <v/>
      </c>
      <c r="BS23" s="156" t="str">
        <f t="shared" ca="1" si="32"/>
        <v/>
      </c>
      <c r="BT23" s="156" t="str">
        <f t="shared" ca="1" si="32"/>
        <v/>
      </c>
      <c r="BU23" s="156">
        <f t="shared" ca="1" si="32"/>
        <v>0</v>
      </c>
      <c r="BV23" s="156">
        <f t="shared" ca="1" si="32"/>
        <v>0</v>
      </c>
      <c r="BW23" s="156">
        <f t="shared" ca="1" si="32"/>
        <v>0</v>
      </c>
      <c r="BX23" s="156">
        <f t="shared" ca="1" si="32"/>
        <v>0</v>
      </c>
      <c r="BY23" s="156">
        <f t="shared" ca="1" si="33"/>
        <v>8</v>
      </c>
      <c r="CA23" s="156">
        <f ca="1">COUNTA(AA19:AA26)-COUNTBLANK(AA19:AA26)</f>
        <v>0</v>
      </c>
      <c r="CB23" s="156">
        <f t="shared" ca="1" si="34"/>
        <v>0</v>
      </c>
      <c r="CC23" s="157">
        <f t="shared" ca="1" si="35"/>
        <v>0</v>
      </c>
      <c r="CD23" s="156">
        <f ca="1">IF(AR23=OFFSET(AR18,CD18,0),1,0)</f>
        <v>1</v>
      </c>
      <c r="CE23" s="156">
        <f ca="1">IF(AR23=OFFSET(AR18,CE18,0),1,0)</f>
        <v>1</v>
      </c>
      <c r="CF23" s="156">
        <f ca="1">IF(AR23=OFFSET(AR18,CF18,0),1,0)</f>
        <v>1</v>
      </c>
      <c r="CG23" s="156">
        <f ca="1">IF(AR23=OFFSET(AR18,CG18,0),1,0)</f>
        <v>1</v>
      </c>
      <c r="CH23" s="156">
        <f ca="1">IF(AR23=OFFSET(AR18,CH18,0),1,0)</f>
        <v>1</v>
      </c>
      <c r="CI23" s="156">
        <f ca="1">IF(AR23=OFFSET(AR18,CI18,0),1,0)</f>
        <v>1</v>
      </c>
      <c r="CJ23" s="156">
        <f ca="1">IF(AR23=OFFSET(AR18,CJ18,0),1,0)</f>
        <v>1</v>
      </c>
      <c r="CK23" s="156">
        <f ca="1">IF(AR23=OFFSET(AR18,CK18,0),1,0)</f>
        <v>1</v>
      </c>
      <c r="CL23" s="156" t="str">
        <f ca="1">OFFSET(AA23,0,1+(CL18-1)*2)</f>
        <v/>
      </c>
      <c r="CM23" s="156" t="str">
        <f ca="1">OFFSET(AA23,0,1+(CM18-1)*2)</f>
        <v/>
      </c>
      <c r="CN23" s="156" t="str">
        <f ca="1">OFFSET(AA23,0,1+(CN18-1)*2)</f>
        <v/>
      </c>
      <c r="CO23" s="156" t="str">
        <f ca="1">OFFSET(AA23,0,1+(CO18-1)*2)</f>
        <v/>
      </c>
      <c r="CP23" s="156">
        <f ca="1">OFFSET(AA23,0,1+(CP18-1)*2)</f>
        <v>0</v>
      </c>
      <c r="CQ23" s="156">
        <f ca="1">OFFSET(AA23,0,1+(CQ18-1)*2)</f>
        <v>0</v>
      </c>
      <c r="CR23" s="156">
        <f ca="1">OFFSET(AA23,0,1+(CR18-1)*2)</f>
        <v>0</v>
      </c>
      <c r="CS23" s="156">
        <f ca="1">OFFSET(AA23,0,1+(CS18-1)*2)</f>
        <v>0</v>
      </c>
      <c r="CT23" s="156" t="str">
        <f ca="1">OFFSET(AA23,0,2+(CT18-1)*2)</f>
        <v/>
      </c>
      <c r="CU23" s="156" t="str">
        <f ca="1">OFFSET(AA23,0,2+(CU18-1)*2)</f>
        <v/>
      </c>
      <c r="CV23" s="156" t="str">
        <f ca="1">OFFSET(AA23,0,2+(CV18-1)*2)</f>
        <v/>
      </c>
      <c r="CW23" s="156" t="str">
        <f ca="1">OFFSET(AA23,0,2+(CW18-1)*2)</f>
        <v/>
      </c>
      <c r="CX23" s="156">
        <f ca="1">OFFSET(AA23,0,2+(CX18-1)*2)</f>
        <v>0</v>
      </c>
      <c r="CY23" s="156">
        <f ca="1">OFFSET(AA23,0,2+(CY18-1)*2)</f>
        <v>0</v>
      </c>
      <c r="CZ23" s="156">
        <f ca="1">OFFSET(AA23,0,2+(CZ18-1)*2)</f>
        <v>0</v>
      </c>
      <c r="DA23" s="156">
        <f ca="1">OFFSET(AA23,0,2+(DA18-1)*2)</f>
        <v>0</v>
      </c>
      <c r="DB23" s="156">
        <f t="shared" ca="1" si="36"/>
        <v>8</v>
      </c>
      <c r="DE23" s="159"/>
      <c r="DF23" s="159"/>
      <c r="DG23" s="159">
        <v>3</v>
      </c>
      <c r="DH23" s="159">
        <v>6</v>
      </c>
      <c r="DI23" s="123">
        <f t="shared" si="22"/>
        <v>1</v>
      </c>
      <c r="DJ23" s="36" t="str">
        <f ca="1">OFFSET(gr_header,DG23+DE8,1+DF8)</f>
        <v/>
      </c>
      <c r="DK23" s="36" t="str">
        <f t="shared" ca="1" si="0"/>
        <v/>
      </c>
      <c r="DL23" s="123">
        <f ca="1">OFFSET(gr_header,DG23+DE8,2*DH23+DF8)</f>
        <v>0</v>
      </c>
      <c r="DM23" s="123">
        <f ca="1">OFFSET(gr_header,DG23+DE8,2*DH23+1+DF8)</f>
        <v>0</v>
      </c>
      <c r="DN23" s="34"/>
      <c r="DO23" s="183">
        <f t="shared" ca="1" si="5"/>
        <v>0</v>
      </c>
      <c r="DP23" s="183">
        <f t="shared" ca="1" si="6"/>
        <v>0</v>
      </c>
      <c r="DQ23" s="183">
        <f t="shared" ca="1" si="7"/>
        <v>0</v>
      </c>
      <c r="DR23" s="183">
        <f t="shared" ca="1" si="8"/>
        <v>0</v>
      </c>
      <c r="DS23" s="182">
        <f t="shared" ca="1" si="9"/>
        <v>0</v>
      </c>
      <c r="DT23" s="182">
        <f t="shared" ca="1" si="10"/>
        <v>0</v>
      </c>
      <c r="DU23" s="182"/>
      <c r="DV23" s="182"/>
      <c r="DW23" s="182"/>
    </row>
    <row r="24" spans="2:127" hidden="1" outlineLevel="1">
      <c r="B24" s="148">
        <v>6</v>
      </c>
      <c r="C24" s="154" t="str">
        <f ca="1">OFFSET(gr_anchor,B24,B18)</f>
        <v/>
      </c>
      <c r="D24" s="150" t="str">
        <f ca="1">IF(OFFSET(D19,D18-1,1+(B24-1)*2)="","",OFFSET(D19,D18-1,1+(B24-1)*2))</f>
        <v/>
      </c>
      <c r="E24" s="150" t="str">
        <f ca="1">IF(OFFSET(D19,D18-1,(B24-1)*2)="","",OFFSET(D19,D18-1,(B24-1)*2))</f>
        <v/>
      </c>
      <c r="F24" s="150" t="str">
        <f ca="1">IF(OFFSET(D19,F18-1,1+(B24-1)*2)="","",OFFSET(D19,F18-1,1+(B24-1)*2))</f>
        <v/>
      </c>
      <c r="G24" s="150" t="str">
        <f ca="1">IF(OFFSET(D19,F18-1,(B24-1)*2)="","",OFFSET(D19,F18-1,(B24-1)*2))</f>
        <v/>
      </c>
      <c r="H24" s="150" t="str">
        <f ca="1">IF(OFFSET(D19,H18-1,1+(B24-1)*2)="","",OFFSET(D19,H18-1,1+(B24-1)*2))</f>
        <v/>
      </c>
      <c r="I24" s="150" t="str">
        <f ca="1">IF(OFFSET(D19,H18-1,(B24-1)*2)="","",OFFSET(D19,H18-1,(B24-1)*2))</f>
        <v/>
      </c>
      <c r="J24" s="150" t="str">
        <f ca="1">IF(OFFSET(D19,J18-1,1+(B24-1)*2)="","",OFFSET(D19,J18-1,1+(B24-1)*2))</f>
        <v/>
      </c>
      <c r="K24" s="150" t="str">
        <f ca="1">IF(OFFSET(D19,J18-1,(B24-1)*2)="","",OFFSET(D19,J18-1,(B24-1)*2))</f>
        <v/>
      </c>
      <c r="L24" s="150" t="str">
        <f ca="1">IF(OFFSET(D19,L18-1,1+(B24-1)*2)="","",OFFSET(D19,L18-1,1+(B24-1)*2))</f>
        <v/>
      </c>
      <c r="M24" s="150" t="str">
        <f ca="1">IF(OFFSET(D19,L18-1,(B24-1)*2)="","",OFFSET(D19,L18-1,(B24-1)*2))</f>
        <v/>
      </c>
      <c r="N24" s="155"/>
      <c r="O24" s="149"/>
      <c r="P24" s="150"/>
      <c r="Q24" s="150"/>
      <c r="R24" s="150"/>
      <c r="S24" s="150"/>
      <c r="T24" s="163">
        <f ca="1">COUNTIF(OFFSET(E19,0,(B24-1)*2,8),2)*2+COUNTIF(OFFSET(D19,0,(B24-1)*2,8),2)</f>
        <v>0</v>
      </c>
      <c r="U24" s="163">
        <f ca="1">RANK(AZ24,AZ19:AZ26)*AY24</f>
        <v>0</v>
      </c>
      <c r="V24" s="151">
        <f t="shared" ca="1" si="26"/>
        <v>0</v>
      </c>
      <c r="W24" s="151">
        <f t="shared" ca="1" si="27"/>
        <v>0</v>
      </c>
      <c r="X24" s="152" t="str">
        <f t="shared" ca="1" si="23"/>
        <v/>
      </c>
      <c r="Y24" s="153"/>
      <c r="Z24" s="148">
        <v>6</v>
      </c>
      <c r="AA24" s="154" t="str">
        <f ca="1">OFFSET(gr_anchor,Z24,Z18)</f>
        <v/>
      </c>
      <c r="AB24" s="150" t="str">
        <f ca="1">IF(OFFSET(AB19,AB18-1,1+(Z24-1)*2)="","",OFFSET(AB19,AB18-1,1+(Z24-1)*2))</f>
        <v/>
      </c>
      <c r="AC24" s="150" t="str">
        <f ca="1">IF(OFFSET(AB19,AB18-1,(Z24-1)*2)="","",OFFSET(AB19,AB18-1,(Z24-1)*2))</f>
        <v/>
      </c>
      <c r="AD24" s="150" t="str">
        <f ca="1">IF(OFFSET(AB19,AD18-1,1+(Z24-1)*2)="","",OFFSET(AB19,AD18-1,1+(Z24-1)*2))</f>
        <v/>
      </c>
      <c r="AE24" s="150" t="str">
        <f ca="1">IF(OFFSET(AB19,AD18-1,(Z24-1)*2)="","",OFFSET(AB19,AD18-1,(Z24-1)*2))</f>
        <v/>
      </c>
      <c r="AF24" s="150" t="str">
        <f ca="1">IF(OFFSET(AB19,AF18-1,1+(Z24-1)*2)="","",OFFSET(AB19,AF18-1,1+(Z24-1)*2))</f>
        <v/>
      </c>
      <c r="AG24" s="150" t="str">
        <f ca="1">IF(OFFSET(AB19,AF18-1,(Z24-1)*2)="","",OFFSET(AB19,AF18-1,(Z24-1)*2))</f>
        <v/>
      </c>
      <c r="AH24" s="150" t="str">
        <f ca="1">IF(OFFSET(AB19,AH18-1,1+(Z24-1)*2)="","",OFFSET(AB19,AH18-1,1+(Z24-1)*2))</f>
        <v/>
      </c>
      <c r="AI24" s="150" t="str">
        <f ca="1">IF(OFFSET(AB19,AH18-1,(Z24-1)*2)="","",OFFSET(AB19,AH18-1,(Z24-1)*2))</f>
        <v/>
      </c>
      <c r="AJ24" s="150" t="str">
        <f ca="1">IF(OFFSET(AB19,AJ18-1,1+(Z24-1)*2)="","",OFFSET(AB19,AJ18-1,1+(Z24-1)*2))</f>
        <v/>
      </c>
      <c r="AK24" s="150" t="str">
        <f ca="1">IF(OFFSET(AB19,AJ18-1,(Z24-1)*2)="","",OFFSET(AB19,AJ18-1,(Z24-1)*2))</f>
        <v/>
      </c>
      <c r="AL24" s="155"/>
      <c r="AM24" s="149"/>
      <c r="AN24" s="150"/>
      <c r="AO24" s="150"/>
      <c r="AP24" s="150"/>
      <c r="AQ24" s="150"/>
      <c r="AR24" s="163">
        <f ca="1">COUNTIF(OFFSET(AC19,0,(Z24-1)*2,8),2)*2+COUNTIF(OFFSET(AB19,0,(Z24-1)*2,8),2)</f>
        <v>0</v>
      </c>
      <c r="AS24" s="163">
        <f ca="1">RANK(CC24,CC19:CC26)*CB24</f>
        <v>0</v>
      </c>
      <c r="AT24" s="151">
        <f t="shared" ca="1" si="28"/>
        <v>0</v>
      </c>
      <c r="AU24" s="151">
        <f t="shared" ca="1" si="29"/>
        <v>0</v>
      </c>
      <c r="AV24" s="152" t="str">
        <f t="shared" ca="1" si="30"/>
        <v/>
      </c>
      <c r="AW24" s="153"/>
      <c r="AX24" s="156">
        <f ca="1">COUNTA(C19:C26)-COUNTBLANK(C19:C26)</f>
        <v>0</v>
      </c>
      <c r="AY24" s="156">
        <f t="shared" ca="1" si="24"/>
        <v>0</v>
      </c>
      <c r="AZ24" s="157">
        <f t="shared" ca="1" si="31"/>
        <v>0</v>
      </c>
      <c r="BA24" s="156">
        <f ca="1">IF(T24=OFFSET(T18,BA18,0),1,0)</f>
        <v>1</v>
      </c>
      <c r="BB24" s="156">
        <f ca="1">IF(T24=OFFSET(T18,BB18,0),1,0)</f>
        <v>1</v>
      </c>
      <c r="BC24" s="156">
        <f ca="1">IF(T24=OFFSET(T18,BC18,0),1,0)</f>
        <v>1</v>
      </c>
      <c r="BD24" s="156">
        <f ca="1">IF(T24=OFFSET(T18,BD18,0),1,0)</f>
        <v>1</v>
      </c>
      <c r="BE24" s="156">
        <f ca="1">IF(T24=OFFSET(T18,BE18,0),1,0)</f>
        <v>1</v>
      </c>
      <c r="BF24" s="156">
        <f ca="1">IF(T24=OFFSET(T18,BF18,0),1,0)</f>
        <v>1</v>
      </c>
      <c r="BG24" s="156">
        <f ca="1">IF(T24=OFFSET(T18,BG18,0),1,0)</f>
        <v>1</v>
      </c>
      <c r="BH24" s="156">
        <f ca="1">IF(T24=OFFSET(T18,BH18,0),1,0)</f>
        <v>1</v>
      </c>
      <c r="BI24" s="156" t="str">
        <f ca="1">OFFSET(C24,0,1+(BI18-1)*2)</f>
        <v/>
      </c>
      <c r="BJ24" s="156" t="str">
        <f ca="1">OFFSET(C24,0,1+(BJ18-1)*2)</f>
        <v/>
      </c>
      <c r="BK24" s="156" t="str">
        <f ca="1">OFFSET(C24,0,1+(BK18-1)*2)</f>
        <v/>
      </c>
      <c r="BL24" s="156" t="str">
        <f ca="1">OFFSET(C24,0,1+(BL18-1)*2)</f>
        <v/>
      </c>
      <c r="BM24" s="156" t="str">
        <f ca="1">OFFSET(C24,0,1+(BM18-1)*2)</f>
        <v/>
      </c>
      <c r="BN24" s="156">
        <f ca="1">OFFSET(C24,0,1+(BN18-1)*2)</f>
        <v>0</v>
      </c>
      <c r="BO24" s="156">
        <f ca="1">OFFSET(C24,0,1+(BO18-1)*2)</f>
        <v>0</v>
      </c>
      <c r="BP24" s="156">
        <f ca="1">OFFSET(C24,0,1+(BP18-1)*2)</f>
        <v>0</v>
      </c>
      <c r="BQ24" s="156" t="str">
        <f t="shared" ca="1" si="32"/>
        <v/>
      </c>
      <c r="BR24" s="156" t="str">
        <f t="shared" ca="1" si="32"/>
        <v/>
      </c>
      <c r="BS24" s="156" t="str">
        <f t="shared" ca="1" si="32"/>
        <v/>
      </c>
      <c r="BT24" s="156" t="str">
        <f t="shared" ca="1" si="32"/>
        <v/>
      </c>
      <c r="BU24" s="156" t="str">
        <f t="shared" ca="1" si="32"/>
        <v/>
      </c>
      <c r="BV24" s="156">
        <f t="shared" ca="1" si="32"/>
        <v>0</v>
      </c>
      <c r="BW24" s="156">
        <f t="shared" ca="1" si="32"/>
        <v>0</v>
      </c>
      <c r="BX24" s="156">
        <f t="shared" ca="1" si="32"/>
        <v>0</v>
      </c>
      <c r="BY24" s="156">
        <f t="shared" ca="1" si="33"/>
        <v>8</v>
      </c>
      <c r="CA24" s="156">
        <f ca="1">COUNTA(AA19:AA26)-COUNTBLANK(AA19:AA26)</f>
        <v>0</v>
      </c>
      <c r="CB24" s="156">
        <f t="shared" ca="1" si="34"/>
        <v>0</v>
      </c>
      <c r="CC24" s="157">
        <f t="shared" ca="1" si="35"/>
        <v>0</v>
      </c>
      <c r="CD24" s="156">
        <f ca="1">IF(AR24=OFFSET(AR18,CD18,0),1,0)</f>
        <v>1</v>
      </c>
      <c r="CE24" s="156">
        <f ca="1">IF(AR24=OFFSET(AR18,CE18,0),1,0)</f>
        <v>1</v>
      </c>
      <c r="CF24" s="156">
        <f ca="1">IF(AR24=OFFSET(AR18,CF18,0),1,0)</f>
        <v>1</v>
      </c>
      <c r="CG24" s="156">
        <f ca="1">IF(AR24=OFFSET(AR18,CG18,0),1,0)</f>
        <v>1</v>
      </c>
      <c r="CH24" s="156">
        <f ca="1">IF(AR24=OFFSET(AR18,CH18,0),1,0)</f>
        <v>1</v>
      </c>
      <c r="CI24" s="156">
        <f ca="1">IF(AR24=OFFSET(AR18,CI18,0),1,0)</f>
        <v>1</v>
      </c>
      <c r="CJ24" s="156">
        <f ca="1">IF(AR24=OFFSET(AR18,CJ18,0),1,0)</f>
        <v>1</v>
      </c>
      <c r="CK24" s="156">
        <f ca="1">IF(AR24=OFFSET(AR18,CK18,0),1,0)</f>
        <v>1</v>
      </c>
      <c r="CL24" s="156" t="str">
        <f ca="1">OFFSET(AA24,0,1+(CL18-1)*2)</f>
        <v/>
      </c>
      <c r="CM24" s="156" t="str">
        <f ca="1">OFFSET(AA24,0,1+(CM18-1)*2)</f>
        <v/>
      </c>
      <c r="CN24" s="156" t="str">
        <f ca="1">OFFSET(AA24,0,1+(CN18-1)*2)</f>
        <v/>
      </c>
      <c r="CO24" s="156" t="str">
        <f ca="1">OFFSET(AA24,0,1+(CO18-1)*2)</f>
        <v/>
      </c>
      <c r="CP24" s="156" t="str">
        <f ca="1">OFFSET(AA24,0,1+(CP18-1)*2)</f>
        <v/>
      </c>
      <c r="CQ24" s="156">
        <f ca="1">OFFSET(AA24,0,1+(CQ18-1)*2)</f>
        <v>0</v>
      </c>
      <c r="CR24" s="156">
        <f ca="1">OFFSET(AA24,0,1+(CR18-1)*2)</f>
        <v>0</v>
      </c>
      <c r="CS24" s="156">
        <f ca="1">OFFSET(AA24,0,1+(CS18-1)*2)</f>
        <v>0</v>
      </c>
      <c r="CT24" s="156" t="str">
        <f ca="1">OFFSET(AA24,0,2+(CT18-1)*2)</f>
        <v/>
      </c>
      <c r="CU24" s="156" t="str">
        <f ca="1">OFFSET(AA24,0,2+(CU18-1)*2)</f>
        <v/>
      </c>
      <c r="CV24" s="156" t="str">
        <f ca="1">OFFSET(AA24,0,2+(CV18-1)*2)</f>
        <v/>
      </c>
      <c r="CW24" s="156" t="str">
        <f ca="1">OFFSET(AA24,0,2+(CW18-1)*2)</f>
        <v/>
      </c>
      <c r="CX24" s="156" t="str">
        <f ca="1">OFFSET(AA24,0,2+(CX18-1)*2)</f>
        <v/>
      </c>
      <c r="CY24" s="156">
        <f ca="1">OFFSET(AA24,0,2+(CY18-1)*2)</f>
        <v>0</v>
      </c>
      <c r="CZ24" s="156">
        <f ca="1">OFFSET(AA24,0,2+(CZ18-1)*2)</f>
        <v>0</v>
      </c>
      <c r="DA24" s="156">
        <f ca="1">OFFSET(AA24,0,2+(DA18-1)*2)</f>
        <v>0</v>
      </c>
      <c r="DB24" s="156">
        <f t="shared" ca="1" si="36"/>
        <v>8</v>
      </c>
      <c r="DE24" s="159"/>
      <c r="DF24" s="159"/>
      <c r="DG24" s="159">
        <v>3</v>
      </c>
      <c r="DH24" s="159">
        <v>7</v>
      </c>
      <c r="DI24" s="123">
        <f t="shared" si="22"/>
        <v>1</v>
      </c>
      <c r="DJ24" s="36" t="str">
        <f ca="1">OFFSET(gr_header,DG24+DE8,1+DF8)</f>
        <v/>
      </c>
      <c r="DK24" s="36" t="str">
        <f t="shared" ca="1" si="0"/>
        <v/>
      </c>
      <c r="DL24" s="123">
        <f ca="1">OFFSET(gr_header,DG24+DE8,2*DH24+DF8)</f>
        <v>0</v>
      </c>
      <c r="DM24" s="123">
        <f ca="1">OFFSET(gr_header,DG24+DE8,2*DH24+1+DF8)</f>
        <v>0</v>
      </c>
      <c r="DN24" s="34"/>
      <c r="DO24" s="183">
        <f t="shared" ca="1" si="5"/>
        <v>0</v>
      </c>
      <c r="DP24" s="183">
        <f t="shared" ca="1" si="6"/>
        <v>0</v>
      </c>
      <c r="DQ24" s="183">
        <f t="shared" ca="1" si="7"/>
        <v>0</v>
      </c>
      <c r="DR24" s="183">
        <f t="shared" ca="1" si="8"/>
        <v>0</v>
      </c>
      <c r="DS24" s="182">
        <f t="shared" ca="1" si="9"/>
        <v>0</v>
      </c>
      <c r="DT24" s="182">
        <f t="shared" ca="1" si="10"/>
        <v>0</v>
      </c>
      <c r="DU24" s="182"/>
      <c r="DV24" s="182"/>
      <c r="DW24" s="182"/>
    </row>
    <row r="25" spans="2:127" hidden="1" outlineLevel="1">
      <c r="B25" s="148">
        <v>7</v>
      </c>
      <c r="C25" s="154" t="str">
        <f ca="1">OFFSET(gr_anchor,B25,B18)</f>
        <v/>
      </c>
      <c r="D25" s="150" t="str">
        <f ca="1">IF(OFFSET(D19,D18-1,1+(B25-1)*2)="","",OFFSET(D19,D18-1,1+(B25-1)*2))</f>
        <v/>
      </c>
      <c r="E25" s="150" t="str">
        <f ca="1">IF(OFFSET(D19,D18-1,(B25-1)*2)="","",OFFSET(D19,D18-1,(B25-1)*2))</f>
        <v/>
      </c>
      <c r="F25" s="150" t="str">
        <f ca="1">IF(OFFSET(D19,F18-1,1+(B25-1)*2)="","",OFFSET(D19,F18-1,1+(B25-1)*2))</f>
        <v/>
      </c>
      <c r="G25" s="150" t="str">
        <f ca="1">IF(OFFSET(D19,F18-1,(B25-1)*2)="","",OFFSET(D19,F18-1,(B25-1)*2))</f>
        <v/>
      </c>
      <c r="H25" s="150" t="str">
        <f ca="1">IF(OFFSET(D19,H18-1,1+(B25-1)*2)="","",OFFSET(D19,H18-1,1+(B25-1)*2))</f>
        <v/>
      </c>
      <c r="I25" s="150" t="str">
        <f ca="1">IF(OFFSET(D19,H18-1,(B25-1)*2)="","",OFFSET(D19,H18-1,(B25-1)*2))</f>
        <v/>
      </c>
      <c r="J25" s="150" t="str">
        <f ca="1">IF(OFFSET(D19,J18-1,1+(B25-1)*2)="","",OFFSET(D19,J18-1,1+(B25-1)*2))</f>
        <v/>
      </c>
      <c r="K25" s="150" t="str">
        <f ca="1">IF(OFFSET(D19,J18-1,(B25-1)*2)="","",OFFSET(D19,J18-1,(B25-1)*2))</f>
        <v/>
      </c>
      <c r="L25" s="150" t="str">
        <f ca="1">IF(OFFSET(D19,L18-1,1+(B25-1)*2)="","",OFFSET(D19,L18-1,1+(B25-1)*2))</f>
        <v/>
      </c>
      <c r="M25" s="150" t="str">
        <f ca="1">IF(OFFSET(D19,L18-1,(B25-1)*2)="","",OFFSET(D19,L18-1,(B25-1)*2))</f>
        <v/>
      </c>
      <c r="N25" s="150" t="str">
        <f ca="1">IF(OFFSET(D19,N18-1,1+(B25-1)*2)="","",OFFSET(D19,N18-1,1+(B25-1)*2))</f>
        <v/>
      </c>
      <c r="O25" s="150" t="str">
        <f ca="1">IF(OFFSET(D19,N18-1,(B25-1)*2)="","",OFFSET(D19,N18-1,(B25-1)*2))</f>
        <v/>
      </c>
      <c r="P25" s="155"/>
      <c r="Q25" s="149"/>
      <c r="R25" s="150"/>
      <c r="S25" s="150"/>
      <c r="T25" s="151">
        <f ca="1">COUNTIF(OFFSET(E19,0,(B25-1)*2,8),2)*2+COUNTIF(OFFSET(D19,0,(B25-1)*2,8),2)</f>
        <v>0</v>
      </c>
      <c r="U25" s="151">
        <f ca="1">RANK(AZ25,AZ19:AZ26)*AY25</f>
        <v>0</v>
      </c>
      <c r="V25" s="151">
        <f t="shared" ca="1" si="26"/>
        <v>0</v>
      </c>
      <c r="W25" s="151">
        <f t="shared" ca="1" si="27"/>
        <v>0</v>
      </c>
      <c r="X25" s="152" t="str">
        <f t="shared" ca="1" si="23"/>
        <v/>
      </c>
      <c r="Y25" s="153"/>
      <c r="Z25" s="148">
        <v>7</v>
      </c>
      <c r="AA25" s="154" t="str">
        <f ca="1">OFFSET(gr_anchor,Z25,Z18)</f>
        <v/>
      </c>
      <c r="AB25" s="150" t="str">
        <f ca="1">IF(OFFSET(AB19,AB18-1,1+(Z25-1)*2)="","",OFFSET(AB19,AB18-1,1+(Z25-1)*2))</f>
        <v/>
      </c>
      <c r="AC25" s="150" t="str">
        <f ca="1">IF(OFFSET(AB19,AB18-1,(Z25-1)*2)="","",OFFSET(AB19,AB18-1,(Z25-1)*2))</f>
        <v/>
      </c>
      <c r="AD25" s="150" t="str">
        <f ca="1">IF(OFFSET(AB19,AD18-1,1+(Z25-1)*2)="","",OFFSET(AB19,AD18-1,1+(Z25-1)*2))</f>
        <v/>
      </c>
      <c r="AE25" s="150" t="str">
        <f ca="1">IF(OFFSET(AB19,AD18-1,(Z25-1)*2)="","",OFFSET(AB19,AD18-1,(Z25-1)*2))</f>
        <v/>
      </c>
      <c r="AF25" s="150" t="str">
        <f ca="1">IF(OFFSET(AB19,AF18-1,1+(Z25-1)*2)="","",OFFSET(AB19,AF18-1,1+(Z25-1)*2))</f>
        <v/>
      </c>
      <c r="AG25" s="150" t="str">
        <f ca="1">IF(OFFSET(AB19,AF18-1,(Z25-1)*2)="","",OFFSET(AB19,AF18-1,(Z25-1)*2))</f>
        <v/>
      </c>
      <c r="AH25" s="150" t="str">
        <f ca="1">IF(OFFSET(AB19,AH18-1,1+(Z25-1)*2)="","",OFFSET(AB19,AH18-1,1+(Z25-1)*2))</f>
        <v/>
      </c>
      <c r="AI25" s="150" t="str">
        <f ca="1">IF(OFFSET(AB19,AH18-1,(Z25-1)*2)="","",OFFSET(AB19,AH18-1,(Z25-1)*2))</f>
        <v/>
      </c>
      <c r="AJ25" s="150" t="str">
        <f ca="1">IF(OFFSET(AB19,AJ18-1,1+(Z25-1)*2)="","",OFFSET(AB19,AJ18-1,1+(Z25-1)*2))</f>
        <v/>
      </c>
      <c r="AK25" s="150" t="str">
        <f ca="1">IF(OFFSET(AB19,AJ18-1,(Z25-1)*2)="","",OFFSET(AB19,AJ18-1,(Z25-1)*2))</f>
        <v/>
      </c>
      <c r="AL25" s="150" t="str">
        <f ca="1">IF(OFFSET(AB19,AL18-1,1+(Z25-1)*2)="","",OFFSET(AB19,AL18-1,1+(Z25-1)*2))</f>
        <v/>
      </c>
      <c r="AM25" s="150" t="str">
        <f ca="1">IF(OFFSET(AB19,AL18-1,(Z25-1)*2)="","",OFFSET(AB19,AL18-1,(Z25-1)*2))</f>
        <v/>
      </c>
      <c r="AN25" s="155"/>
      <c r="AO25" s="149"/>
      <c r="AP25" s="150"/>
      <c r="AQ25" s="150"/>
      <c r="AR25" s="151">
        <f ca="1">COUNTIF(OFFSET(AC19,0,(Z25-1)*2,8),2)*2+COUNTIF(OFFSET(AB19,0,(Z25-1)*2,8),2)</f>
        <v>0</v>
      </c>
      <c r="AS25" s="151">
        <f ca="1">RANK(CC25,CC19:CC26)*CB25</f>
        <v>0</v>
      </c>
      <c r="AT25" s="151">
        <f t="shared" ca="1" si="28"/>
        <v>0</v>
      </c>
      <c r="AU25" s="151">
        <f t="shared" ca="1" si="29"/>
        <v>0</v>
      </c>
      <c r="AV25" s="152" t="str">
        <f t="shared" ca="1" si="30"/>
        <v/>
      </c>
      <c r="AW25" s="153"/>
      <c r="AX25" s="156">
        <f ca="1">COUNTA(C19:C26)-COUNTBLANK(C19:C26)</f>
        <v>0</v>
      </c>
      <c r="AY25" s="156">
        <f t="shared" ca="1" si="24"/>
        <v>0</v>
      </c>
      <c r="AZ25" s="157">
        <f t="shared" ca="1" si="31"/>
        <v>0</v>
      </c>
      <c r="BA25" s="156">
        <f ca="1">IF(T25=OFFSET(T18,BA18,0),1,0)</f>
        <v>1</v>
      </c>
      <c r="BB25" s="156">
        <f ca="1">IF(T25=OFFSET(T18,BB18,0),1,0)</f>
        <v>1</v>
      </c>
      <c r="BC25" s="156">
        <f ca="1">IF(T25=OFFSET(T18,BC18,0),1,0)</f>
        <v>1</v>
      </c>
      <c r="BD25" s="156">
        <f ca="1">IF(T25=OFFSET(T18,BD18,0),1,0)</f>
        <v>1</v>
      </c>
      <c r="BE25" s="156">
        <f ca="1">IF(T25=OFFSET(T18,BE18,0),1,0)</f>
        <v>1</v>
      </c>
      <c r="BF25" s="156">
        <f ca="1">IF(T25=OFFSET(T18,BF18,0),1,0)</f>
        <v>1</v>
      </c>
      <c r="BG25" s="156">
        <f ca="1">IF(T25=OFFSET(T18,BG18,0),1,0)</f>
        <v>1</v>
      </c>
      <c r="BH25" s="156">
        <f ca="1">IF(T25=OFFSET(T18,BH18,0),1,0)</f>
        <v>1</v>
      </c>
      <c r="BI25" s="156" t="str">
        <f ca="1">OFFSET(C25,0,1+(BI18-1)*2)</f>
        <v/>
      </c>
      <c r="BJ25" s="156" t="str">
        <f ca="1">OFFSET(C25,0,1+(BJ18-1)*2)</f>
        <v/>
      </c>
      <c r="BK25" s="156" t="str">
        <f ca="1">OFFSET(C25,0,1+(BK18-1)*2)</f>
        <v/>
      </c>
      <c r="BL25" s="156" t="str">
        <f ca="1">OFFSET(C25,0,1+(BL18-1)*2)</f>
        <v/>
      </c>
      <c r="BM25" s="156" t="str">
        <f ca="1">OFFSET(C25,0,1+(BM18-1)*2)</f>
        <v/>
      </c>
      <c r="BN25" s="156" t="str">
        <f ca="1">OFFSET(C25,0,1+(BN18-1)*2)</f>
        <v/>
      </c>
      <c r="BO25" s="156">
        <f ca="1">OFFSET(C25,0,1+(BO18-1)*2)</f>
        <v>0</v>
      </c>
      <c r="BP25" s="156">
        <f ca="1">OFFSET(C25,0,1+(BP18-1)*2)</f>
        <v>0</v>
      </c>
      <c r="BQ25" s="156" t="str">
        <f t="shared" ca="1" si="32"/>
        <v/>
      </c>
      <c r="BR25" s="156" t="str">
        <f t="shared" ca="1" si="32"/>
        <v/>
      </c>
      <c r="BS25" s="156" t="str">
        <f t="shared" ca="1" si="32"/>
        <v/>
      </c>
      <c r="BT25" s="156" t="str">
        <f t="shared" ca="1" si="32"/>
        <v/>
      </c>
      <c r="BU25" s="156" t="str">
        <f t="shared" ca="1" si="32"/>
        <v/>
      </c>
      <c r="BV25" s="156" t="str">
        <f t="shared" ca="1" si="32"/>
        <v/>
      </c>
      <c r="BW25" s="156">
        <f t="shared" ca="1" si="32"/>
        <v>0</v>
      </c>
      <c r="BX25" s="156">
        <f t="shared" ca="1" si="32"/>
        <v>0</v>
      </c>
      <c r="BY25" s="156">
        <f t="shared" ca="1" si="33"/>
        <v>8</v>
      </c>
      <c r="CA25" s="156">
        <f ca="1">COUNTA(AA19:AA26)-COUNTBLANK(AA19:AA26)</f>
        <v>0</v>
      </c>
      <c r="CB25" s="156">
        <f t="shared" ca="1" si="34"/>
        <v>0</v>
      </c>
      <c r="CC25" s="157">
        <f t="shared" ca="1" si="35"/>
        <v>0</v>
      </c>
      <c r="CD25" s="156">
        <f ca="1">IF(AR25=OFFSET(AR18,CD18,0),1,0)</f>
        <v>1</v>
      </c>
      <c r="CE25" s="156">
        <f ca="1">IF(AR25=OFFSET(AR18,CE18,0),1,0)</f>
        <v>1</v>
      </c>
      <c r="CF25" s="156">
        <f ca="1">IF(AR25=OFFSET(AR18,CF18,0),1,0)</f>
        <v>1</v>
      </c>
      <c r="CG25" s="156">
        <f ca="1">IF(AR25=OFFSET(AR18,CG18,0),1,0)</f>
        <v>1</v>
      </c>
      <c r="CH25" s="156">
        <f ca="1">IF(AR25=OFFSET(AR18,CH18,0),1,0)</f>
        <v>1</v>
      </c>
      <c r="CI25" s="156">
        <f ca="1">IF(AR25=OFFSET(AR18,CI18,0),1,0)</f>
        <v>1</v>
      </c>
      <c r="CJ25" s="156">
        <f ca="1">IF(AR25=OFFSET(AR18,CJ18,0),1,0)</f>
        <v>1</v>
      </c>
      <c r="CK25" s="156">
        <f ca="1">IF(AR25=OFFSET(AR18,CK18,0),1,0)</f>
        <v>1</v>
      </c>
      <c r="CL25" s="156" t="str">
        <f ca="1">OFFSET(AA25,0,1+(CL18-1)*2)</f>
        <v/>
      </c>
      <c r="CM25" s="156" t="str">
        <f ca="1">OFFSET(AA25,0,1+(CM18-1)*2)</f>
        <v/>
      </c>
      <c r="CN25" s="156" t="str">
        <f ca="1">OFFSET(AA25,0,1+(CN18-1)*2)</f>
        <v/>
      </c>
      <c r="CO25" s="156" t="str">
        <f ca="1">OFFSET(AA25,0,1+(CO18-1)*2)</f>
        <v/>
      </c>
      <c r="CP25" s="156" t="str">
        <f ca="1">OFFSET(AA25,0,1+(CP18-1)*2)</f>
        <v/>
      </c>
      <c r="CQ25" s="156" t="str">
        <f ca="1">OFFSET(AA25,0,1+(CQ18-1)*2)</f>
        <v/>
      </c>
      <c r="CR25" s="156">
        <f ca="1">OFFSET(AA25,0,1+(CR18-1)*2)</f>
        <v>0</v>
      </c>
      <c r="CS25" s="156">
        <f ca="1">OFFSET(AA25,0,1+(CS18-1)*2)</f>
        <v>0</v>
      </c>
      <c r="CT25" s="156" t="str">
        <f ca="1">OFFSET(AA25,0,2+(CT18-1)*2)</f>
        <v/>
      </c>
      <c r="CU25" s="156" t="str">
        <f ca="1">OFFSET(AA25,0,2+(CU18-1)*2)</f>
        <v/>
      </c>
      <c r="CV25" s="156" t="str">
        <f ca="1">OFFSET(AA25,0,2+(CV18-1)*2)</f>
        <v/>
      </c>
      <c r="CW25" s="156" t="str">
        <f ca="1">OFFSET(AA25,0,2+(CW18-1)*2)</f>
        <v/>
      </c>
      <c r="CX25" s="156" t="str">
        <f ca="1">OFFSET(AA25,0,2+(CX18-1)*2)</f>
        <v/>
      </c>
      <c r="CY25" s="156" t="str">
        <f ca="1">OFFSET(AA25,0,2+(CY18-1)*2)</f>
        <v/>
      </c>
      <c r="CZ25" s="156">
        <f ca="1">OFFSET(AA25,0,2+(CZ18-1)*2)</f>
        <v>0</v>
      </c>
      <c r="DA25" s="156">
        <f ca="1">OFFSET(AA25,0,2+(DA18-1)*2)</f>
        <v>0</v>
      </c>
      <c r="DB25" s="156">
        <f t="shared" ca="1" si="36"/>
        <v>8</v>
      </c>
      <c r="DE25" s="159"/>
      <c r="DF25" s="159"/>
      <c r="DG25" s="159">
        <v>3</v>
      </c>
      <c r="DH25" s="159">
        <v>8</v>
      </c>
      <c r="DI25" s="123">
        <f t="shared" si="22"/>
        <v>1</v>
      </c>
      <c r="DJ25" s="36" t="str">
        <f ca="1">OFFSET(gr_header,DG25+DE8,1+DF8)</f>
        <v/>
      </c>
      <c r="DK25" s="36" t="str">
        <f t="shared" ca="1" si="0"/>
        <v/>
      </c>
      <c r="DL25" s="123">
        <f ca="1">OFFSET(gr_header,DG25+DE8,2*DH25+DF8)</f>
        <v>0</v>
      </c>
      <c r="DM25" s="123">
        <f ca="1">OFFSET(gr_header,DG25+DE8,2*DH25+1+DF8)</f>
        <v>0</v>
      </c>
      <c r="DN25" s="34"/>
      <c r="DO25" s="183">
        <f t="shared" ca="1" si="5"/>
        <v>0</v>
      </c>
      <c r="DP25" s="183">
        <f t="shared" ca="1" si="6"/>
        <v>0</v>
      </c>
      <c r="DQ25" s="183">
        <f t="shared" ca="1" si="7"/>
        <v>0</v>
      </c>
      <c r="DR25" s="183">
        <f t="shared" ca="1" si="8"/>
        <v>0</v>
      </c>
      <c r="DS25" s="182">
        <f t="shared" ca="1" si="9"/>
        <v>0</v>
      </c>
      <c r="DT25" s="182">
        <f t="shared" ca="1" si="10"/>
        <v>0</v>
      </c>
      <c r="DU25" s="182"/>
      <c r="DV25" s="182"/>
      <c r="DW25" s="182"/>
    </row>
    <row r="26" spans="2:127" hidden="1" outlineLevel="1">
      <c r="B26" s="148">
        <v>8</v>
      </c>
      <c r="C26" s="154" t="str">
        <f ca="1">OFFSET(gr_anchor,B26,B18)</f>
        <v/>
      </c>
      <c r="D26" s="150" t="str">
        <f ca="1">IF(OFFSET(D19,D18-1,1+(B26-1)*2)="","",OFFSET(D19,D18-1,1+(B26-1)*2))</f>
        <v/>
      </c>
      <c r="E26" s="150" t="str">
        <f ca="1">IF(OFFSET(D19,D18-1,(B26-1)*2)="","",OFFSET(D19,D18-1,(B26-1)*2))</f>
        <v/>
      </c>
      <c r="F26" s="150" t="str">
        <f ca="1">IF(OFFSET(D19,F18-1,1+(B26-1)*2)="","",OFFSET(D19,F18-1,1+(B26-1)*2))</f>
        <v/>
      </c>
      <c r="G26" s="150" t="str">
        <f ca="1">IF(OFFSET(D19,F18-1,(B26-1)*2)="","",OFFSET(D19,F18-1,(B26-1)*2))</f>
        <v/>
      </c>
      <c r="H26" s="150" t="str">
        <f ca="1">IF(OFFSET(D19,H18-1,1+(B26-1)*2)="","",OFFSET(D19,H18-1,1+(B26-1)*2))</f>
        <v/>
      </c>
      <c r="I26" s="150" t="str">
        <f ca="1">IF(OFFSET(D19,H18-1,(B26-1)*2)="","",OFFSET(D19,H18-1,(B26-1)*2))</f>
        <v/>
      </c>
      <c r="J26" s="150" t="str">
        <f ca="1">IF(OFFSET(D19,J18-1,1+(B26-1)*2)="","",OFFSET(D19,J18-1,1+(B26-1)*2))</f>
        <v/>
      </c>
      <c r="K26" s="150" t="str">
        <f ca="1">IF(OFFSET(D19,J18-1,(B26-1)*2)="","",OFFSET(D19,J18-1,(B26-1)*2))</f>
        <v/>
      </c>
      <c r="L26" s="150" t="str">
        <f ca="1">IF(OFFSET(D19,L18-1,1+(B26-1)*2)="","",OFFSET(D19,L18-1,1+(B26-1)*2))</f>
        <v/>
      </c>
      <c r="M26" s="150" t="str">
        <f ca="1">IF(OFFSET(D19,L18-1,(B26-1)*2)="","",OFFSET(D19,L18-1,(B26-1)*2))</f>
        <v/>
      </c>
      <c r="N26" s="150" t="str">
        <f ca="1">IF(OFFSET(D19,N18-1,1+(B26-1)*2)="","",OFFSET(D19,N18-1,1+(B26-1)*2))</f>
        <v/>
      </c>
      <c r="O26" s="150" t="str">
        <f ca="1">IF(OFFSET(D19,N18-1,(B26-1)*2)="","",OFFSET(D19,N18-1,(B26-1)*2))</f>
        <v/>
      </c>
      <c r="P26" s="150" t="str">
        <f ca="1">IF(OFFSET(D19,P18-1,1+(B26-1)*2)="","",OFFSET(D19,P18-1,1+(B26-1)*2))</f>
        <v/>
      </c>
      <c r="Q26" s="150" t="str">
        <f ca="1">IF(OFFSET(D19,P18-1,(B26-1)*2)="","",OFFSET(D19,P18-1,(B26-1)*2))</f>
        <v/>
      </c>
      <c r="R26" s="155"/>
      <c r="S26" s="149"/>
      <c r="T26" s="151">
        <f ca="1">COUNTIF(OFFSET(E19,0,(B26-1)*2,8),2)*2+COUNTIF(OFFSET(D19,0,(B26-1)*2,8),2)</f>
        <v>0</v>
      </c>
      <c r="U26" s="151">
        <f ca="1">RANK(AZ26,AZ19:AZ26)*AY26</f>
        <v>0</v>
      </c>
      <c r="V26" s="151">
        <f t="shared" ca="1" si="26"/>
        <v>0</v>
      </c>
      <c r="W26" s="151">
        <f t="shared" ca="1" si="27"/>
        <v>0</v>
      </c>
      <c r="X26" s="152" t="str">
        <f t="shared" ca="1" si="23"/>
        <v/>
      </c>
      <c r="Y26" s="153"/>
      <c r="Z26" s="148">
        <v>8</v>
      </c>
      <c r="AA26" s="154" t="str">
        <f ca="1">OFFSET(gr_anchor,Z26,Z18)</f>
        <v/>
      </c>
      <c r="AB26" s="150" t="str">
        <f ca="1">IF(OFFSET(AB19,AB18-1,1+(Z26-1)*2)="","",OFFSET(AB19,AB18-1,1+(Z26-1)*2))</f>
        <v/>
      </c>
      <c r="AC26" s="150" t="str">
        <f ca="1">IF(OFFSET(AB19,AB18-1,(Z26-1)*2)="","",OFFSET(AB19,AB18-1,(Z26-1)*2))</f>
        <v/>
      </c>
      <c r="AD26" s="150" t="str">
        <f ca="1">IF(OFFSET(AB19,AD18-1,1+(Z26-1)*2)="","",OFFSET(AB19,AD18-1,1+(Z26-1)*2))</f>
        <v/>
      </c>
      <c r="AE26" s="150" t="str">
        <f ca="1">IF(OFFSET(AB19,AD18-1,(Z26-1)*2)="","",OFFSET(AB19,AD18-1,(Z26-1)*2))</f>
        <v/>
      </c>
      <c r="AF26" s="150" t="str">
        <f ca="1">IF(OFFSET(AB19,AF18-1,1+(Z26-1)*2)="","",OFFSET(AB19,AF18-1,1+(Z26-1)*2))</f>
        <v/>
      </c>
      <c r="AG26" s="150" t="str">
        <f ca="1">IF(OFFSET(AB19,AF18-1,(Z26-1)*2)="","",OFFSET(AB19,AF18-1,(Z26-1)*2))</f>
        <v/>
      </c>
      <c r="AH26" s="150" t="str">
        <f ca="1">IF(OFFSET(AB19,AH18-1,1+(Z26-1)*2)="","",OFFSET(AB19,AH18-1,1+(Z26-1)*2))</f>
        <v/>
      </c>
      <c r="AI26" s="150" t="str">
        <f ca="1">IF(OFFSET(AB19,AH18-1,(Z26-1)*2)="","",OFFSET(AB19,AH18-1,(Z26-1)*2))</f>
        <v/>
      </c>
      <c r="AJ26" s="150" t="str">
        <f ca="1">IF(OFFSET(AB19,AJ18-1,1+(Z26-1)*2)="","",OFFSET(AB19,AJ18-1,1+(Z26-1)*2))</f>
        <v/>
      </c>
      <c r="AK26" s="150" t="str">
        <f ca="1">IF(OFFSET(AB19,AJ18-1,(Z26-1)*2)="","",OFFSET(AB19,AJ18-1,(Z26-1)*2))</f>
        <v/>
      </c>
      <c r="AL26" s="150" t="str">
        <f ca="1">IF(OFFSET(AB19,AL18-1,1+(Z26-1)*2)="","",OFFSET(AB19,AL18-1,1+(Z26-1)*2))</f>
        <v/>
      </c>
      <c r="AM26" s="150" t="str">
        <f ca="1">IF(OFFSET(AB19,AL18-1,(Z26-1)*2)="","",OFFSET(AB19,AL18-1,(Z26-1)*2))</f>
        <v/>
      </c>
      <c r="AN26" s="150" t="str">
        <f ca="1">IF(OFFSET(AB19,AN18-1,1+(Z26-1)*2)="","",OFFSET(AB19,AN18-1,1+(Z26-1)*2))</f>
        <v/>
      </c>
      <c r="AO26" s="150" t="str">
        <f ca="1">IF(OFFSET(AB19,AN18-1,(Z26-1)*2)="","",OFFSET(AB19,AN18-1,(Z26-1)*2))</f>
        <v/>
      </c>
      <c r="AP26" s="155"/>
      <c r="AQ26" s="149"/>
      <c r="AR26" s="151">
        <f ca="1">COUNTIF(OFFSET(AC19,0,(Z26-1)*2,8),2)*2+COUNTIF(OFFSET(AB19,0,(Z26-1)*2,8),2)</f>
        <v>0</v>
      </c>
      <c r="AS26" s="151">
        <f ca="1">RANK(CC26,CC19:CC26)*CB26</f>
        <v>0</v>
      </c>
      <c r="AT26" s="151">
        <f t="shared" ca="1" si="28"/>
        <v>0</v>
      </c>
      <c r="AU26" s="151">
        <f t="shared" ca="1" si="29"/>
        <v>0</v>
      </c>
      <c r="AV26" s="152" t="str">
        <f t="shared" ca="1" si="30"/>
        <v/>
      </c>
      <c r="AW26" s="153"/>
      <c r="AX26" s="156">
        <f ca="1">COUNTA(C19:C26)-COUNTBLANK(C19:C26)</f>
        <v>0</v>
      </c>
      <c r="AY26" s="156">
        <f t="shared" ca="1" si="24"/>
        <v>0</v>
      </c>
      <c r="AZ26" s="157">
        <f t="shared" ca="1" si="31"/>
        <v>0</v>
      </c>
      <c r="BA26" s="156">
        <f ca="1">IF(T26=OFFSET(T18,BA18,0),1,0)</f>
        <v>1</v>
      </c>
      <c r="BB26" s="156">
        <f ca="1">IF(T26=OFFSET(T18,BB18,0),1,0)</f>
        <v>1</v>
      </c>
      <c r="BC26" s="156">
        <f ca="1">IF(T26=OFFSET(T18,BC18,0),1,0)</f>
        <v>1</v>
      </c>
      <c r="BD26" s="156">
        <f ca="1">IF(T26=OFFSET(T18,BD18,0),1,0)</f>
        <v>1</v>
      </c>
      <c r="BE26" s="156">
        <f ca="1">IF(T26=OFFSET(T18,BE18,0),1,0)</f>
        <v>1</v>
      </c>
      <c r="BF26" s="156">
        <f ca="1">IF(T26=OFFSET(T18,BF18,0),1,0)</f>
        <v>1</v>
      </c>
      <c r="BG26" s="156">
        <f ca="1">IF(T26=OFFSET(T18,BG18,0),1,0)</f>
        <v>1</v>
      </c>
      <c r="BH26" s="156">
        <f ca="1">IF(T26=OFFSET(T18,BH18,0),1,0)</f>
        <v>1</v>
      </c>
      <c r="BI26" s="156" t="str">
        <f ca="1">OFFSET(C26,0,1+(BI18-1)*2)</f>
        <v/>
      </c>
      <c r="BJ26" s="156" t="str">
        <f ca="1">OFFSET(C26,0,1+(BJ18-1)*2)</f>
        <v/>
      </c>
      <c r="BK26" s="156" t="str">
        <f ca="1">OFFSET(C26,0,1+(BK18-1)*2)</f>
        <v/>
      </c>
      <c r="BL26" s="156" t="str">
        <f ca="1">OFFSET(C26,0,1+(BL18-1)*2)</f>
        <v/>
      </c>
      <c r="BM26" s="156" t="str">
        <f ca="1">OFFSET(C26,0,1+(BM18-1)*2)</f>
        <v/>
      </c>
      <c r="BN26" s="156" t="str">
        <f ca="1">OFFSET(C26,0,1+(BN18-1)*2)</f>
        <v/>
      </c>
      <c r="BO26" s="156" t="str">
        <f ca="1">OFFSET(C26,0,1+(BO18-1)*2)</f>
        <v/>
      </c>
      <c r="BP26" s="156">
        <f ca="1">OFFSET(C26,0,1+(BP18-1)*2)</f>
        <v>0</v>
      </c>
      <c r="BQ26" s="156" t="str">
        <f t="shared" ca="1" si="32"/>
        <v/>
      </c>
      <c r="BR26" s="156" t="str">
        <f t="shared" ca="1" si="32"/>
        <v/>
      </c>
      <c r="BS26" s="156" t="str">
        <f t="shared" ca="1" si="32"/>
        <v/>
      </c>
      <c r="BT26" s="156" t="str">
        <f t="shared" ca="1" si="32"/>
        <v/>
      </c>
      <c r="BU26" s="156" t="str">
        <f t="shared" ca="1" si="32"/>
        <v/>
      </c>
      <c r="BV26" s="156" t="str">
        <f t="shared" ca="1" si="32"/>
        <v/>
      </c>
      <c r="BW26" s="156" t="str">
        <f t="shared" ca="1" si="32"/>
        <v/>
      </c>
      <c r="BX26" s="156">
        <f t="shared" ca="1" si="32"/>
        <v>0</v>
      </c>
      <c r="BY26" s="156">
        <f t="shared" ca="1" si="33"/>
        <v>8</v>
      </c>
      <c r="CA26" s="156">
        <f ca="1">COUNTA(AA19:AA26)-COUNTBLANK(AA19:AA26)</f>
        <v>0</v>
      </c>
      <c r="CB26" s="156">
        <f t="shared" ca="1" si="34"/>
        <v>0</v>
      </c>
      <c r="CC26" s="157">
        <f t="shared" ca="1" si="35"/>
        <v>0</v>
      </c>
      <c r="CD26" s="156">
        <f ca="1">IF(AR26=OFFSET(AR18,CD18,0),1,0)</f>
        <v>1</v>
      </c>
      <c r="CE26" s="156">
        <f ca="1">IF(AR26=OFFSET(AR18,CE18,0),1,0)</f>
        <v>1</v>
      </c>
      <c r="CF26" s="156">
        <f ca="1">IF(AR26=OFFSET(AR18,CF18,0),1,0)</f>
        <v>1</v>
      </c>
      <c r="CG26" s="156">
        <f ca="1">IF(AR26=OFFSET(AR18,CG18,0),1,0)</f>
        <v>1</v>
      </c>
      <c r="CH26" s="156">
        <f ca="1">IF(AR26=OFFSET(AR18,CH18,0),1,0)</f>
        <v>1</v>
      </c>
      <c r="CI26" s="156">
        <f ca="1">IF(AR26=OFFSET(AR18,CI18,0),1,0)</f>
        <v>1</v>
      </c>
      <c r="CJ26" s="156">
        <f ca="1">IF(AR26=OFFSET(AR18,CJ18,0),1,0)</f>
        <v>1</v>
      </c>
      <c r="CK26" s="156">
        <f ca="1">IF(AR26=OFFSET(AR18,CK18,0),1,0)</f>
        <v>1</v>
      </c>
      <c r="CL26" s="156" t="str">
        <f ca="1">OFFSET(AA26,0,1+(CL18-1)*2)</f>
        <v/>
      </c>
      <c r="CM26" s="156" t="str">
        <f ca="1">OFFSET(AA26,0,1+(CM18-1)*2)</f>
        <v/>
      </c>
      <c r="CN26" s="156" t="str">
        <f ca="1">OFFSET(AA26,0,1+(CN18-1)*2)</f>
        <v/>
      </c>
      <c r="CO26" s="156" t="str">
        <f ca="1">OFFSET(AA26,0,1+(CO18-1)*2)</f>
        <v/>
      </c>
      <c r="CP26" s="156" t="str">
        <f ca="1">OFFSET(AA26,0,1+(CP18-1)*2)</f>
        <v/>
      </c>
      <c r="CQ26" s="156" t="str">
        <f ca="1">OFFSET(AA26,0,1+(CQ18-1)*2)</f>
        <v/>
      </c>
      <c r="CR26" s="156" t="str">
        <f ca="1">OFFSET(AA26,0,1+(CR18-1)*2)</f>
        <v/>
      </c>
      <c r="CS26" s="156">
        <f ca="1">OFFSET(AA26,0,1+(CS18-1)*2)</f>
        <v>0</v>
      </c>
      <c r="CT26" s="156" t="str">
        <f ca="1">OFFSET(AA26,0,2+(CT18-1)*2)</f>
        <v/>
      </c>
      <c r="CU26" s="156" t="str">
        <f ca="1">OFFSET(AA26,0,2+(CU18-1)*2)</f>
        <v/>
      </c>
      <c r="CV26" s="156" t="str">
        <f ca="1">OFFSET(AA26,0,2+(CV18-1)*2)</f>
        <v/>
      </c>
      <c r="CW26" s="156" t="str">
        <f ca="1">OFFSET(AA26,0,2+(CW18-1)*2)</f>
        <v/>
      </c>
      <c r="CX26" s="156" t="str">
        <f ca="1">OFFSET(AA26,0,2+(CX18-1)*2)</f>
        <v/>
      </c>
      <c r="CY26" s="156" t="str">
        <f ca="1">OFFSET(AA26,0,2+(CY18-1)*2)</f>
        <v/>
      </c>
      <c r="CZ26" s="156" t="str">
        <f ca="1">OFFSET(AA26,0,2+(CZ18-1)*2)</f>
        <v/>
      </c>
      <c r="DA26" s="156">
        <f ca="1">OFFSET(AA26,0,2+(DA18-1)*2)</f>
        <v>0</v>
      </c>
      <c r="DB26" s="156">
        <f t="shared" ca="1" si="36"/>
        <v>8</v>
      </c>
      <c r="DE26" s="159"/>
      <c r="DF26" s="159"/>
      <c r="DG26" s="159">
        <v>4</v>
      </c>
      <c r="DH26" s="159">
        <v>5</v>
      </c>
      <c r="DI26" s="123">
        <f t="shared" si="22"/>
        <v>1</v>
      </c>
      <c r="DJ26" s="36" t="str">
        <f ca="1">OFFSET(gr_header,DG26+DE8,1+DF8)</f>
        <v/>
      </c>
      <c r="DK26" s="36" t="str">
        <f t="shared" ca="1" si="0"/>
        <v/>
      </c>
      <c r="DL26" s="123">
        <f ca="1">OFFSET(gr_header,DG26+DE8,2*DH26+DF8)</f>
        <v>0</v>
      </c>
      <c r="DM26" s="123">
        <f ca="1">OFFSET(gr_header,DG26+DE8,2*DH26+1+DF8)</f>
        <v>0</v>
      </c>
      <c r="DN26" s="34"/>
      <c r="DO26" s="183">
        <f t="shared" ca="1" si="5"/>
        <v>0</v>
      </c>
      <c r="DP26" s="183">
        <f t="shared" ca="1" si="6"/>
        <v>0</v>
      </c>
      <c r="DQ26" s="183">
        <f t="shared" ca="1" si="7"/>
        <v>0</v>
      </c>
      <c r="DR26" s="183">
        <f t="shared" ca="1" si="8"/>
        <v>0</v>
      </c>
      <c r="DS26" s="182">
        <f t="shared" ca="1" si="9"/>
        <v>0</v>
      </c>
      <c r="DT26" s="182">
        <f t="shared" ca="1" si="10"/>
        <v>0</v>
      </c>
      <c r="DU26" s="182"/>
      <c r="DV26" s="182"/>
      <c r="DW26" s="182"/>
    </row>
    <row r="27" spans="2:127" ht="14.25" collapsed="1" thickBot="1">
      <c r="DE27" s="159"/>
      <c r="DF27" s="159"/>
      <c r="DG27" s="159">
        <v>4</v>
      </c>
      <c r="DH27" s="159">
        <v>6</v>
      </c>
      <c r="DI27" s="123">
        <f t="shared" si="22"/>
        <v>1</v>
      </c>
      <c r="DJ27" s="36" t="str">
        <f ca="1">OFFSET(gr_header,DG27+DE8,1+DF8)</f>
        <v/>
      </c>
      <c r="DK27" s="36" t="str">
        <f t="shared" ca="1" si="0"/>
        <v/>
      </c>
      <c r="DL27" s="123">
        <f ca="1">OFFSET(gr_header,DG27+DE8,2*DH27+DF8)</f>
        <v>0</v>
      </c>
      <c r="DM27" s="123">
        <f ca="1">OFFSET(gr_header,DG27+DE8,2*DH27+1+DF8)</f>
        <v>0</v>
      </c>
      <c r="DN27" s="34"/>
      <c r="DO27" s="183">
        <f t="shared" ca="1" si="5"/>
        <v>0</v>
      </c>
      <c r="DP27" s="183">
        <f t="shared" ca="1" si="6"/>
        <v>0</v>
      </c>
      <c r="DQ27" s="183">
        <f t="shared" ca="1" si="7"/>
        <v>0</v>
      </c>
      <c r="DR27" s="183">
        <f t="shared" ca="1" si="8"/>
        <v>0</v>
      </c>
      <c r="DS27" s="182">
        <f t="shared" ca="1" si="9"/>
        <v>0</v>
      </c>
      <c r="DT27" s="182">
        <f t="shared" ca="1" si="10"/>
        <v>0</v>
      </c>
      <c r="DU27" s="182"/>
      <c r="DV27" s="182"/>
      <c r="DW27" s="182"/>
    </row>
    <row r="28" spans="2:127" ht="12" customHeight="1" thickBot="1">
      <c r="B28" s="164">
        <f>B18+2</f>
        <v>5</v>
      </c>
      <c r="C28" s="165" t="s">
        <v>38</v>
      </c>
      <c r="D28" s="205">
        <v>1</v>
      </c>
      <c r="E28" s="204"/>
      <c r="F28" s="203">
        <v>2</v>
      </c>
      <c r="G28" s="204"/>
      <c r="H28" s="203">
        <v>3</v>
      </c>
      <c r="I28" s="204"/>
      <c r="J28" s="203">
        <v>4</v>
      </c>
      <c r="K28" s="204"/>
      <c r="L28" s="203">
        <v>5</v>
      </c>
      <c r="M28" s="204"/>
      <c r="N28" s="200">
        <v>6</v>
      </c>
      <c r="O28" s="201"/>
      <c r="P28" s="200">
        <v>7</v>
      </c>
      <c r="Q28" s="201"/>
      <c r="R28" s="200">
        <v>8</v>
      </c>
      <c r="S28" s="202"/>
      <c r="T28" s="178" t="s">
        <v>88</v>
      </c>
      <c r="U28" s="178" t="s">
        <v>89</v>
      </c>
      <c r="V28" s="199" t="s">
        <v>5</v>
      </c>
      <c r="W28" s="198"/>
      <c r="X28" s="141" t="s">
        <v>6</v>
      </c>
      <c r="Y28" s="142"/>
      <c r="Z28" s="164">
        <f>Z18+2</f>
        <v>6</v>
      </c>
      <c r="AA28" s="165" t="s">
        <v>38</v>
      </c>
      <c r="AB28" s="205">
        <v>1</v>
      </c>
      <c r="AC28" s="204"/>
      <c r="AD28" s="203">
        <v>2</v>
      </c>
      <c r="AE28" s="204"/>
      <c r="AF28" s="203">
        <v>3</v>
      </c>
      <c r="AG28" s="204"/>
      <c r="AH28" s="203">
        <v>4</v>
      </c>
      <c r="AI28" s="204"/>
      <c r="AJ28" s="203">
        <v>5</v>
      </c>
      <c r="AK28" s="204"/>
      <c r="AL28" s="200">
        <v>6</v>
      </c>
      <c r="AM28" s="201"/>
      <c r="AN28" s="200">
        <v>7</v>
      </c>
      <c r="AO28" s="201"/>
      <c r="AP28" s="200">
        <v>8</v>
      </c>
      <c r="AQ28" s="202"/>
      <c r="AR28" s="178" t="s">
        <v>88</v>
      </c>
      <c r="AS28" s="178" t="s">
        <v>89</v>
      </c>
      <c r="AT28" s="199" t="s">
        <v>5</v>
      </c>
      <c r="AU28" s="198"/>
      <c r="AV28" s="141" t="s">
        <v>6</v>
      </c>
      <c r="AW28" s="142"/>
      <c r="AX28" s="143" t="s">
        <v>7</v>
      </c>
      <c r="AY28" s="143" t="s">
        <v>8</v>
      </c>
      <c r="AZ28" s="143" t="s">
        <v>9</v>
      </c>
      <c r="BA28" s="144">
        <v>1</v>
      </c>
      <c r="BB28" s="144">
        <v>2</v>
      </c>
      <c r="BC28" s="144">
        <v>3</v>
      </c>
      <c r="BD28" s="144">
        <v>4</v>
      </c>
      <c r="BE28" s="144">
        <v>5</v>
      </c>
      <c r="BF28" s="144">
        <v>6</v>
      </c>
      <c r="BG28" s="144">
        <v>7</v>
      </c>
      <c r="BH28" s="144">
        <v>8</v>
      </c>
      <c r="BI28" s="145">
        <v>1</v>
      </c>
      <c r="BJ28" s="145">
        <v>2</v>
      </c>
      <c r="BK28" s="145">
        <v>3</v>
      </c>
      <c r="BL28" s="145">
        <v>4</v>
      </c>
      <c r="BM28" s="145">
        <v>5</v>
      </c>
      <c r="BN28" s="145">
        <v>6</v>
      </c>
      <c r="BO28" s="145">
        <v>7</v>
      </c>
      <c r="BP28" s="145">
        <v>8</v>
      </c>
      <c r="BQ28" s="144">
        <v>1</v>
      </c>
      <c r="BR28" s="144">
        <v>2</v>
      </c>
      <c r="BS28" s="144">
        <v>3</v>
      </c>
      <c r="BT28" s="144">
        <v>4</v>
      </c>
      <c r="BU28" s="144">
        <v>5</v>
      </c>
      <c r="BV28" s="144">
        <v>6</v>
      </c>
      <c r="BW28" s="144">
        <v>7</v>
      </c>
      <c r="BX28" s="144">
        <v>8</v>
      </c>
      <c r="BY28" s="146"/>
      <c r="CA28" s="143" t="s">
        <v>7</v>
      </c>
      <c r="CB28" s="143" t="s">
        <v>8</v>
      </c>
      <c r="CC28" s="143" t="s">
        <v>9</v>
      </c>
      <c r="CD28" s="144">
        <v>1</v>
      </c>
      <c r="CE28" s="144">
        <v>2</v>
      </c>
      <c r="CF28" s="144">
        <v>3</v>
      </c>
      <c r="CG28" s="144">
        <v>4</v>
      </c>
      <c r="CH28" s="144">
        <v>5</v>
      </c>
      <c r="CI28" s="144">
        <v>6</v>
      </c>
      <c r="CJ28" s="144">
        <v>7</v>
      </c>
      <c r="CK28" s="144">
        <v>8</v>
      </c>
      <c r="CL28" s="145">
        <v>1</v>
      </c>
      <c r="CM28" s="145">
        <v>2</v>
      </c>
      <c r="CN28" s="145">
        <v>3</v>
      </c>
      <c r="CO28" s="145">
        <v>4</v>
      </c>
      <c r="CP28" s="145">
        <v>5</v>
      </c>
      <c r="CQ28" s="145">
        <v>6</v>
      </c>
      <c r="CR28" s="145">
        <v>7</v>
      </c>
      <c r="CS28" s="145">
        <v>8</v>
      </c>
      <c r="CT28" s="144">
        <v>1</v>
      </c>
      <c r="CU28" s="144">
        <v>2</v>
      </c>
      <c r="CV28" s="144">
        <v>3</v>
      </c>
      <c r="CW28" s="144">
        <v>4</v>
      </c>
      <c r="CX28" s="144">
        <v>5</v>
      </c>
      <c r="CY28" s="144">
        <v>6</v>
      </c>
      <c r="CZ28" s="144">
        <v>7</v>
      </c>
      <c r="DA28" s="144">
        <v>8</v>
      </c>
      <c r="DB28" s="146"/>
      <c r="DE28" s="159"/>
      <c r="DF28" s="159"/>
      <c r="DG28" s="159">
        <v>4</v>
      </c>
      <c r="DH28" s="159">
        <v>7</v>
      </c>
      <c r="DI28" s="123">
        <f t="shared" si="22"/>
        <v>1</v>
      </c>
      <c r="DJ28" s="36" t="str">
        <f ca="1">OFFSET(gr_header,DG28+DE8,1+DF8)</f>
        <v/>
      </c>
      <c r="DK28" s="36" t="str">
        <f t="shared" ca="1" si="0"/>
        <v/>
      </c>
      <c r="DL28" s="123">
        <f ca="1">OFFSET(gr_header,DG28+DE8,2*DH28+DF8)</f>
        <v>0</v>
      </c>
      <c r="DM28" s="123">
        <f ca="1">OFFSET(gr_header,DG28+DE8,2*DH28+1+DF8)</f>
        <v>0</v>
      </c>
      <c r="DN28" s="34"/>
      <c r="DO28" s="183">
        <f t="shared" ca="1" si="5"/>
        <v>0</v>
      </c>
      <c r="DP28" s="183">
        <f t="shared" ca="1" si="6"/>
        <v>0</v>
      </c>
      <c r="DQ28" s="183">
        <f t="shared" ca="1" si="7"/>
        <v>0</v>
      </c>
      <c r="DR28" s="183">
        <f t="shared" ca="1" si="8"/>
        <v>0</v>
      </c>
      <c r="DS28" s="182">
        <f t="shared" ca="1" si="9"/>
        <v>0</v>
      </c>
      <c r="DT28" s="182">
        <f t="shared" ca="1" si="10"/>
        <v>0</v>
      </c>
      <c r="DU28" s="182"/>
      <c r="DV28" s="182"/>
      <c r="DW28" s="182"/>
    </row>
    <row r="29" spans="2:127" ht="14.25" thickBot="1">
      <c r="B29" s="166">
        <v>1</v>
      </c>
      <c r="C29" s="167" t="str">
        <f ca="1">OFFSET(gr_anchor,B29,B28)</f>
        <v/>
      </c>
      <c r="D29" s="117"/>
      <c r="E29" s="118"/>
      <c r="F29" s="115"/>
      <c r="G29" s="116"/>
      <c r="H29" s="115"/>
      <c r="I29" s="116"/>
      <c r="J29" s="115"/>
      <c r="K29" s="116"/>
      <c r="L29" s="115"/>
      <c r="M29" s="116"/>
      <c r="N29" s="150"/>
      <c r="O29" s="150"/>
      <c r="P29" s="150"/>
      <c r="Q29" s="150"/>
      <c r="R29" s="150"/>
      <c r="S29" s="174"/>
      <c r="T29" s="177">
        <f ca="1">COUNTIF(OFFSET(E29,0,(B29-1)*2,8),2)*2+COUNTIF(OFFSET(D29,0,(B29-1)*2,8),2)</f>
        <v>0</v>
      </c>
      <c r="U29" s="177">
        <f ca="1">RANK(AZ29,AZ29:AZ36)*AY29</f>
        <v>0</v>
      </c>
      <c r="V29" s="175">
        <f ca="1">SUMPRODUCT(BA29:BH29,BI29:BP29)</f>
        <v>0</v>
      </c>
      <c r="W29" s="151">
        <f ca="1">SUMPRODUCT(BA29:BH29,BQ29:BX29)</f>
        <v>0</v>
      </c>
      <c r="X29" s="152" t="str">
        <f t="shared" ref="X29:X36" ca="1" si="37">IF(BY29=2,IF(W29=0,3,V29/W29),IF(V29=0,"",V29/W29))</f>
        <v/>
      </c>
      <c r="Y29" s="153"/>
      <c r="Z29" s="166">
        <v>1</v>
      </c>
      <c r="AA29" s="167" t="str">
        <f ca="1">OFFSET(gr_anchor,Z29,Z28)</f>
        <v/>
      </c>
      <c r="AB29" s="117"/>
      <c r="AC29" s="118"/>
      <c r="AD29" s="115"/>
      <c r="AE29" s="116"/>
      <c r="AF29" s="115"/>
      <c r="AG29" s="116"/>
      <c r="AH29" s="115"/>
      <c r="AI29" s="116"/>
      <c r="AJ29" s="115"/>
      <c r="AK29" s="116"/>
      <c r="AL29" s="150"/>
      <c r="AM29" s="150"/>
      <c r="AN29" s="150"/>
      <c r="AO29" s="150"/>
      <c r="AP29" s="150"/>
      <c r="AQ29" s="174"/>
      <c r="AR29" s="177">
        <f ca="1">COUNTIF(OFFSET(AC29,0,(Z29-1)*2,8),2)*2+COUNTIF(OFFSET(AB29,0,(Z29-1)*2,8),2)</f>
        <v>0</v>
      </c>
      <c r="AS29" s="177">
        <f ca="1">RANK(CC29,CC29:CC36)*CB29</f>
        <v>0</v>
      </c>
      <c r="AT29" s="175">
        <f ca="1">SUMPRODUCT(CD29:CK29,CL29:CS29)</f>
        <v>0</v>
      </c>
      <c r="AU29" s="151">
        <f ca="1">SUMPRODUCT(CD29:CK29,CT29:DA29)</f>
        <v>0</v>
      </c>
      <c r="AV29" s="152" t="str">
        <f ca="1">IF(DB29=2,IF(AU29=0,3,AT29/AU29),IF(AT29=0,"",AT29/AU29))</f>
        <v/>
      </c>
      <c r="AW29" s="153"/>
      <c r="AX29" s="156">
        <f ca="1">COUNTA(C29:C36)-COUNTBLANK(C29:C36)</f>
        <v>0</v>
      </c>
      <c r="AY29" s="156">
        <f t="shared" ref="AY29:AY36" ca="1" si="38">IF(AX29&lt;B29,0,1)</f>
        <v>0</v>
      </c>
      <c r="AZ29" s="157">
        <f ca="1">T29+IF(X29="",0,X29/100)</f>
        <v>0</v>
      </c>
      <c r="BA29" s="156">
        <f ca="1">IF(T29=OFFSET(T28,BA28,0),1,0)</f>
        <v>1</v>
      </c>
      <c r="BB29" s="156">
        <f ca="1">IF(T29=OFFSET(T28,BB28,0),1,0)</f>
        <v>1</v>
      </c>
      <c r="BC29" s="156">
        <f ca="1">IF(T29=OFFSET(T28,BC28,0),1,0)</f>
        <v>1</v>
      </c>
      <c r="BD29" s="156">
        <f ca="1">IF(T29=OFFSET(T28,BD28,0),1,0)</f>
        <v>1</v>
      </c>
      <c r="BE29" s="156">
        <f ca="1">IF(T29=OFFSET(T28,BE28,0),1,0)</f>
        <v>1</v>
      </c>
      <c r="BF29" s="156">
        <f ca="1">IF(T29=OFFSET(T28,BF28,0),1,0)</f>
        <v>1</v>
      </c>
      <c r="BG29" s="156">
        <f ca="1">IF(T29=OFFSET(T28,BG28,0),1,0)</f>
        <v>1</v>
      </c>
      <c r="BH29" s="156">
        <f ca="1">IF(T29=OFFSET(T28,BH28,0),1,0)</f>
        <v>1</v>
      </c>
      <c r="BI29" s="156">
        <f ca="1">OFFSET(C29,0,1+(BI28-1)*2)</f>
        <v>0</v>
      </c>
      <c r="BJ29" s="156">
        <f ca="1">OFFSET(C29,0,1+(BJ28-1)*2)</f>
        <v>0</v>
      </c>
      <c r="BK29" s="156">
        <f ca="1">OFFSET(C29,0,1+(BK28-1)*2)</f>
        <v>0</v>
      </c>
      <c r="BL29" s="156">
        <f ca="1">OFFSET(C29,0,1+(BL28-1)*2)</f>
        <v>0</v>
      </c>
      <c r="BM29" s="156">
        <f ca="1">OFFSET(C29,0,1+(BM28-1)*2)</f>
        <v>0</v>
      </c>
      <c r="BN29" s="156">
        <f ca="1">OFFSET(C29,0,1+(BN28-1)*2)</f>
        <v>0</v>
      </c>
      <c r="BO29" s="156">
        <f ca="1">OFFSET(C29,0,1+(BO28-1)*2)</f>
        <v>0</v>
      </c>
      <c r="BP29" s="156">
        <f ca="1">OFFSET(C29,0,1+(BP28-1)*2)</f>
        <v>0</v>
      </c>
      <c r="BQ29" s="156">
        <f t="shared" ref="BQ29:BX29" ca="1" si="39">OFFSET($C29,0,2+(BQ$8-1)*2)</f>
        <v>0</v>
      </c>
      <c r="BR29" s="156">
        <f t="shared" ca="1" si="39"/>
        <v>0</v>
      </c>
      <c r="BS29" s="156">
        <f t="shared" ca="1" si="39"/>
        <v>0</v>
      </c>
      <c r="BT29" s="156">
        <f t="shared" ca="1" si="39"/>
        <v>0</v>
      </c>
      <c r="BU29" s="156">
        <f t="shared" ca="1" si="39"/>
        <v>0</v>
      </c>
      <c r="BV29" s="156">
        <f t="shared" ca="1" si="39"/>
        <v>0</v>
      </c>
      <c r="BW29" s="156">
        <f t="shared" ca="1" si="39"/>
        <v>0</v>
      </c>
      <c r="BX29" s="156">
        <f t="shared" ca="1" si="39"/>
        <v>0</v>
      </c>
      <c r="BY29" s="156">
        <f ca="1">SUM(BA29:BH29)</f>
        <v>8</v>
      </c>
      <c r="CA29" s="156">
        <f ca="1">COUNTA(AA29:AA36)-COUNTBLANK(AA29:AA36)</f>
        <v>0</v>
      </c>
      <c r="CB29" s="156">
        <f ca="1">IF(CA29&lt;Z29,0,1)</f>
        <v>0</v>
      </c>
      <c r="CC29" s="157">
        <f ca="1">AR29+IF(AV29="",0,AV29/100)</f>
        <v>0</v>
      </c>
      <c r="CD29" s="156">
        <f ca="1">IF(AR29=OFFSET(AR28,CD28,0),1,0)</f>
        <v>1</v>
      </c>
      <c r="CE29" s="156">
        <f ca="1">IF(AR29=OFFSET(AR28,CE28,0),1,0)</f>
        <v>1</v>
      </c>
      <c r="CF29" s="156">
        <f ca="1">IF(AR29=OFFSET(AR28,CF28,0),1,0)</f>
        <v>1</v>
      </c>
      <c r="CG29" s="156">
        <f ca="1">IF(AR29=OFFSET(AR28,CG28,0),1,0)</f>
        <v>1</v>
      </c>
      <c r="CH29" s="156">
        <f ca="1">IF(AR29=OFFSET(AR28,CH28,0),1,0)</f>
        <v>1</v>
      </c>
      <c r="CI29" s="156">
        <f ca="1">IF(AR29=OFFSET(AR28,CI28,0),1,0)</f>
        <v>1</v>
      </c>
      <c r="CJ29" s="156">
        <f ca="1">IF(AR29=OFFSET(AR28,CJ28,0),1,0)</f>
        <v>1</v>
      </c>
      <c r="CK29" s="156">
        <f ca="1">IF(AR29=OFFSET(AR28,CK28,0),1,0)</f>
        <v>1</v>
      </c>
      <c r="CL29" s="156">
        <f ca="1">OFFSET(AA29,0,1+(CL28-1)*2)</f>
        <v>0</v>
      </c>
      <c r="CM29" s="156">
        <f ca="1">OFFSET(AA29,0,1+(CM28-1)*2)</f>
        <v>0</v>
      </c>
      <c r="CN29" s="156">
        <f ca="1">OFFSET(AA29,0,1+(CN28-1)*2)</f>
        <v>0</v>
      </c>
      <c r="CO29" s="156">
        <f ca="1">OFFSET(AA29,0,1+(CO28-1)*2)</f>
        <v>0</v>
      </c>
      <c r="CP29" s="156">
        <f ca="1">OFFSET(AA29,0,1+(CP28-1)*2)</f>
        <v>0</v>
      </c>
      <c r="CQ29" s="156">
        <f ca="1">OFFSET(AA29,0,1+(CQ28-1)*2)</f>
        <v>0</v>
      </c>
      <c r="CR29" s="156">
        <f ca="1">OFFSET(AA29,0,1+(CR28-1)*2)</f>
        <v>0</v>
      </c>
      <c r="CS29" s="156">
        <f ca="1">OFFSET(AA29,0,1+(CS28-1)*2)</f>
        <v>0</v>
      </c>
      <c r="CT29" s="156">
        <f ca="1">OFFSET(AA29,0,2+(CT28-1)*2)</f>
        <v>0</v>
      </c>
      <c r="CU29" s="156">
        <f ca="1">OFFSET(AA29,0,2+(CU28-1)*2)</f>
        <v>0</v>
      </c>
      <c r="CV29" s="156">
        <f ca="1">OFFSET(AA29,0,2+(CV28-1)*2)</f>
        <v>0</v>
      </c>
      <c r="CW29" s="156">
        <f ca="1">OFFSET(AA29,0,2+(CW28-1)*2)</f>
        <v>0</v>
      </c>
      <c r="CX29" s="156">
        <f ca="1">OFFSET(AA29,0,2+(CX28-1)*2)</f>
        <v>0</v>
      </c>
      <c r="CY29" s="156">
        <f ca="1">OFFSET(AA29,0,2+(CY28-1)*2)</f>
        <v>0</v>
      </c>
      <c r="CZ29" s="156">
        <f ca="1">OFFSET(AA29,0,2+(CZ28-1)*2)</f>
        <v>0</v>
      </c>
      <c r="DA29" s="156">
        <f ca="1">OFFSET(AA29,0,2+(DA28-1)*2)</f>
        <v>0</v>
      </c>
      <c r="DB29" s="156">
        <f ca="1">SUM(CD29:CK29)</f>
        <v>8</v>
      </c>
      <c r="DE29" s="159"/>
      <c r="DF29" s="159"/>
      <c r="DG29" s="159">
        <v>4</v>
      </c>
      <c r="DH29" s="159">
        <v>8</v>
      </c>
      <c r="DI29" s="123">
        <f t="shared" si="22"/>
        <v>1</v>
      </c>
      <c r="DJ29" s="36" t="str">
        <f ca="1">OFFSET(gr_header,DG29+DE8,1+DF8)</f>
        <v/>
      </c>
      <c r="DK29" s="36" t="str">
        <f t="shared" ca="1" si="0"/>
        <v/>
      </c>
      <c r="DL29" s="123">
        <f ca="1">OFFSET(gr_header,DG29+DE8,2*DH29+DF8)</f>
        <v>0</v>
      </c>
      <c r="DM29" s="123">
        <f ca="1">OFFSET(gr_header,DG29+DE8,2*DH29+1+DF8)</f>
        <v>0</v>
      </c>
      <c r="DN29" s="34"/>
      <c r="DO29" s="183">
        <f t="shared" ca="1" si="5"/>
        <v>0</v>
      </c>
      <c r="DP29" s="183">
        <f t="shared" ca="1" si="6"/>
        <v>0</v>
      </c>
      <c r="DQ29" s="183">
        <f t="shared" ca="1" si="7"/>
        <v>0</v>
      </c>
      <c r="DR29" s="183">
        <f t="shared" ca="1" si="8"/>
        <v>0</v>
      </c>
      <c r="DS29" s="182">
        <f t="shared" ca="1" si="9"/>
        <v>0</v>
      </c>
      <c r="DT29" s="182">
        <f t="shared" ca="1" si="10"/>
        <v>0</v>
      </c>
      <c r="DU29" s="182"/>
      <c r="DV29" s="182"/>
      <c r="DW29" s="182"/>
    </row>
    <row r="30" spans="2:127" ht="14.25" thickBot="1">
      <c r="B30" s="168">
        <v>2</v>
      </c>
      <c r="C30" s="169" t="str">
        <f ca="1">OFFSET(gr_anchor,B30,B28)</f>
        <v/>
      </c>
      <c r="D30" s="210" t="str">
        <f ca="1">IF(OFFSET(D29,D28-1,1+(B30-1)*2)="","",OFFSET(D29,D28-1,1+(B30-1)*2))</f>
        <v/>
      </c>
      <c r="E30" s="211" t="str">
        <f ca="1">IF(OFFSET(D29,D28-1,(B30-1)*2)="","",OFFSET(D29,D28-1,(B30-1)*2))</f>
        <v/>
      </c>
      <c r="F30" s="117"/>
      <c r="G30" s="118"/>
      <c r="H30" s="119"/>
      <c r="I30" s="120"/>
      <c r="J30" s="119"/>
      <c r="K30" s="120"/>
      <c r="L30" s="119"/>
      <c r="M30" s="120"/>
      <c r="N30" s="150"/>
      <c r="O30" s="150"/>
      <c r="P30" s="150"/>
      <c r="Q30" s="150"/>
      <c r="R30" s="150"/>
      <c r="S30" s="174"/>
      <c r="T30" s="177">
        <f ca="1">COUNTIF(OFFSET(E29,0,(B30-1)*2,8),2)*2+COUNTIF(OFFSET(D29,0,(B30-1)*2,8),2)</f>
        <v>0</v>
      </c>
      <c r="U30" s="177">
        <f ca="1">RANK(AZ30,AZ29:AZ36)*AY30</f>
        <v>0</v>
      </c>
      <c r="V30" s="175">
        <f t="shared" ref="V30:V36" ca="1" si="40">SUMPRODUCT(BA30:BH30,BI30:BP30)</f>
        <v>0</v>
      </c>
      <c r="W30" s="151">
        <f t="shared" ref="W30:W36" ca="1" si="41">SUMPRODUCT(BA30:BH30,BQ30:BX30)</f>
        <v>0</v>
      </c>
      <c r="X30" s="152" t="str">
        <f t="shared" ca="1" si="37"/>
        <v/>
      </c>
      <c r="Y30" s="153"/>
      <c r="Z30" s="168">
        <v>2</v>
      </c>
      <c r="AA30" s="169" t="str">
        <f ca="1">OFFSET(gr_anchor,Z30,Z28)</f>
        <v/>
      </c>
      <c r="AB30" s="210" t="str">
        <f ca="1">IF(OFFSET(AB29,AB28-1,1+(Z30-1)*2)="","",OFFSET(AB29,AB28-1,1+(Z30-1)*2))</f>
        <v/>
      </c>
      <c r="AC30" s="211" t="str">
        <f ca="1">IF(OFFSET(AB29,AB28-1,(Z30-1)*2)="","",OFFSET(AB29,AB28-1,(Z30-1)*2))</f>
        <v/>
      </c>
      <c r="AD30" s="117"/>
      <c r="AE30" s="118"/>
      <c r="AF30" s="119"/>
      <c r="AG30" s="120"/>
      <c r="AH30" s="119"/>
      <c r="AI30" s="120"/>
      <c r="AJ30" s="119"/>
      <c r="AK30" s="120"/>
      <c r="AL30" s="150"/>
      <c r="AM30" s="150"/>
      <c r="AN30" s="150"/>
      <c r="AO30" s="150"/>
      <c r="AP30" s="150"/>
      <c r="AQ30" s="174"/>
      <c r="AR30" s="177">
        <f ca="1">COUNTIF(OFFSET(AC29,0,(Z30-1)*2,8),2)*2+COUNTIF(OFFSET(AB29,0,(Z30-1)*2,8),2)</f>
        <v>0</v>
      </c>
      <c r="AS30" s="177">
        <f ca="1">RANK(CC30,CC29:CC36)*CB30</f>
        <v>0</v>
      </c>
      <c r="AT30" s="175">
        <f t="shared" ref="AT30:AT36" ca="1" si="42">SUMPRODUCT(CD30:CK30,CL30:CS30)</f>
        <v>0</v>
      </c>
      <c r="AU30" s="151">
        <f t="shared" ref="AU30:AU36" ca="1" si="43">SUMPRODUCT(CD30:CK30,CT30:DA30)</f>
        <v>0</v>
      </c>
      <c r="AV30" s="152" t="str">
        <f t="shared" ref="AV30:AV36" ca="1" si="44">IF(DB30=2,IF(AU30=0,3,AT30/AU30),IF(AT30=0,"",AT30/AU30))</f>
        <v/>
      </c>
      <c r="AW30" s="153"/>
      <c r="AX30" s="156">
        <f ca="1">COUNTA(C29:C36)-COUNTBLANK(C29:C36)</f>
        <v>0</v>
      </c>
      <c r="AY30" s="156">
        <f t="shared" ca="1" si="38"/>
        <v>0</v>
      </c>
      <c r="AZ30" s="157">
        <f t="shared" ref="AZ30:AZ36" ca="1" si="45">T30+IF(X30="",0,X30/100)</f>
        <v>0</v>
      </c>
      <c r="BA30" s="156">
        <f ca="1">IF(T30=OFFSET(T28,BA28,0),1,0)</f>
        <v>1</v>
      </c>
      <c r="BB30" s="156">
        <f ca="1">IF(T30=OFFSET(T28,BB28,0),1,0)</f>
        <v>1</v>
      </c>
      <c r="BC30" s="156">
        <f ca="1">IF(T30=OFFSET(T28,BC28,0),1,0)</f>
        <v>1</v>
      </c>
      <c r="BD30" s="156">
        <f ca="1">IF(T30=OFFSET(T28,BD28,0),1,0)</f>
        <v>1</v>
      </c>
      <c r="BE30" s="156">
        <f ca="1">IF(T30=OFFSET(T28,BE28,0),1,0)</f>
        <v>1</v>
      </c>
      <c r="BF30" s="156">
        <f ca="1">IF(T30=OFFSET(T28,BF28,0),1,0)</f>
        <v>1</v>
      </c>
      <c r="BG30" s="156">
        <f ca="1">IF(T30=OFFSET(T28,BG28,0),1,0)</f>
        <v>1</v>
      </c>
      <c r="BH30" s="156">
        <f ca="1">IF(T30=OFFSET(T28,BH28,0),1,0)</f>
        <v>1</v>
      </c>
      <c r="BI30" s="156" t="str">
        <f ca="1">OFFSET(C30,0,1+(BI28-1)*2)</f>
        <v/>
      </c>
      <c r="BJ30" s="156">
        <f ca="1">OFFSET(C30,0,1+(BJ28-1)*2)</f>
        <v>0</v>
      </c>
      <c r="BK30" s="156">
        <f ca="1">OFFSET(C30,0,1+(BK28-1)*2)</f>
        <v>0</v>
      </c>
      <c r="BL30" s="156">
        <f ca="1">OFFSET(C30,0,1+(BL28-1)*2)</f>
        <v>0</v>
      </c>
      <c r="BM30" s="156">
        <f ca="1">OFFSET(C30,0,1+(BM28-1)*2)</f>
        <v>0</v>
      </c>
      <c r="BN30" s="156">
        <f ca="1">OFFSET(C30,0,1+(BN28-1)*2)</f>
        <v>0</v>
      </c>
      <c r="BO30" s="156">
        <f ca="1">OFFSET(C30,0,1+(BO28-1)*2)</f>
        <v>0</v>
      </c>
      <c r="BP30" s="156">
        <f ca="1">OFFSET(C30,0,1+(BP28-1)*2)</f>
        <v>0</v>
      </c>
      <c r="BQ30" s="156" t="str">
        <f t="shared" ref="BQ30:BX36" ca="1" si="46">OFFSET($C30,0,2+(BQ$8-1)*2)</f>
        <v/>
      </c>
      <c r="BR30" s="156">
        <f t="shared" ca="1" si="46"/>
        <v>0</v>
      </c>
      <c r="BS30" s="156">
        <f t="shared" ca="1" si="46"/>
        <v>0</v>
      </c>
      <c r="BT30" s="156">
        <f t="shared" ca="1" si="46"/>
        <v>0</v>
      </c>
      <c r="BU30" s="156">
        <f t="shared" ca="1" si="46"/>
        <v>0</v>
      </c>
      <c r="BV30" s="156">
        <f t="shared" ca="1" si="46"/>
        <v>0</v>
      </c>
      <c r="BW30" s="156">
        <f t="shared" ca="1" si="46"/>
        <v>0</v>
      </c>
      <c r="BX30" s="156">
        <f t="shared" ca="1" si="46"/>
        <v>0</v>
      </c>
      <c r="BY30" s="156">
        <f t="shared" ref="BY30:BY36" ca="1" si="47">SUM(BA30:BH30)</f>
        <v>8</v>
      </c>
      <c r="CA30" s="156">
        <f ca="1">COUNTA(AA29:AA36)-COUNTBLANK(AA29:AA36)</f>
        <v>0</v>
      </c>
      <c r="CB30" s="156">
        <f t="shared" ref="CB30:CB36" ca="1" si="48">IF(CA30&lt;Z30,0,1)</f>
        <v>0</v>
      </c>
      <c r="CC30" s="157">
        <f t="shared" ref="CC30:CC36" ca="1" si="49">AR30+IF(AV30="",0,AV30/100)</f>
        <v>0</v>
      </c>
      <c r="CD30" s="156">
        <f ca="1">IF(AR30=OFFSET(AR28,CD28,0),1,0)</f>
        <v>1</v>
      </c>
      <c r="CE30" s="156">
        <f ca="1">IF(AR30=OFFSET(AR28,CE28,0),1,0)</f>
        <v>1</v>
      </c>
      <c r="CF30" s="156">
        <f ca="1">IF(AR30=OFFSET(AR28,CF28,0),1,0)</f>
        <v>1</v>
      </c>
      <c r="CG30" s="156">
        <f ca="1">IF(AR30=OFFSET(AR28,CG28,0),1,0)</f>
        <v>1</v>
      </c>
      <c r="CH30" s="156">
        <f ca="1">IF(AR30=OFFSET(AR28,CH28,0),1,0)</f>
        <v>1</v>
      </c>
      <c r="CI30" s="156">
        <f ca="1">IF(AR30=OFFSET(AR28,CI28,0),1,0)</f>
        <v>1</v>
      </c>
      <c r="CJ30" s="156">
        <f ca="1">IF(AR30=OFFSET(AR28,CJ28,0),1,0)</f>
        <v>1</v>
      </c>
      <c r="CK30" s="156">
        <f ca="1">IF(AR30=OFFSET(AR28,CK28,0),1,0)</f>
        <v>1</v>
      </c>
      <c r="CL30" s="156" t="str">
        <f ca="1">OFFSET(AA30,0,1+(CL28-1)*2)</f>
        <v/>
      </c>
      <c r="CM30" s="156">
        <f ca="1">OFFSET(AA30,0,1+(CM28-1)*2)</f>
        <v>0</v>
      </c>
      <c r="CN30" s="156">
        <f ca="1">OFFSET(AA30,0,1+(CN28-1)*2)</f>
        <v>0</v>
      </c>
      <c r="CO30" s="156">
        <f ca="1">OFFSET(AA30,0,1+(CO28-1)*2)</f>
        <v>0</v>
      </c>
      <c r="CP30" s="156">
        <f ca="1">OFFSET(AA30,0,1+(CP28-1)*2)</f>
        <v>0</v>
      </c>
      <c r="CQ30" s="156">
        <f ca="1">OFFSET(AA30,0,1+(CQ28-1)*2)</f>
        <v>0</v>
      </c>
      <c r="CR30" s="156">
        <f ca="1">OFFSET(AA30,0,1+(CR28-1)*2)</f>
        <v>0</v>
      </c>
      <c r="CS30" s="156">
        <f ca="1">OFFSET(AA30,0,1+(CS28-1)*2)</f>
        <v>0</v>
      </c>
      <c r="CT30" s="156" t="str">
        <f ca="1">OFFSET(AA30,0,2+(CT28-1)*2)</f>
        <v/>
      </c>
      <c r="CU30" s="156">
        <f ca="1">OFFSET(AA30,0,2+(CU28-1)*2)</f>
        <v>0</v>
      </c>
      <c r="CV30" s="156">
        <f ca="1">OFFSET(AA30,0,2+(CV28-1)*2)</f>
        <v>0</v>
      </c>
      <c r="CW30" s="156">
        <f ca="1">OFFSET(AA30,0,2+(CW28-1)*2)</f>
        <v>0</v>
      </c>
      <c r="CX30" s="156">
        <f ca="1">OFFSET(AA30,0,2+(CX28-1)*2)</f>
        <v>0</v>
      </c>
      <c r="CY30" s="156">
        <f ca="1">OFFSET(AA30,0,2+(CY28-1)*2)</f>
        <v>0</v>
      </c>
      <c r="CZ30" s="156">
        <f ca="1">OFFSET(AA30,0,2+(CZ28-1)*2)</f>
        <v>0</v>
      </c>
      <c r="DA30" s="156">
        <f ca="1">OFFSET(AA30,0,2+(DA28-1)*2)</f>
        <v>0</v>
      </c>
      <c r="DB30" s="156">
        <f t="shared" ref="DB30:DB36" ca="1" si="50">SUM(CD30:CK30)</f>
        <v>8</v>
      </c>
      <c r="DE30" s="159"/>
      <c r="DF30" s="159"/>
      <c r="DG30" s="159">
        <v>5</v>
      </c>
      <c r="DH30" s="159">
        <v>6</v>
      </c>
      <c r="DI30" s="123">
        <f t="shared" si="22"/>
        <v>1</v>
      </c>
      <c r="DJ30" s="36" t="str">
        <f ca="1">OFFSET(gr_header,DG30+DE8,1+DF8)</f>
        <v/>
      </c>
      <c r="DK30" s="36" t="str">
        <f t="shared" ca="1" si="0"/>
        <v/>
      </c>
      <c r="DL30" s="123">
        <f ca="1">OFFSET(gr_header,DG30+DE8,2*DH30+DF8)</f>
        <v>0</v>
      </c>
      <c r="DM30" s="123">
        <f ca="1">OFFSET(gr_header,DG30+DE8,2*DH30+1+DF8)</f>
        <v>0</v>
      </c>
      <c r="DN30" s="34"/>
      <c r="DO30" s="183">
        <f t="shared" ca="1" si="5"/>
        <v>0</v>
      </c>
      <c r="DP30" s="183">
        <f t="shared" ca="1" si="6"/>
        <v>0</v>
      </c>
      <c r="DQ30" s="183">
        <f t="shared" ca="1" si="7"/>
        <v>0</v>
      </c>
      <c r="DR30" s="183">
        <f t="shared" ca="1" si="8"/>
        <v>0</v>
      </c>
      <c r="DS30" s="182">
        <f t="shared" ca="1" si="9"/>
        <v>0</v>
      </c>
      <c r="DT30" s="182">
        <f t="shared" ca="1" si="10"/>
        <v>0</v>
      </c>
      <c r="DU30" s="182"/>
      <c r="DV30" s="182"/>
      <c r="DW30" s="182"/>
    </row>
    <row r="31" spans="2:127" ht="14.25" thickBot="1">
      <c r="B31" s="168">
        <v>3</v>
      </c>
      <c r="C31" s="169" t="str">
        <f ca="1">OFFSET(gr_anchor,B31,B28)</f>
        <v/>
      </c>
      <c r="D31" s="210" t="str">
        <f ca="1">IF(OFFSET(D29,D28-1,1+(B31-1)*2)="","",OFFSET(D29,D28-1,1+(B31-1)*2))</f>
        <v/>
      </c>
      <c r="E31" s="211" t="str">
        <f ca="1">IF(OFFSET(D29,D28-1,(B31-1)*2)="","",OFFSET(D29,D28-1,(B31-1)*2))</f>
        <v/>
      </c>
      <c r="F31" s="210" t="str">
        <f ca="1">IF(OFFSET(D29,F28-1,1+(B31-1)*2)="","",OFFSET(D29,F28-1,1+(B31-1)*2))</f>
        <v/>
      </c>
      <c r="G31" s="211" t="str">
        <f ca="1">IF(OFFSET(D29,F28-1,(B31-1)*2)="","",OFFSET(D29,F28-1,(B31-1)*2))</f>
        <v/>
      </c>
      <c r="H31" s="170"/>
      <c r="I31" s="118"/>
      <c r="J31" s="119"/>
      <c r="K31" s="120"/>
      <c r="L31" s="119"/>
      <c r="M31" s="120"/>
      <c r="N31" s="150"/>
      <c r="O31" s="150"/>
      <c r="P31" s="150"/>
      <c r="Q31" s="150"/>
      <c r="R31" s="150"/>
      <c r="S31" s="174"/>
      <c r="T31" s="177">
        <f ca="1">COUNTIF(OFFSET(E29,0,(B31-1)*2,8),2)*2+COUNTIF(OFFSET(D29,0,(B31-1)*2,8),2)</f>
        <v>0</v>
      </c>
      <c r="U31" s="177">
        <f ca="1">RANK(AZ31,AZ29:AZ36)*AY31</f>
        <v>0</v>
      </c>
      <c r="V31" s="175">
        <f t="shared" ca="1" si="40"/>
        <v>0</v>
      </c>
      <c r="W31" s="151">
        <f t="shared" ca="1" si="41"/>
        <v>0</v>
      </c>
      <c r="X31" s="152" t="str">
        <f t="shared" ca="1" si="37"/>
        <v/>
      </c>
      <c r="Y31" s="153"/>
      <c r="Z31" s="168">
        <v>3</v>
      </c>
      <c r="AA31" s="169" t="str">
        <f ca="1">OFFSET(gr_anchor,Z31,Z28)</f>
        <v/>
      </c>
      <c r="AB31" s="210" t="str">
        <f ca="1">IF(OFFSET(AB29,AB28-1,1+(Z31-1)*2)="","",OFFSET(AB29,AB28-1,1+(Z31-1)*2))</f>
        <v/>
      </c>
      <c r="AC31" s="211" t="str">
        <f ca="1">IF(OFFSET(AB29,AB28-1,(Z31-1)*2)="","",OFFSET(AB29,AB28-1,(Z31-1)*2))</f>
        <v/>
      </c>
      <c r="AD31" s="210" t="str">
        <f ca="1">IF(OFFSET(AB29,AD28-1,1+(Z31-1)*2)="","",OFFSET(AB29,AD28-1,1+(Z31-1)*2))</f>
        <v/>
      </c>
      <c r="AE31" s="211" t="str">
        <f ca="1">IF(OFFSET(AB29,AD28-1,(Z31-1)*2)="","",OFFSET(AB29,AD28-1,(Z31-1)*2))</f>
        <v/>
      </c>
      <c r="AF31" s="170"/>
      <c r="AG31" s="118"/>
      <c r="AH31" s="119"/>
      <c r="AI31" s="120"/>
      <c r="AJ31" s="119"/>
      <c r="AK31" s="120"/>
      <c r="AL31" s="150"/>
      <c r="AM31" s="150"/>
      <c r="AN31" s="150"/>
      <c r="AO31" s="150"/>
      <c r="AP31" s="150"/>
      <c r="AQ31" s="174"/>
      <c r="AR31" s="177">
        <f ca="1">COUNTIF(OFFSET(AC29,0,(Z31-1)*2,8),2)*2+COUNTIF(OFFSET(AB29,0,(Z31-1)*2,8),2)</f>
        <v>0</v>
      </c>
      <c r="AS31" s="177">
        <f ca="1">RANK(CC31,CC29:CC36)*CB31</f>
        <v>0</v>
      </c>
      <c r="AT31" s="175">
        <f t="shared" ca="1" si="42"/>
        <v>0</v>
      </c>
      <c r="AU31" s="151">
        <f t="shared" ca="1" si="43"/>
        <v>0</v>
      </c>
      <c r="AV31" s="152" t="str">
        <f t="shared" ca="1" si="44"/>
        <v/>
      </c>
      <c r="AW31" s="153"/>
      <c r="AX31" s="156">
        <f ca="1">COUNTA(C29:C36)-COUNTBLANK(C29:C36)</f>
        <v>0</v>
      </c>
      <c r="AY31" s="156">
        <f t="shared" ca="1" si="38"/>
        <v>0</v>
      </c>
      <c r="AZ31" s="157">
        <f t="shared" ca="1" si="45"/>
        <v>0</v>
      </c>
      <c r="BA31" s="156">
        <f ca="1">IF(T31=OFFSET(T28,BA28,0),1,0)</f>
        <v>1</v>
      </c>
      <c r="BB31" s="156">
        <f ca="1">IF(T31=OFFSET(T28,BB28,0),1,0)</f>
        <v>1</v>
      </c>
      <c r="BC31" s="156">
        <f ca="1">IF(T31=OFFSET(T28,BC28,0),1,0)</f>
        <v>1</v>
      </c>
      <c r="BD31" s="156">
        <f ca="1">IF(T31=OFFSET(T28,BD28,0),1,0)</f>
        <v>1</v>
      </c>
      <c r="BE31" s="156">
        <f ca="1">IF(T31=OFFSET(T28,BE28,0),1,0)</f>
        <v>1</v>
      </c>
      <c r="BF31" s="156">
        <f ca="1">IF(T31=OFFSET(T28,BF28,0),1,0)</f>
        <v>1</v>
      </c>
      <c r="BG31" s="156">
        <f ca="1">IF(T31=OFFSET(T28,BG28,0),1,0)</f>
        <v>1</v>
      </c>
      <c r="BH31" s="156">
        <f ca="1">IF(T31=OFFSET(T28,BH28,0),1,0)</f>
        <v>1</v>
      </c>
      <c r="BI31" s="156" t="str">
        <f ca="1">OFFSET(C31,0,1+(BI28-1)*2)</f>
        <v/>
      </c>
      <c r="BJ31" s="156" t="str">
        <f ca="1">OFFSET(C31,0,1+(BJ28-1)*2)</f>
        <v/>
      </c>
      <c r="BK31" s="156">
        <f ca="1">OFFSET(C31,0,1+(BK28-1)*2)</f>
        <v>0</v>
      </c>
      <c r="BL31" s="156">
        <f ca="1">OFFSET(C31,0,1+(BL28-1)*2)</f>
        <v>0</v>
      </c>
      <c r="BM31" s="156">
        <f ca="1">OFFSET(C31,0,1+(BM28-1)*2)</f>
        <v>0</v>
      </c>
      <c r="BN31" s="156">
        <f ca="1">OFFSET(C31,0,1+(BN28-1)*2)</f>
        <v>0</v>
      </c>
      <c r="BO31" s="156">
        <f ca="1">OFFSET(C31,0,1+(BO28-1)*2)</f>
        <v>0</v>
      </c>
      <c r="BP31" s="156">
        <f ca="1">OFFSET(C31,0,1+(BP28-1)*2)</f>
        <v>0</v>
      </c>
      <c r="BQ31" s="156" t="str">
        <f t="shared" ca="1" si="46"/>
        <v/>
      </c>
      <c r="BR31" s="156" t="str">
        <f t="shared" ca="1" si="46"/>
        <v/>
      </c>
      <c r="BS31" s="156">
        <f t="shared" ca="1" si="46"/>
        <v>0</v>
      </c>
      <c r="BT31" s="156">
        <f t="shared" ca="1" si="46"/>
        <v>0</v>
      </c>
      <c r="BU31" s="156">
        <f t="shared" ca="1" si="46"/>
        <v>0</v>
      </c>
      <c r="BV31" s="156">
        <f t="shared" ca="1" si="46"/>
        <v>0</v>
      </c>
      <c r="BW31" s="156">
        <f t="shared" ca="1" si="46"/>
        <v>0</v>
      </c>
      <c r="BX31" s="156">
        <f t="shared" ca="1" si="46"/>
        <v>0</v>
      </c>
      <c r="BY31" s="156">
        <f t="shared" ca="1" si="47"/>
        <v>8</v>
      </c>
      <c r="CA31" s="156">
        <f ca="1">COUNTA(AA29:AA36)-COUNTBLANK(AA29:AA36)</f>
        <v>0</v>
      </c>
      <c r="CB31" s="156">
        <f t="shared" ca="1" si="48"/>
        <v>0</v>
      </c>
      <c r="CC31" s="157">
        <f t="shared" ca="1" si="49"/>
        <v>0</v>
      </c>
      <c r="CD31" s="156">
        <f ca="1">IF(AR31=OFFSET(AR28,CD28,0),1,0)</f>
        <v>1</v>
      </c>
      <c r="CE31" s="156">
        <f ca="1">IF(AR31=OFFSET(AR28,CE28,0),1,0)</f>
        <v>1</v>
      </c>
      <c r="CF31" s="156">
        <f ca="1">IF(AR31=OFFSET(AR28,CF28,0),1,0)</f>
        <v>1</v>
      </c>
      <c r="CG31" s="156">
        <f ca="1">IF(AR31=OFFSET(AR28,CG28,0),1,0)</f>
        <v>1</v>
      </c>
      <c r="CH31" s="156">
        <f ca="1">IF(AR31=OFFSET(AR28,CH28,0),1,0)</f>
        <v>1</v>
      </c>
      <c r="CI31" s="156">
        <f ca="1">IF(AR31=OFFSET(AR28,CI28,0),1,0)</f>
        <v>1</v>
      </c>
      <c r="CJ31" s="156">
        <f ca="1">IF(AR31=OFFSET(AR28,CJ28,0),1,0)</f>
        <v>1</v>
      </c>
      <c r="CK31" s="156">
        <f ca="1">IF(AR31=OFFSET(AR28,CK28,0),1,0)</f>
        <v>1</v>
      </c>
      <c r="CL31" s="156" t="str">
        <f ca="1">OFFSET(AA31,0,1+(CL28-1)*2)</f>
        <v/>
      </c>
      <c r="CM31" s="156" t="str">
        <f ca="1">OFFSET(AA31,0,1+(CM28-1)*2)</f>
        <v/>
      </c>
      <c r="CN31" s="156">
        <f ca="1">OFFSET(AA31,0,1+(CN28-1)*2)</f>
        <v>0</v>
      </c>
      <c r="CO31" s="156">
        <f ca="1">OFFSET(AA31,0,1+(CO28-1)*2)</f>
        <v>0</v>
      </c>
      <c r="CP31" s="156">
        <f ca="1">OFFSET(AA31,0,1+(CP28-1)*2)</f>
        <v>0</v>
      </c>
      <c r="CQ31" s="156">
        <f ca="1">OFFSET(AA31,0,1+(CQ28-1)*2)</f>
        <v>0</v>
      </c>
      <c r="CR31" s="156">
        <f ca="1">OFFSET(AA31,0,1+(CR28-1)*2)</f>
        <v>0</v>
      </c>
      <c r="CS31" s="156">
        <f ca="1">OFFSET(AA31,0,1+(CS28-1)*2)</f>
        <v>0</v>
      </c>
      <c r="CT31" s="156" t="str">
        <f ca="1">OFFSET(AA31,0,2+(CT28-1)*2)</f>
        <v/>
      </c>
      <c r="CU31" s="156" t="str">
        <f ca="1">OFFSET(AA31,0,2+(CU28-1)*2)</f>
        <v/>
      </c>
      <c r="CV31" s="156">
        <f ca="1">OFFSET(AA31,0,2+(CV28-1)*2)</f>
        <v>0</v>
      </c>
      <c r="CW31" s="156">
        <f ca="1">OFFSET(AA31,0,2+(CW28-1)*2)</f>
        <v>0</v>
      </c>
      <c r="CX31" s="156">
        <f ca="1">OFFSET(AA31,0,2+(CX28-1)*2)</f>
        <v>0</v>
      </c>
      <c r="CY31" s="156">
        <f ca="1">OFFSET(AA31,0,2+(CY28-1)*2)</f>
        <v>0</v>
      </c>
      <c r="CZ31" s="156">
        <f ca="1">OFFSET(AA31,0,2+(CZ28-1)*2)</f>
        <v>0</v>
      </c>
      <c r="DA31" s="156">
        <f ca="1">OFFSET(AA31,0,2+(DA28-1)*2)</f>
        <v>0</v>
      </c>
      <c r="DB31" s="156">
        <f t="shared" ca="1" si="50"/>
        <v>8</v>
      </c>
      <c r="DE31" s="159"/>
      <c r="DF31" s="159"/>
      <c r="DG31" s="159">
        <v>5</v>
      </c>
      <c r="DH31" s="159">
        <v>7</v>
      </c>
      <c r="DI31" s="123">
        <f t="shared" si="22"/>
        <v>1</v>
      </c>
      <c r="DJ31" s="36" t="str">
        <f ca="1">OFFSET(gr_header,DG31+DE8,1+DF8)</f>
        <v/>
      </c>
      <c r="DK31" s="36" t="str">
        <f t="shared" ca="1" si="0"/>
        <v/>
      </c>
      <c r="DL31" s="123">
        <f ca="1">OFFSET(gr_header,DG31+DE8,2*DH31+DF8)</f>
        <v>0</v>
      </c>
      <c r="DM31" s="123">
        <f ca="1">OFFSET(gr_header,DG31+DE8,2*DH31+1+DF8)</f>
        <v>0</v>
      </c>
      <c r="DN31" s="34"/>
      <c r="DO31" s="183">
        <f t="shared" ca="1" si="5"/>
        <v>0</v>
      </c>
      <c r="DP31" s="183">
        <f t="shared" ca="1" si="6"/>
        <v>0</v>
      </c>
      <c r="DQ31" s="183">
        <f t="shared" ca="1" si="7"/>
        <v>0</v>
      </c>
      <c r="DR31" s="183">
        <f t="shared" ca="1" si="8"/>
        <v>0</v>
      </c>
      <c r="DS31" s="182">
        <f t="shared" ca="1" si="9"/>
        <v>0</v>
      </c>
      <c r="DT31" s="182">
        <f t="shared" ca="1" si="10"/>
        <v>0</v>
      </c>
      <c r="DU31" s="182"/>
      <c r="DV31" s="182"/>
      <c r="DW31" s="182"/>
    </row>
    <row r="32" spans="2:127" ht="14.25" thickBot="1">
      <c r="B32" s="168">
        <v>4</v>
      </c>
      <c r="C32" s="169" t="str">
        <f ca="1">OFFSET(gr_anchor,B32,B28)</f>
        <v/>
      </c>
      <c r="D32" s="210" t="str">
        <f ca="1">IF(OFFSET(D29,D28-1,1+(B32-1)*2)="","",OFFSET(D29,D28-1,1+(B32-1)*2))</f>
        <v/>
      </c>
      <c r="E32" s="211" t="str">
        <f ca="1">IF(OFFSET(D29,D28-1,(B32-1)*2)="","",OFFSET(D29,D28-1,(B32-1)*2))</f>
        <v/>
      </c>
      <c r="F32" s="210" t="str">
        <f ca="1">IF(OFFSET(D29,F28-1,1+(B32-1)*2)="","",OFFSET(D29,F28-1,1+(B32-1)*2))</f>
        <v/>
      </c>
      <c r="G32" s="211" t="str">
        <f ca="1">IF(OFFSET(D29,F28-1,(B32-1)*2)="","",OFFSET(D29,F28-1,(B32-1)*2))</f>
        <v/>
      </c>
      <c r="H32" s="210" t="str">
        <f ca="1">IF(OFFSET(D29,H28-1,1+(B32-1)*2)="","",OFFSET(D29,H28-1,1+(B32-1)*2))</f>
        <v/>
      </c>
      <c r="I32" s="211" t="str">
        <f ca="1">IF(OFFSET(D29,H28-1,(B32-1)*2)="","",OFFSET(D29,H28-1,(B32-1)*2))</f>
        <v/>
      </c>
      <c r="J32" s="170"/>
      <c r="K32" s="118"/>
      <c r="L32" s="119"/>
      <c r="M32" s="120"/>
      <c r="N32" s="150"/>
      <c r="O32" s="150"/>
      <c r="P32" s="150"/>
      <c r="Q32" s="150"/>
      <c r="R32" s="150"/>
      <c r="S32" s="174"/>
      <c r="T32" s="177">
        <f ca="1">COUNTIF(OFFSET(E29,0,(B32-1)*2,8),2)*2+COUNTIF(OFFSET(D29,0,(B32-1)*2,8),2)</f>
        <v>0</v>
      </c>
      <c r="U32" s="177">
        <f ca="1">RANK(AZ32,AZ29:AZ36)*AY32</f>
        <v>0</v>
      </c>
      <c r="V32" s="175">
        <f t="shared" ca="1" si="40"/>
        <v>0</v>
      </c>
      <c r="W32" s="151">
        <f t="shared" ca="1" si="41"/>
        <v>0</v>
      </c>
      <c r="X32" s="152" t="str">
        <f t="shared" ca="1" si="37"/>
        <v/>
      </c>
      <c r="Y32" s="153"/>
      <c r="Z32" s="168">
        <v>4</v>
      </c>
      <c r="AA32" s="169" t="str">
        <f ca="1">OFFSET(gr_anchor,Z32,Z28)</f>
        <v/>
      </c>
      <c r="AB32" s="210" t="str">
        <f ca="1">IF(OFFSET(AB29,AB28-1,1+(Z32-1)*2)="","",OFFSET(AB29,AB28-1,1+(Z32-1)*2))</f>
        <v/>
      </c>
      <c r="AC32" s="211" t="str">
        <f ca="1">IF(OFFSET(AB29,AB28-1,(Z32-1)*2)="","",OFFSET(AB29,AB28-1,(Z32-1)*2))</f>
        <v/>
      </c>
      <c r="AD32" s="210" t="str">
        <f ca="1">IF(OFFSET(AB29,AD28-1,1+(Z32-1)*2)="","",OFFSET(AB29,AD28-1,1+(Z32-1)*2))</f>
        <v/>
      </c>
      <c r="AE32" s="211" t="str">
        <f ca="1">IF(OFFSET(AB29,AD28-1,(Z32-1)*2)="","",OFFSET(AB29,AD28-1,(Z32-1)*2))</f>
        <v/>
      </c>
      <c r="AF32" s="210" t="str">
        <f ca="1">IF(OFFSET(AB29,AF28-1,1+(Z32-1)*2)="","",OFFSET(AB29,AF28-1,1+(Z32-1)*2))</f>
        <v/>
      </c>
      <c r="AG32" s="211" t="str">
        <f ca="1">IF(OFFSET(AB29,AF28-1,(Z32-1)*2)="","",OFFSET(AB29,AF28-1,(Z32-1)*2))</f>
        <v/>
      </c>
      <c r="AH32" s="170"/>
      <c r="AI32" s="118"/>
      <c r="AJ32" s="119"/>
      <c r="AK32" s="120"/>
      <c r="AL32" s="150"/>
      <c r="AM32" s="150"/>
      <c r="AN32" s="150"/>
      <c r="AO32" s="150"/>
      <c r="AP32" s="150"/>
      <c r="AQ32" s="174"/>
      <c r="AR32" s="177">
        <f ca="1">COUNTIF(OFFSET(AC29,0,(Z32-1)*2,8),2)*2+COUNTIF(OFFSET(AB29,0,(Z32-1)*2,8),2)</f>
        <v>0</v>
      </c>
      <c r="AS32" s="177">
        <f ca="1">RANK(CC32,CC29:CC36)*CB32</f>
        <v>0</v>
      </c>
      <c r="AT32" s="175">
        <f t="shared" ca="1" si="42"/>
        <v>0</v>
      </c>
      <c r="AU32" s="151">
        <f t="shared" ca="1" si="43"/>
        <v>0</v>
      </c>
      <c r="AV32" s="152" t="str">
        <f t="shared" ca="1" si="44"/>
        <v/>
      </c>
      <c r="AW32" s="153"/>
      <c r="AX32" s="156">
        <f ca="1">COUNTA(C29:C36)-COUNTBLANK(C29:C36)</f>
        <v>0</v>
      </c>
      <c r="AY32" s="156">
        <f t="shared" ca="1" si="38"/>
        <v>0</v>
      </c>
      <c r="AZ32" s="157">
        <f t="shared" ca="1" si="45"/>
        <v>0</v>
      </c>
      <c r="BA32" s="156">
        <f ca="1">IF(T32=OFFSET(T28,BA28,0),1,0)</f>
        <v>1</v>
      </c>
      <c r="BB32" s="156">
        <f ca="1">IF(T32=OFFSET(T28,BB28,0),1,0)</f>
        <v>1</v>
      </c>
      <c r="BC32" s="156">
        <f ca="1">IF(T32=OFFSET(T28,BC28,0),1,0)</f>
        <v>1</v>
      </c>
      <c r="BD32" s="156">
        <f ca="1">IF(T32=OFFSET(T28,BD28,0),1,0)</f>
        <v>1</v>
      </c>
      <c r="BE32" s="156">
        <f ca="1">IF(T32=OFFSET(T28,BE28,0),1,0)</f>
        <v>1</v>
      </c>
      <c r="BF32" s="156">
        <f ca="1">IF(T32=OFFSET(T28,BF28,0),1,0)</f>
        <v>1</v>
      </c>
      <c r="BG32" s="156">
        <f ca="1">IF(T32=OFFSET(T28,BG28,0),1,0)</f>
        <v>1</v>
      </c>
      <c r="BH32" s="156">
        <f ca="1">IF(T32=OFFSET(T28,BH28,0),1,0)</f>
        <v>1</v>
      </c>
      <c r="BI32" s="156" t="str">
        <f ca="1">OFFSET(C32,0,1+(BI28-1)*2)</f>
        <v/>
      </c>
      <c r="BJ32" s="156" t="str">
        <f ca="1">OFFSET(C32,0,1+(BJ28-1)*2)</f>
        <v/>
      </c>
      <c r="BK32" s="156" t="str">
        <f ca="1">OFFSET(C32,0,1+(BK28-1)*2)</f>
        <v/>
      </c>
      <c r="BL32" s="156">
        <f ca="1">OFFSET(C32,0,1+(BL28-1)*2)</f>
        <v>0</v>
      </c>
      <c r="BM32" s="156">
        <f ca="1">OFFSET(C32,0,1+(BM28-1)*2)</f>
        <v>0</v>
      </c>
      <c r="BN32" s="156">
        <f ca="1">OFFSET(C32,0,1+(BN28-1)*2)</f>
        <v>0</v>
      </c>
      <c r="BO32" s="156">
        <f ca="1">OFFSET(C32,0,1+(BO28-1)*2)</f>
        <v>0</v>
      </c>
      <c r="BP32" s="156">
        <f ca="1">OFFSET(C32,0,1+(BP28-1)*2)</f>
        <v>0</v>
      </c>
      <c r="BQ32" s="156" t="str">
        <f t="shared" ca="1" si="46"/>
        <v/>
      </c>
      <c r="BR32" s="156" t="str">
        <f t="shared" ca="1" si="46"/>
        <v/>
      </c>
      <c r="BS32" s="156" t="str">
        <f t="shared" ca="1" si="46"/>
        <v/>
      </c>
      <c r="BT32" s="156">
        <f t="shared" ca="1" si="46"/>
        <v>0</v>
      </c>
      <c r="BU32" s="156">
        <f t="shared" ca="1" si="46"/>
        <v>0</v>
      </c>
      <c r="BV32" s="156">
        <f t="shared" ca="1" si="46"/>
        <v>0</v>
      </c>
      <c r="BW32" s="156">
        <f t="shared" ca="1" si="46"/>
        <v>0</v>
      </c>
      <c r="BX32" s="156">
        <f t="shared" ca="1" si="46"/>
        <v>0</v>
      </c>
      <c r="BY32" s="156">
        <f t="shared" ca="1" si="47"/>
        <v>8</v>
      </c>
      <c r="CA32" s="156">
        <f ca="1">COUNTA(AA29:AA36)-COUNTBLANK(AA29:AA36)</f>
        <v>0</v>
      </c>
      <c r="CB32" s="156">
        <f t="shared" ca="1" si="48"/>
        <v>0</v>
      </c>
      <c r="CC32" s="157">
        <f t="shared" ca="1" si="49"/>
        <v>0</v>
      </c>
      <c r="CD32" s="156">
        <f ca="1">IF(AR32=OFFSET(AR28,CD28,0),1,0)</f>
        <v>1</v>
      </c>
      <c r="CE32" s="156">
        <f ca="1">IF(AR32=OFFSET(AR28,CE28,0),1,0)</f>
        <v>1</v>
      </c>
      <c r="CF32" s="156">
        <f ca="1">IF(AR32=OFFSET(AR28,CF28,0),1,0)</f>
        <v>1</v>
      </c>
      <c r="CG32" s="156">
        <f ca="1">IF(AR32=OFFSET(AR28,CG28,0),1,0)</f>
        <v>1</v>
      </c>
      <c r="CH32" s="156">
        <f ca="1">IF(AR32=OFFSET(AR28,CH28,0),1,0)</f>
        <v>1</v>
      </c>
      <c r="CI32" s="156">
        <f ca="1">IF(AR32=OFFSET(AR28,CI28,0),1,0)</f>
        <v>1</v>
      </c>
      <c r="CJ32" s="156">
        <f ca="1">IF(AR32=OFFSET(AR28,CJ28,0),1,0)</f>
        <v>1</v>
      </c>
      <c r="CK32" s="156">
        <f ca="1">IF(AR32=OFFSET(AR28,CK28,0),1,0)</f>
        <v>1</v>
      </c>
      <c r="CL32" s="156" t="str">
        <f ca="1">OFFSET(AA32,0,1+(CL28-1)*2)</f>
        <v/>
      </c>
      <c r="CM32" s="156" t="str">
        <f ca="1">OFFSET(AA32,0,1+(CM28-1)*2)</f>
        <v/>
      </c>
      <c r="CN32" s="156" t="str">
        <f ca="1">OFFSET(AA32,0,1+(CN28-1)*2)</f>
        <v/>
      </c>
      <c r="CO32" s="156">
        <f ca="1">OFFSET(AA32,0,1+(CO28-1)*2)</f>
        <v>0</v>
      </c>
      <c r="CP32" s="156">
        <f ca="1">OFFSET(AA32,0,1+(CP28-1)*2)</f>
        <v>0</v>
      </c>
      <c r="CQ32" s="156">
        <f ca="1">OFFSET(AA32,0,1+(CQ28-1)*2)</f>
        <v>0</v>
      </c>
      <c r="CR32" s="156">
        <f ca="1">OFFSET(AA32,0,1+(CR28-1)*2)</f>
        <v>0</v>
      </c>
      <c r="CS32" s="156">
        <f ca="1">OFFSET(AA32,0,1+(CS28-1)*2)</f>
        <v>0</v>
      </c>
      <c r="CT32" s="156" t="str">
        <f ca="1">OFFSET(AA32,0,2+(CT28-1)*2)</f>
        <v/>
      </c>
      <c r="CU32" s="156" t="str">
        <f ca="1">OFFSET(AA32,0,2+(CU28-1)*2)</f>
        <v/>
      </c>
      <c r="CV32" s="156" t="str">
        <f ca="1">OFFSET(AA32,0,2+(CV28-1)*2)</f>
        <v/>
      </c>
      <c r="CW32" s="156">
        <f ca="1">OFFSET(AA32,0,2+(CW28-1)*2)</f>
        <v>0</v>
      </c>
      <c r="CX32" s="156">
        <f ca="1">OFFSET(AA32,0,2+(CX28-1)*2)</f>
        <v>0</v>
      </c>
      <c r="CY32" s="156">
        <f ca="1">OFFSET(AA32,0,2+(CY28-1)*2)</f>
        <v>0</v>
      </c>
      <c r="CZ32" s="156">
        <f ca="1">OFFSET(AA32,0,2+(CZ28-1)*2)</f>
        <v>0</v>
      </c>
      <c r="DA32" s="156">
        <f ca="1">OFFSET(AA32,0,2+(DA28-1)*2)</f>
        <v>0</v>
      </c>
      <c r="DB32" s="156">
        <f t="shared" ca="1" si="50"/>
        <v>8</v>
      </c>
      <c r="DE32" s="159"/>
      <c r="DF32" s="159"/>
      <c r="DG32" s="159">
        <v>5</v>
      </c>
      <c r="DH32" s="159">
        <v>8</v>
      </c>
      <c r="DI32" s="123">
        <f t="shared" si="22"/>
        <v>1</v>
      </c>
      <c r="DJ32" s="36" t="str">
        <f ca="1">OFFSET(gr_header,DG32+DE8,1+DF8)</f>
        <v/>
      </c>
      <c r="DK32" s="36" t="str">
        <f t="shared" ca="1" si="0"/>
        <v/>
      </c>
      <c r="DL32" s="123">
        <f ca="1">OFFSET(gr_header,DG32+DE8,2*DH32+DF8)</f>
        <v>0</v>
      </c>
      <c r="DM32" s="123">
        <f ca="1">OFFSET(gr_header,DG32+DE8,2*DH32+1+DF8)</f>
        <v>0</v>
      </c>
      <c r="DN32" s="34"/>
      <c r="DO32" s="183">
        <f t="shared" ca="1" si="5"/>
        <v>0</v>
      </c>
      <c r="DP32" s="183">
        <f t="shared" ca="1" si="6"/>
        <v>0</v>
      </c>
      <c r="DQ32" s="183">
        <f t="shared" ca="1" si="7"/>
        <v>0</v>
      </c>
      <c r="DR32" s="183">
        <f t="shared" ca="1" si="8"/>
        <v>0</v>
      </c>
      <c r="DS32" s="182">
        <f t="shared" ca="1" si="9"/>
        <v>0</v>
      </c>
      <c r="DT32" s="182">
        <f t="shared" ca="1" si="10"/>
        <v>0</v>
      </c>
      <c r="DU32" s="182"/>
      <c r="DV32" s="182"/>
      <c r="DW32" s="182"/>
    </row>
    <row r="33" spans="2:127" ht="14.25" thickBot="1">
      <c r="B33" s="171">
        <v>5</v>
      </c>
      <c r="C33" s="172" t="str">
        <f ca="1">OFFSET(gr_anchor,B33,B28)</f>
        <v/>
      </c>
      <c r="D33" s="210" t="str">
        <f ca="1">IF(OFFSET(D29,D28-1,1+(B33-1)*2)="","",OFFSET(D29,D28-1,1+(B33-1)*2))</f>
        <v/>
      </c>
      <c r="E33" s="211" t="str">
        <f ca="1">IF(OFFSET(D29,D28-1,(B33-1)*2)="","",OFFSET(D29,D28-1,(B33-1)*2))</f>
        <v/>
      </c>
      <c r="F33" s="210" t="str">
        <f ca="1">IF(OFFSET(D29,F28-1,1+(B33-1)*2)="","",OFFSET(D29,F28-1,1+(B33-1)*2))</f>
        <v/>
      </c>
      <c r="G33" s="211" t="str">
        <f ca="1">IF(OFFSET(D29,F28-1,(B33-1)*2)="","",OFFSET(D29,F28-1,(B33-1)*2))</f>
        <v/>
      </c>
      <c r="H33" s="210" t="str">
        <f ca="1">IF(OFFSET(D29,H28-1,1+(B33-1)*2)="","",OFFSET(D29,H28-1,1+(B33-1)*2))</f>
        <v/>
      </c>
      <c r="I33" s="211" t="str">
        <f ca="1">IF(OFFSET(D29,H28-1,(B33-1)*2)="","",OFFSET(D29,H28-1,(B33-1)*2))</f>
        <v/>
      </c>
      <c r="J33" s="210" t="str">
        <f ca="1">IF(OFFSET(D29,J28-1,1+(B33-1)*2)="","",OFFSET(D29,J28-1,1+(B33-1)*2))</f>
        <v/>
      </c>
      <c r="K33" s="211" t="str">
        <f ca="1">IF(OFFSET(D29,J28-1,(B33-1)*2)="","",OFFSET(D29,J28-1,(B33-1)*2))</f>
        <v/>
      </c>
      <c r="L33" s="117"/>
      <c r="M33" s="118"/>
      <c r="N33" s="150"/>
      <c r="O33" s="150"/>
      <c r="P33" s="150"/>
      <c r="Q33" s="150"/>
      <c r="R33" s="150"/>
      <c r="S33" s="174"/>
      <c r="T33" s="177">
        <f ca="1">COUNTIF(OFFSET(E29,0,(B33-1)*2,8),2)*2+COUNTIF(OFFSET(D29,0,(B33-1)*2,8),2)</f>
        <v>0</v>
      </c>
      <c r="U33" s="177">
        <f ca="1">RANK(AZ33,AZ29:AZ36)*AY33</f>
        <v>0</v>
      </c>
      <c r="V33" s="175">
        <f t="shared" ca="1" si="40"/>
        <v>0</v>
      </c>
      <c r="W33" s="151">
        <f t="shared" ca="1" si="41"/>
        <v>0</v>
      </c>
      <c r="X33" s="152" t="str">
        <f t="shared" ca="1" si="37"/>
        <v/>
      </c>
      <c r="Y33" s="153"/>
      <c r="Z33" s="171">
        <v>5</v>
      </c>
      <c r="AA33" s="172" t="str">
        <f ca="1">OFFSET(gr_anchor,Z33,Z28)</f>
        <v/>
      </c>
      <c r="AB33" s="210" t="str">
        <f ca="1">IF(OFFSET(AB29,AB28-1,1+(Z33-1)*2)="","",OFFSET(AB29,AB28-1,1+(Z33-1)*2))</f>
        <v/>
      </c>
      <c r="AC33" s="211" t="str">
        <f ca="1">IF(OFFSET(AB29,AB28-1,(Z33-1)*2)="","",OFFSET(AB29,AB28-1,(Z33-1)*2))</f>
        <v/>
      </c>
      <c r="AD33" s="210" t="str">
        <f ca="1">IF(OFFSET(AB29,AD28-1,1+(Z33-1)*2)="","",OFFSET(AB29,AD28-1,1+(Z33-1)*2))</f>
        <v/>
      </c>
      <c r="AE33" s="211" t="str">
        <f ca="1">IF(OFFSET(AB29,AD28-1,(Z33-1)*2)="","",OFFSET(AB29,AD28-1,(Z33-1)*2))</f>
        <v/>
      </c>
      <c r="AF33" s="210" t="str">
        <f ca="1">IF(OFFSET(AB29,AF28-1,1+(Z33-1)*2)="","",OFFSET(AB29,AF28-1,1+(Z33-1)*2))</f>
        <v/>
      </c>
      <c r="AG33" s="211" t="str">
        <f ca="1">IF(OFFSET(AB29,AF28-1,(Z33-1)*2)="","",OFFSET(AB29,AF28-1,(Z33-1)*2))</f>
        <v/>
      </c>
      <c r="AH33" s="210" t="str">
        <f ca="1">IF(OFFSET(AB29,AH28-1,1+(Z33-1)*2)="","",OFFSET(AB29,AH28-1,1+(Z33-1)*2))</f>
        <v/>
      </c>
      <c r="AI33" s="211" t="str">
        <f ca="1">IF(OFFSET(AB29,AH28-1,(Z33-1)*2)="","",OFFSET(AB29,AH28-1,(Z33-1)*2))</f>
        <v/>
      </c>
      <c r="AJ33" s="117"/>
      <c r="AK33" s="118"/>
      <c r="AL33" s="150"/>
      <c r="AM33" s="150"/>
      <c r="AN33" s="150"/>
      <c r="AO33" s="150"/>
      <c r="AP33" s="150"/>
      <c r="AQ33" s="174"/>
      <c r="AR33" s="177">
        <f ca="1">COUNTIF(OFFSET(AC29,0,(Z33-1)*2,8),2)*2+COUNTIF(OFFSET(AB29,0,(Z33-1)*2,8),2)</f>
        <v>0</v>
      </c>
      <c r="AS33" s="177">
        <f ca="1">RANK(CC33,CC29:CC36)*CB33</f>
        <v>0</v>
      </c>
      <c r="AT33" s="175">
        <f t="shared" ca="1" si="42"/>
        <v>0</v>
      </c>
      <c r="AU33" s="151">
        <f t="shared" ca="1" si="43"/>
        <v>0</v>
      </c>
      <c r="AV33" s="152" t="str">
        <f t="shared" ca="1" si="44"/>
        <v/>
      </c>
      <c r="AW33" s="153"/>
      <c r="AX33" s="156">
        <f ca="1">COUNTA(C29:C36)-COUNTBLANK(C29:C36)</f>
        <v>0</v>
      </c>
      <c r="AY33" s="156">
        <f t="shared" ca="1" si="38"/>
        <v>0</v>
      </c>
      <c r="AZ33" s="157">
        <f t="shared" ca="1" si="45"/>
        <v>0</v>
      </c>
      <c r="BA33" s="156">
        <f ca="1">IF(T33=OFFSET(T28,BA28,0),1,0)</f>
        <v>1</v>
      </c>
      <c r="BB33" s="156">
        <f ca="1">IF(T33=OFFSET(T28,BB28,0),1,0)</f>
        <v>1</v>
      </c>
      <c r="BC33" s="156">
        <f ca="1">IF(T33=OFFSET(T28,BC28,0),1,0)</f>
        <v>1</v>
      </c>
      <c r="BD33" s="156">
        <f ca="1">IF(T33=OFFSET(T28,BD28,0),1,0)</f>
        <v>1</v>
      </c>
      <c r="BE33" s="156">
        <f ca="1">IF(T33=OFFSET(T28,BE28,0),1,0)</f>
        <v>1</v>
      </c>
      <c r="BF33" s="156">
        <f ca="1">IF(T33=OFFSET(T28,BF28,0),1,0)</f>
        <v>1</v>
      </c>
      <c r="BG33" s="156">
        <f ca="1">IF(T33=OFFSET(T28,BG28,0),1,0)</f>
        <v>1</v>
      </c>
      <c r="BH33" s="156">
        <f ca="1">IF(T33=OFFSET(T28,BH28,0),1,0)</f>
        <v>1</v>
      </c>
      <c r="BI33" s="156" t="str">
        <f ca="1">OFFSET(C33,0,1+(BI28-1)*2)</f>
        <v/>
      </c>
      <c r="BJ33" s="156" t="str">
        <f ca="1">OFFSET(C33,0,1+(BJ28-1)*2)</f>
        <v/>
      </c>
      <c r="BK33" s="156" t="str">
        <f ca="1">OFFSET(C33,0,1+(BK28-1)*2)</f>
        <v/>
      </c>
      <c r="BL33" s="156" t="str">
        <f ca="1">OFFSET(C33,0,1+(BL28-1)*2)</f>
        <v/>
      </c>
      <c r="BM33" s="156">
        <f ca="1">OFFSET(C33,0,1+(BM28-1)*2)</f>
        <v>0</v>
      </c>
      <c r="BN33" s="156">
        <f ca="1">OFFSET(C33,0,1+(BN28-1)*2)</f>
        <v>0</v>
      </c>
      <c r="BO33" s="156">
        <f ca="1">OFFSET(C33,0,1+(BO28-1)*2)</f>
        <v>0</v>
      </c>
      <c r="BP33" s="156">
        <f ca="1">OFFSET(C33,0,1+(BP28-1)*2)</f>
        <v>0</v>
      </c>
      <c r="BQ33" s="156" t="str">
        <f t="shared" ca="1" si="46"/>
        <v/>
      </c>
      <c r="BR33" s="156" t="str">
        <f t="shared" ca="1" si="46"/>
        <v/>
      </c>
      <c r="BS33" s="156" t="str">
        <f t="shared" ca="1" si="46"/>
        <v/>
      </c>
      <c r="BT33" s="156" t="str">
        <f t="shared" ca="1" si="46"/>
        <v/>
      </c>
      <c r="BU33" s="156">
        <f t="shared" ca="1" si="46"/>
        <v>0</v>
      </c>
      <c r="BV33" s="156">
        <f t="shared" ca="1" si="46"/>
        <v>0</v>
      </c>
      <c r="BW33" s="156">
        <f t="shared" ca="1" si="46"/>
        <v>0</v>
      </c>
      <c r="BX33" s="156">
        <f t="shared" ca="1" si="46"/>
        <v>0</v>
      </c>
      <c r="BY33" s="156">
        <f t="shared" ca="1" si="47"/>
        <v>8</v>
      </c>
      <c r="CA33" s="156">
        <f ca="1">COUNTA(AA29:AA36)-COUNTBLANK(AA29:AA36)</f>
        <v>0</v>
      </c>
      <c r="CB33" s="156">
        <f t="shared" ca="1" si="48"/>
        <v>0</v>
      </c>
      <c r="CC33" s="157">
        <f t="shared" ca="1" si="49"/>
        <v>0</v>
      </c>
      <c r="CD33" s="156">
        <f ca="1">IF(AR33=OFFSET(AR28,CD28,0),1,0)</f>
        <v>1</v>
      </c>
      <c r="CE33" s="156">
        <f ca="1">IF(AR33=OFFSET(AR28,CE28,0),1,0)</f>
        <v>1</v>
      </c>
      <c r="CF33" s="156">
        <f ca="1">IF(AR33=OFFSET(AR28,CF28,0),1,0)</f>
        <v>1</v>
      </c>
      <c r="CG33" s="156">
        <f ca="1">IF(AR33=OFFSET(AR28,CG28,0),1,0)</f>
        <v>1</v>
      </c>
      <c r="CH33" s="156">
        <f ca="1">IF(AR33=OFFSET(AR28,CH28,0),1,0)</f>
        <v>1</v>
      </c>
      <c r="CI33" s="156">
        <f ca="1">IF(AR33=OFFSET(AR28,CI28,0),1,0)</f>
        <v>1</v>
      </c>
      <c r="CJ33" s="156">
        <f ca="1">IF(AR33=OFFSET(AR28,CJ28,0),1,0)</f>
        <v>1</v>
      </c>
      <c r="CK33" s="156">
        <f ca="1">IF(AR33=OFFSET(AR28,CK28,0),1,0)</f>
        <v>1</v>
      </c>
      <c r="CL33" s="156" t="str">
        <f ca="1">OFFSET(AA33,0,1+(CL28-1)*2)</f>
        <v/>
      </c>
      <c r="CM33" s="156" t="str">
        <f ca="1">OFFSET(AA33,0,1+(CM28-1)*2)</f>
        <v/>
      </c>
      <c r="CN33" s="156" t="str">
        <f ca="1">OFFSET(AA33,0,1+(CN28-1)*2)</f>
        <v/>
      </c>
      <c r="CO33" s="156" t="str">
        <f ca="1">OFFSET(AA33,0,1+(CO28-1)*2)</f>
        <v/>
      </c>
      <c r="CP33" s="156">
        <f ca="1">OFFSET(AA33,0,1+(CP28-1)*2)</f>
        <v>0</v>
      </c>
      <c r="CQ33" s="156">
        <f ca="1">OFFSET(AA33,0,1+(CQ28-1)*2)</f>
        <v>0</v>
      </c>
      <c r="CR33" s="156">
        <f ca="1">OFFSET(AA33,0,1+(CR28-1)*2)</f>
        <v>0</v>
      </c>
      <c r="CS33" s="156">
        <f ca="1">OFFSET(AA33,0,1+(CS28-1)*2)</f>
        <v>0</v>
      </c>
      <c r="CT33" s="156" t="str">
        <f ca="1">OFFSET(AA33,0,2+(CT28-1)*2)</f>
        <v/>
      </c>
      <c r="CU33" s="156" t="str">
        <f ca="1">OFFSET(AA33,0,2+(CU28-1)*2)</f>
        <v/>
      </c>
      <c r="CV33" s="156" t="str">
        <f ca="1">OFFSET(AA33,0,2+(CV28-1)*2)</f>
        <v/>
      </c>
      <c r="CW33" s="156" t="str">
        <f ca="1">OFFSET(AA33,0,2+(CW28-1)*2)</f>
        <v/>
      </c>
      <c r="CX33" s="156">
        <f ca="1">OFFSET(AA33,0,2+(CX28-1)*2)</f>
        <v>0</v>
      </c>
      <c r="CY33" s="156">
        <f ca="1">OFFSET(AA33,0,2+(CY28-1)*2)</f>
        <v>0</v>
      </c>
      <c r="CZ33" s="156">
        <f ca="1">OFFSET(AA33,0,2+(CZ28-1)*2)</f>
        <v>0</v>
      </c>
      <c r="DA33" s="156">
        <f ca="1">OFFSET(AA33,0,2+(DA28-1)*2)</f>
        <v>0</v>
      </c>
      <c r="DB33" s="156">
        <f t="shared" ca="1" si="50"/>
        <v>8</v>
      </c>
      <c r="DE33" s="159"/>
      <c r="DF33" s="159"/>
      <c r="DG33" s="159">
        <v>6</v>
      </c>
      <c r="DH33" s="159">
        <v>7</v>
      </c>
      <c r="DI33" s="123">
        <f t="shared" si="22"/>
        <v>1</v>
      </c>
      <c r="DJ33" s="36" t="str">
        <f ca="1">OFFSET(gr_header,DG33+DE8,1+DF8)</f>
        <v/>
      </c>
      <c r="DK33" s="36" t="str">
        <f t="shared" ca="1" si="0"/>
        <v/>
      </c>
      <c r="DL33" s="123">
        <f ca="1">OFFSET(gr_header,DG33+DE8,2*DH33+DF8)</f>
        <v>0</v>
      </c>
      <c r="DM33" s="123">
        <f ca="1">OFFSET(gr_header,DG33+DE8,2*DH33+1+DF8)</f>
        <v>0</v>
      </c>
      <c r="DN33" s="34"/>
      <c r="DO33" s="183">
        <f t="shared" ca="1" si="5"/>
        <v>0</v>
      </c>
      <c r="DP33" s="183">
        <f t="shared" ca="1" si="6"/>
        <v>0</v>
      </c>
      <c r="DQ33" s="183">
        <f t="shared" ca="1" si="7"/>
        <v>0</v>
      </c>
      <c r="DR33" s="183">
        <f t="shared" ca="1" si="8"/>
        <v>0</v>
      </c>
      <c r="DS33" s="182">
        <f t="shared" ca="1" si="9"/>
        <v>0</v>
      </c>
      <c r="DT33" s="182">
        <f t="shared" ca="1" si="10"/>
        <v>0</v>
      </c>
      <c r="DU33" s="182"/>
      <c r="DV33" s="182"/>
      <c r="DW33" s="182"/>
    </row>
    <row r="34" spans="2:127" hidden="1" outlineLevel="1">
      <c r="B34" s="148">
        <v>6</v>
      </c>
      <c r="C34" s="154" t="str">
        <f ca="1">OFFSET(gr_anchor,B34,B28)</f>
        <v/>
      </c>
      <c r="D34" s="150" t="str">
        <f ca="1">IF(OFFSET(D29,D28-1,1+(B34-1)*2)="","",OFFSET(D29,D28-1,1+(B34-1)*2))</f>
        <v/>
      </c>
      <c r="E34" s="150" t="str">
        <f ca="1">IF(OFFSET(D29,D28-1,(B34-1)*2)="","",OFFSET(D29,D28-1,(B34-1)*2))</f>
        <v/>
      </c>
      <c r="F34" s="150" t="str">
        <f ca="1">IF(OFFSET(D29,F28-1,1+(B34-1)*2)="","",OFFSET(D29,F28-1,1+(B34-1)*2))</f>
        <v/>
      </c>
      <c r="G34" s="150" t="str">
        <f ca="1">IF(OFFSET(D29,F28-1,(B34-1)*2)="","",OFFSET(D29,F28-1,(B34-1)*2))</f>
        <v/>
      </c>
      <c r="H34" s="150" t="str">
        <f ca="1">IF(OFFSET(D29,H28-1,1+(B34-1)*2)="","",OFFSET(D29,H28-1,1+(B34-1)*2))</f>
        <v/>
      </c>
      <c r="I34" s="150" t="str">
        <f ca="1">IF(OFFSET(D29,H28-1,(B34-1)*2)="","",OFFSET(D29,H28-1,(B34-1)*2))</f>
        <v/>
      </c>
      <c r="J34" s="150" t="str">
        <f ca="1">IF(OFFSET(D29,J28-1,1+(B34-1)*2)="","",OFFSET(D29,J28-1,1+(B34-1)*2))</f>
        <v/>
      </c>
      <c r="K34" s="150" t="str">
        <f ca="1">IF(OFFSET(D29,J28-1,(B34-1)*2)="","",OFFSET(D29,J28-1,(B34-1)*2))</f>
        <v/>
      </c>
      <c r="L34" s="150" t="str">
        <f ca="1">IF(OFFSET(D29,L28-1,1+(B34-1)*2)="","",OFFSET(D29,L28-1,1+(B34-1)*2))</f>
        <v/>
      </c>
      <c r="M34" s="150" t="str">
        <f ca="1">IF(OFFSET(D29,L28-1,(B34-1)*2)="","",OFFSET(D29,L28-1,(B34-1)*2))</f>
        <v/>
      </c>
      <c r="N34" s="155"/>
      <c r="O34" s="149"/>
      <c r="P34" s="150"/>
      <c r="Q34" s="150"/>
      <c r="R34" s="150"/>
      <c r="S34" s="150"/>
      <c r="T34" s="163">
        <f ca="1">COUNTIF(OFFSET(E29,0,(B34-1)*2,8),2)*2+COUNTIF(OFFSET(D29,0,(B34-1)*2,8),2)</f>
        <v>0</v>
      </c>
      <c r="U34" s="163">
        <f ca="1">RANK(AZ34,AZ29:AZ36)*AY34</f>
        <v>0</v>
      </c>
      <c r="V34" s="151">
        <f t="shared" ca="1" si="40"/>
        <v>0</v>
      </c>
      <c r="W34" s="151">
        <f t="shared" ca="1" si="41"/>
        <v>0</v>
      </c>
      <c r="X34" s="152" t="str">
        <f t="shared" ca="1" si="37"/>
        <v/>
      </c>
      <c r="Y34" s="153"/>
      <c r="Z34" s="148">
        <v>6</v>
      </c>
      <c r="AA34" s="154" t="str">
        <f ca="1">OFFSET(gr_anchor,Z34,Z28)</f>
        <v/>
      </c>
      <c r="AB34" s="150" t="str">
        <f ca="1">IF(OFFSET(AB29,AB28-1,1+(Z34-1)*2)="","",OFFSET(AB29,AB28-1,1+(Z34-1)*2))</f>
        <v/>
      </c>
      <c r="AC34" s="150" t="str">
        <f ca="1">IF(OFFSET(AB29,AB28-1,(Z34-1)*2)="","",OFFSET(AB29,AB28-1,(Z34-1)*2))</f>
        <v/>
      </c>
      <c r="AD34" s="150" t="str">
        <f ca="1">IF(OFFSET(AB29,AD28-1,1+(Z34-1)*2)="","",OFFSET(AB29,AD28-1,1+(Z34-1)*2))</f>
        <v/>
      </c>
      <c r="AE34" s="150" t="str">
        <f ca="1">IF(OFFSET(AB29,AD28-1,(Z34-1)*2)="","",OFFSET(AB29,AD28-1,(Z34-1)*2))</f>
        <v/>
      </c>
      <c r="AF34" s="150" t="str">
        <f ca="1">IF(OFFSET(AB29,AF28-1,1+(Z34-1)*2)="","",OFFSET(AB29,AF28-1,1+(Z34-1)*2))</f>
        <v/>
      </c>
      <c r="AG34" s="150" t="str">
        <f ca="1">IF(OFFSET(AB29,AF28-1,(Z34-1)*2)="","",OFFSET(AB29,AF28-1,(Z34-1)*2))</f>
        <v/>
      </c>
      <c r="AH34" s="150" t="str">
        <f ca="1">IF(OFFSET(AB29,AH28-1,1+(Z34-1)*2)="","",OFFSET(AB29,AH28-1,1+(Z34-1)*2))</f>
        <v/>
      </c>
      <c r="AI34" s="150" t="str">
        <f ca="1">IF(OFFSET(AB29,AH28-1,(Z34-1)*2)="","",OFFSET(AB29,AH28-1,(Z34-1)*2))</f>
        <v/>
      </c>
      <c r="AJ34" s="150" t="str">
        <f ca="1">IF(OFFSET(AB29,AJ28-1,1+(Z34-1)*2)="","",OFFSET(AB29,AJ28-1,1+(Z34-1)*2))</f>
        <v/>
      </c>
      <c r="AK34" s="150" t="str">
        <f ca="1">IF(OFFSET(AB29,AJ28-1,(Z34-1)*2)="","",OFFSET(AB29,AJ28-1,(Z34-1)*2))</f>
        <v/>
      </c>
      <c r="AL34" s="155"/>
      <c r="AM34" s="149"/>
      <c r="AN34" s="150"/>
      <c r="AO34" s="150"/>
      <c r="AP34" s="150"/>
      <c r="AQ34" s="150"/>
      <c r="AR34" s="163">
        <f ca="1">COUNTIF(OFFSET(AC29,0,(Z34-1)*2,8),2)*2+COUNTIF(OFFSET(AB29,0,(Z34-1)*2,8),2)</f>
        <v>0</v>
      </c>
      <c r="AS34" s="163">
        <f ca="1">RANK(CC34,CC29:CC36)*CB34</f>
        <v>0</v>
      </c>
      <c r="AT34" s="151">
        <f t="shared" ca="1" si="42"/>
        <v>0</v>
      </c>
      <c r="AU34" s="151">
        <f t="shared" ca="1" si="43"/>
        <v>0</v>
      </c>
      <c r="AV34" s="152" t="str">
        <f t="shared" ca="1" si="44"/>
        <v/>
      </c>
      <c r="AW34" s="153"/>
      <c r="AX34" s="156">
        <f ca="1">COUNTA(C29:C36)-COUNTBLANK(C29:C36)</f>
        <v>0</v>
      </c>
      <c r="AY34" s="156">
        <f t="shared" ca="1" si="38"/>
        <v>0</v>
      </c>
      <c r="AZ34" s="157">
        <f t="shared" ca="1" si="45"/>
        <v>0</v>
      </c>
      <c r="BA34" s="156">
        <f ca="1">IF(T34=OFFSET(T28,BA28,0),1,0)</f>
        <v>1</v>
      </c>
      <c r="BB34" s="156">
        <f ca="1">IF(T34=OFFSET(T28,BB28,0),1,0)</f>
        <v>1</v>
      </c>
      <c r="BC34" s="156">
        <f ca="1">IF(T34=OFFSET(T28,BC28,0),1,0)</f>
        <v>1</v>
      </c>
      <c r="BD34" s="156">
        <f ca="1">IF(T34=OFFSET(T28,BD28,0),1,0)</f>
        <v>1</v>
      </c>
      <c r="BE34" s="156">
        <f ca="1">IF(T34=OFFSET(T28,BE28,0),1,0)</f>
        <v>1</v>
      </c>
      <c r="BF34" s="156">
        <f ca="1">IF(T34=OFFSET(T28,BF28,0),1,0)</f>
        <v>1</v>
      </c>
      <c r="BG34" s="156">
        <f ca="1">IF(T34=OFFSET(T28,BG28,0),1,0)</f>
        <v>1</v>
      </c>
      <c r="BH34" s="156">
        <f ca="1">IF(T34=OFFSET(T28,BH28,0),1,0)</f>
        <v>1</v>
      </c>
      <c r="BI34" s="156" t="str">
        <f ca="1">OFFSET(C34,0,1+(BI28-1)*2)</f>
        <v/>
      </c>
      <c r="BJ34" s="156" t="str">
        <f ca="1">OFFSET(C34,0,1+(BJ28-1)*2)</f>
        <v/>
      </c>
      <c r="BK34" s="156" t="str">
        <f ca="1">OFFSET(C34,0,1+(BK28-1)*2)</f>
        <v/>
      </c>
      <c r="BL34" s="156" t="str">
        <f ca="1">OFFSET(C34,0,1+(BL28-1)*2)</f>
        <v/>
      </c>
      <c r="BM34" s="156" t="str">
        <f ca="1">OFFSET(C34,0,1+(BM28-1)*2)</f>
        <v/>
      </c>
      <c r="BN34" s="156">
        <f ca="1">OFFSET(C34,0,1+(BN28-1)*2)</f>
        <v>0</v>
      </c>
      <c r="BO34" s="156">
        <f ca="1">OFFSET(C34,0,1+(BO28-1)*2)</f>
        <v>0</v>
      </c>
      <c r="BP34" s="156">
        <f ca="1">OFFSET(C34,0,1+(BP28-1)*2)</f>
        <v>0</v>
      </c>
      <c r="BQ34" s="156" t="str">
        <f t="shared" ca="1" si="46"/>
        <v/>
      </c>
      <c r="BR34" s="156" t="str">
        <f t="shared" ca="1" si="46"/>
        <v/>
      </c>
      <c r="BS34" s="156" t="str">
        <f t="shared" ca="1" si="46"/>
        <v/>
      </c>
      <c r="BT34" s="156" t="str">
        <f t="shared" ca="1" si="46"/>
        <v/>
      </c>
      <c r="BU34" s="156" t="str">
        <f t="shared" ca="1" si="46"/>
        <v/>
      </c>
      <c r="BV34" s="156">
        <f t="shared" ca="1" si="46"/>
        <v>0</v>
      </c>
      <c r="BW34" s="156">
        <f t="shared" ca="1" si="46"/>
        <v>0</v>
      </c>
      <c r="BX34" s="156">
        <f t="shared" ca="1" si="46"/>
        <v>0</v>
      </c>
      <c r="BY34" s="156">
        <f t="shared" ca="1" si="47"/>
        <v>8</v>
      </c>
      <c r="CA34" s="156">
        <f ca="1">COUNTA(AA29:AA36)-COUNTBLANK(AA29:AA36)</f>
        <v>0</v>
      </c>
      <c r="CB34" s="156">
        <f t="shared" ca="1" si="48"/>
        <v>0</v>
      </c>
      <c r="CC34" s="157">
        <f t="shared" ca="1" si="49"/>
        <v>0</v>
      </c>
      <c r="CD34" s="156">
        <f ca="1">IF(AR34=OFFSET(AR28,CD28,0),1,0)</f>
        <v>1</v>
      </c>
      <c r="CE34" s="156">
        <f ca="1">IF(AR34=OFFSET(AR28,CE28,0),1,0)</f>
        <v>1</v>
      </c>
      <c r="CF34" s="156">
        <f ca="1">IF(AR34=OFFSET(AR28,CF28,0),1,0)</f>
        <v>1</v>
      </c>
      <c r="CG34" s="156">
        <f ca="1">IF(AR34=OFFSET(AR28,CG28,0),1,0)</f>
        <v>1</v>
      </c>
      <c r="CH34" s="156">
        <f ca="1">IF(AR34=OFFSET(AR28,CH28,0),1,0)</f>
        <v>1</v>
      </c>
      <c r="CI34" s="156">
        <f ca="1">IF(AR34=OFFSET(AR28,CI28,0),1,0)</f>
        <v>1</v>
      </c>
      <c r="CJ34" s="156">
        <f ca="1">IF(AR34=OFFSET(AR28,CJ28,0),1,0)</f>
        <v>1</v>
      </c>
      <c r="CK34" s="156">
        <f ca="1">IF(AR34=OFFSET(AR28,CK28,0),1,0)</f>
        <v>1</v>
      </c>
      <c r="CL34" s="156" t="str">
        <f ca="1">OFFSET(AA34,0,1+(CL28-1)*2)</f>
        <v/>
      </c>
      <c r="CM34" s="156" t="str">
        <f ca="1">OFFSET(AA34,0,1+(CM28-1)*2)</f>
        <v/>
      </c>
      <c r="CN34" s="156" t="str">
        <f ca="1">OFFSET(AA34,0,1+(CN28-1)*2)</f>
        <v/>
      </c>
      <c r="CO34" s="156" t="str">
        <f ca="1">OFFSET(AA34,0,1+(CO28-1)*2)</f>
        <v/>
      </c>
      <c r="CP34" s="156" t="str">
        <f ca="1">OFFSET(AA34,0,1+(CP28-1)*2)</f>
        <v/>
      </c>
      <c r="CQ34" s="156">
        <f ca="1">OFFSET(AA34,0,1+(CQ28-1)*2)</f>
        <v>0</v>
      </c>
      <c r="CR34" s="156">
        <f ca="1">OFFSET(AA34,0,1+(CR28-1)*2)</f>
        <v>0</v>
      </c>
      <c r="CS34" s="156">
        <f ca="1">OFFSET(AA34,0,1+(CS28-1)*2)</f>
        <v>0</v>
      </c>
      <c r="CT34" s="156" t="str">
        <f ca="1">OFFSET(AA34,0,2+(CT28-1)*2)</f>
        <v/>
      </c>
      <c r="CU34" s="156" t="str">
        <f ca="1">OFFSET(AA34,0,2+(CU28-1)*2)</f>
        <v/>
      </c>
      <c r="CV34" s="156" t="str">
        <f ca="1">OFFSET(AA34,0,2+(CV28-1)*2)</f>
        <v/>
      </c>
      <c r="CW34" s="156" t="str">
        <f ca="1">OFFSET(AA34,0,2+(CW28-1)*2)</f>
        <v/>
      </c>
      <c r="CX34" s="156" t="str">
        <f ca="1">OFFSET(AA34,0,2+(CX28-1)*2)</f>
        <v/>
      </c>
      <c r="CY34" s="156">
        <f ca="1">OFFSET(AA34,0,2+(CY28-1)*2)</f>
        <v>0</v>
      </c>
      <c r="CZ34" s="156">
        <f ca="1">OFFSET(AA34,0,2+(CZ28-1)*2)</f>
        <v>0</v>
      </c>
      <c r="DA34" s="156">
        <f ca="1">OFFSET(AA34,0,2+(DA28-1)*2)</f>
        <v>0</v>
      </c>
      <c r="DB34" s="156">
        <f t="shared" ca="1" si="50"/>
        <v>8</v>
      </c>
      <c r="DE34" s="159"/>
      <c r="DF34" s="159"/>
      <c r="DG34" s="159">
        <v>6</v>
      </c>
      <c r="DH34" s="159">
        <v>8</v>
      </c>
      <c r="DI34" s="123">
        <f t="shared" si="22"/>
        <v>1</v>
      </c>
      <c r="DJ34" s="36" t="str">
        <f ca="1">OFFSET(gr_header,DG34+DE8,1+DF8)</f>
        <v/>
      </c>
      <c r="DK34" s="36" t="str">
        <f ca="1">OFFSET(gr_header,DH34+DE8,1+DF8)</f>
        <v/>
      </c>
      <c r="DL34" s="123">
        <f ca="1">OFFSET(gr_header,DG34+DE8,2*DH34+DF8)</f>
        <v>0</v>
      </c>
      <c r="DM34" s="123">
        <f ca="1">OFFSET(gr_header,DG34+DE8,2*DH34+1+DF8)</f>
        <v>0</v>
      </c>
      <c r="DN34" s="34"/>
      <c r="DO34" s="183">
        <f t="shared" ca="1" si="5"/>
        <v>0</v>
      </c>
      <c r="DP34" s="183">
        <f t="shared" ca="1" si="6"/>
        <v>0</v>
      </c>
      <c r="DQ34" s="183">
        <f t="shared" ca="1" si="7"/>
        <v>0</v>
      </c>
      <c r="DR34" s="183">
        <f t="shared" ca="1" si="8"/>
        <v>0</v>
      </c>
      <c r="DS34" s="182">
        <f t="shared" ca="1" si="9"/>
        <v>0</v>
      </c>
      <c r="DT34" s="182">
        <f t="shared" ca="1" si="10"/>
        <v>0</v>
      </c>
      <c r="DU34" s="182"/>
      <c r="DV34" s="182"/>
      <c r="DW34" s="182"/>
    </row>
    <row r="35" spans="2:127" hidden="1" outlineLevel="1">
      <c r="B35" s="148">
        <v>7</v>
      </c>
      <c r="C35" s="154" t="str">
        <f ca="1">OFFSET(gr_anchor,B35,B28)</f>
        <v/>
      </c>
      <c r="D35" s="150" t="str">
        <f ca="1">IF(OFFSET(D29,D28-1,1+(B35-1)*2)="","",OFFSET(D29,D28-1,1+(B35-1)*2))</f>
        <v/>
      </c>
      <c r="E35" s="150" t="str">
        <f ca="1">IF(OFFSET(D29,D28-1,(B35-1)*2)="","",OFFSET(D29,D28-1,(B35-1)*2))</f>
        <v/>
      </c>
      <c r="F35" s="150" t="str">
        <f ca="1">IF(OFFSET(D29,F28-1,1+(B35-1)*2)="","",OFFSET(D29,F28-1,1+(B35-1)*2))</f>
        <v/>
      </c>
      <c r="G35" s="150" t="str">
        <f ca="1">IF(OFFSET(D29,F28-1,(B35-1)*2)="","",OFFSET(D29,F28-1,(B35-1)*2))</f>
        <v/>
      </c>
      <c r="H35" s="150" t="str">
        <f ca="1">IF(OFFSET(D29,H28-1,1+(B35-1)*2)="","",OFFSET(D29,H28-1,1+(B35-1)*2))</f>
        <v/>
      </c>
      <c r="I35" s="150" t="str">
        <f ca="1">IF(OFFSET(D29,H28-1,(B35-1)*2)="","",OFFSET(D29,H28-1,(B35-1)*2))</f>
        <v/>
      </c>
      <c r="J35" s="150" t="str">
        <f ca="1">IF(OFFSET(D29,J28-1,1+(B35-1)*2)="","",OFFSET(D29,J28-1,1+(B35-1)*2))</f>
        <v/>
      </c>
      <c r="K35" s="150" t="str">
        <f ca="1">IF(OFFSET(D29,J28-1,(B35-1)*2)="","",OFFSET(D29,J28-1,(B35-1)*2))</f>
        <v/>
      </c>
      <c r="L35" s="150" t="str">
        <f ca="1">IF(OFFSET(D29,L28-1,1+(B35-1)*2)="","",OFFSET(D29,L28-1,1+(B35-1)*2))</f>
        <v/>
      </c>
      <c r="M35" s="150" t="str">
        <f ca="1">IF(OFFSET(D29,L28-1,(B35-1)*2)="","",OFFSET(D29,L28-1,(B35-1)*2))</f>
        <v/>
      </c>
      <c r="N35" s="150" t="str">
        <f ca="1">IF(OFFSET(D29,N28-1,1+(B35-1)*2)="","",OFFSET(D29,N28-1,1+(B35-1)*2))</f>
        <v/>
      </c>
      <c r="O35" s="150" t="str">
        <f ca="1">IF(OFFSET(D29,N28-1,(B35-1)*2)="","",OFFSET(D29,N28-1,(B35-1)*2))</f>
        <v/>
      </c>
      <c r="P35" s="155"/>
      <c r="Q35" s="149"/>
      <c r="R35" s="150"/>
      <c r="S35" s="150"/>
      <c r="T35" s="151">
        <f ca="1">COUNTIF(OFFSET(E29,0,(B35-1)*2,8),2)*2+COUNTIF(OFFSET(D29,0,(B35-1)*2,8),2)</f>
        <v>0</v>
      </c>
      <c r="U35" s="151">
        <f ca="1">RANK(AZ35,AZ29:AZ36)*AY35</f>
        <v>0</v>
      </c>
      <c r="V35" s="151">
        <f t="shared" ca="1" si="40"/>
        <v>0</v>
      </c>
      <c r="W35" s="151">
        <f t="shared" ca="1" si="41"/>
        <v>0</v>
      </c>
      <c r="X35" s="152" t="str">
        <f t="shared" ca="1" si="37"/>
        <v/>
      </c>
      <c r="Y35" s="153"/>
      <c r="Z35" s="148">
        <v>7</v>
      </c>
      <c r="AA35" s="154" t="str">
        <f ca="1">OFFSET(gr_anchor,Z35,Z28)</f>
        <v/>
      </c>
      <c r="AB35" s="150" t="str">
        <f ca="1">IF(OFFSET(AB29,AB28-1,1+(Z35-1)*2)="","",OFFSET(AB29,AB28-1,1+(Z35-1)*2))</f>
        <v/>
      </c>
      <c r="AC35" s="150" t="str">
        <f ca="1">IF(OFFSET(AB29,AB28-1,(Z35-1)*2)="","",OFFSET(AB29,AB28-1,(Z35-1)*2))</f>
        <v/>
      </c>
      <c r="AD35" s="150" t="str">
        <f ca="1">IF(OFFSET(AB29,AD28-1,1+(Z35-1)*2)="","",OFFSET(AB29,AD28-1,1+(Z35-1)*2))</f>
        <v/>
      </c>
      <c r="AE35" s="150" t="str">
        <f ca="1">IF(OFFSET(AB29,AD28-1,(Z35-1)*2)="","",OFFSET(AB29,AD28-1,(Z35-1)*2))</f>
        <v/>
      </c>
      <c r="AF35" s="150" t="str">
        <f ca="1">IF(OFFSET(AB29,AF28-1,1+(Z35-1)*2)="","",OFFSET(AB29,AF28-1,1+(Z35-1)*2))</f>
        <v/>
      </c>
      <c r="AG35" s="150" t="str">
        <f ca="1">IF(OFFSET(AB29,AF28-1,(Z35-1)*2)="","",OFFSET(AB29,AF28-1,(Z35-1)*2))</f>
        <v/>
      </c>
      <c r="AH35" s="150" t="str">
        <f ca="1">IF(OFFSET(AB29,AH28-1,1+(Z35-1)*2)="","",OFFSET(AB29,AH28-1,1+(Z35-1)*2))</f>
        <v/>
      </c>
      <c r="AI35" s="150" t="str">
        <f ca="1">IF(OFFSET(AB29,AH28-1,(Z35-1)*2)="","",OFFSET(AB29,AH28-1,(Z35-1)*2))</f>
        <v/>
      </c>
      <c r="AJ35" s="150" t="str">
        <f ca="1">IF(OFFSET(AB29,AJ28-1,1+(Z35-1)*2)="","",OFFSET(AB29,AJ28-1,1+(Z35-1)*2))</f>
        <v/>
      </c>
      <c r="AK35" s="150" t="str">
        <f ca="1">IF(OFFSET(AB29,AJ28-1,(Z35-1)*2)="","",OFFSET(AB29,AJ28-1,(Z35-1)*2))</f>
        <v/>
      </c>
      <c r="AL35" s="150" t="str">
        <f ca="1">IF(OFFSET(AB29,AL28-1,1+(Z35-1)*2)="","",OFFSET(AB29,AL28-1,1+(Z35-1)*2))</f>
        <v/>
      </c>
      <c r="AM35" s="150" t="str">
        <f ca="1">IF(OFFSET(AB29,AL28-1,(Z35-1)*2)="","",OFFSET(AB29,AL28-1,(Z35-1)*2))</f>
        <v/>
      </c>
      <c r="AN35" s="155"/>
      <c r="AO35" s="149"/>
      <c r="AP35" s="150"/>
      <c r="AQ35" s="150"/>
      <c r="AR35" s="151">
        <f ca="1">COUNTIF(OFFSET(AC29,0,(Z35-1)*2,8),2)*2+COUNTIF(OFFSET(AB29,0,(Z35-1)*2,8),2)</f>
        <v>0</v>
      </c>
      <c r="AS35" s="151">
        <f ca="1">RANK(CC35,CC29:CC36)*CB35</f>
        <v>0</v>
      </c>
      <c r="AT35" s="151">
        <f t="shared" ca="1" si="42"/>
        <v>0</v>
      </c>
      <c r="AU35" s="151">
        <f t="shared" ca="1" si="43"/>
        <v>0</v>
      </c>
      <c r="AV35" s="152" t="str">
        <f t="shared" ca="1" si="44"/>
        <v/>
      </c>
      <c r="AW35" s="153"/>
      <c r="AX35" s="156">
        <f ca="1">COUNTA(C29:C36)-COUNTBLANK(C29:C36)</f>
        <v>0</v>
      </c>
      <c r="AY35" s="156">
        <f t="shared" ca="1" si="38"/>
        <v>0</v>
      </c>
      <c r="AZ35" s="157">
        <f t="shared" ca="1" si="45"/>
        <v>0</v>
      </c>
      <c r="BA35" s="156">
        <f ca="1">IF(T35=OFFSET(T28,BA28,0),1,0)</f>
        <v>1</v>
      </c>
      <c r="BB35" s="156">
        <f ca="1">IF(T35=OFFSET(T28,BB28,0),1,0)</f>
        <v>1</v>
      </c>
      <c r="BC35" s="156">
        <f ca="1">IF(T35=OFFSET(T28,BC28,0),1,0)</f>
        <v>1</v>
      </c>
      <c r="BD35" s="156">
        <f ca="1">IF(T35=OFFSET(T28,BD28,0),1,0)</f>
        <v>1</v>
      </c>
      <c r="BE35" s="156">
        <f ca="1">IF(T35=OFFSET(T28,BE28,0),1,0)</f>
        <v>1</v>
      </c>
      <c r="BF35" s="156">
        <f ca="1">IF(T35=OFFSET(T28,BF28,0),1,0)</f>
        <v>1</v>
      </c>
      <c r="BG35" s="156">
        <f ca="1">IF(T35=OFFSET(T28,BG28,0),1,0)</f>
        <v>1</v>
      </c>
      <c r="BH35" s="156">
        <f ca="1">IF(T35=OFFSET(T28,BH28,0),1,0)</f>
        <v>1</v>
      </c>
      <c r="BI35" s="156" t="str">
        <f ca="1">OFFSET(C35,0,1+(BI28-1)*2)</f>
        <v/>
      </c>
      <c r="BJ35" s="156" t="str">
        <f ca="1">OFFSET(C35,0,1+(BJ28-1)*2)</f>
        <v/>
      </c>
      <c r="BK35" s="156" t="str">
        <f ca="1">OFFSET(C35,0,1+(BK28-1)*2)</f>
        <v/>
      </c>
      <c r="BL35" s="156" t="str">
        <f ca="1">OFFSET(C35,0,1+(BL28-1)*2)</f>
        <v/>
      </c>
      <c r="BM35" s="156" t="str">
        <f ca="1">OFFSET(C35,0,1+(BM28-1)*2)</f>
        <v/>
      </c>
      <c r="BN35" s="156" t="str">
        <f ca="1">OFFSET(C35,0,1+(BN28-1)*2)</f>
        <v/>
      </c>
      <c r="BO35" s="156">
        <f ca="1">OFFSET(C35,0,1+(BO28-1)*2)</f>
        <v>0</v>
      </c>
      <c r="BP35" s="156">
        <f ca="1">OFFSET(C35,0,1+(BP28-1)*2)</f>
        <v>0</v>
      </c>
      <c r="BQ35" s="156" t="str">
        <f t="shared" ca="1" si="46"/>
        <v/>
      </c>
      <c r="BR35" s="156" t="str">
        <f t="shared" ca="1" si="46"/>
        <v/>
      </c>
      <c r="BS35" s="156" t="str">
        <f t="shared" ca="1" si="46"/>
        <v/>
      </c>
      <c r="BT35" s="156" t="str">
        <f t="shared" ca="1" si="46"/>
        <v/>
      </c>
      <c r="BU35" s="156" t="str">
        <f t="shared" ca="1" si="46"/>
        <v/>
      </c>
      <c r="BV35" s="156" t="str">
        <f t="shared" ca="1" si="46"/>
        <v/>
      </c>
      <c r="BW35" s="156">
        <f t="shared" ca="1" si="46"/>
        <v>0</v>
      </c>
      <c r="BX35" s="156">
        <f t="shared" ca="1" si="46"/>
        <v>0</v>
      </c>
      <c r="BY35" s="156">
        <f t="shared" ca="1" si="47"/>
        <v>8</v>
      </c>
      <c r="CA35" s="156">
        <f ca="1">COUNTA(AA29:AA36)-COUNTBLANK(AA29:AA36)</f>
        <v>0</v>
      </c>
      <c r="CB35" s="156">
        <f t="shared" ca="1" si="48"/>
        <v>0</v>
      </c>
      <c r="CC35" s="157">
        <f t="shared" ca="1" si="49"/>
        <v>0</v>
      </c>
      <c r="CD35" s="156">
        <f ca="1">IF(AR35=OFFSET(AR28,CD28,0),1,0)</f>
        <v>1</v>
      </c>
      <c r="CE35" s="156">
        <f ca="1">IF(AR35=OFFSET(AR28,CE28,0),1,0)</f>
        <v>1</v>
      </c>
      <c r="CF35" s="156">
        <f ca="1">IF(AR35=OFFSET(AR28,CF28,0),1,0)</f>
        <v>1</v>
      </c>
      <c r="CG35" s="156">
        <f ca="1">IF(AR35=OFFSET(AR28,CG28,0),1,0)</f>
        <v>1</v>
      </c>
      <c r="CH35" s="156">
        <f ca="1">IF(AR35=OFFSET(AR28,CH28,0),1,0)</f>
        <v>1</v>
      </c>
      <c r="CI35" s="156">
        <f ca="1">IF(AR35=OFFSET(AR28,CI28,0),1,0)</f>
        <v>1</v>
      </c>
      <c r="CJ35" s="156">
        <f ca="1">IF(AR35=OFFSET(AR28,CJ28,0),1,0)</f>
        <v>1</v>
      </c>
      <c r="CK35" s="156">
        <f ca="1">IF(AR35=OFFSET(AR28,CK28,0),1,0)</f>
        <v>1</v>
      </c>
      <c r="CL35" s="156" t="str">
        <f ca="1">OFFSET(AA35,0,1+(CL28-1)*2)</f>
        <v/>
      </c>
      <c r="CM35" s="156" t="str">
        <f ca="1">OFFSET(AA35,0,1+(CM28-1)*2)</f>
        <v/>
      </c>
      <c r="CN35" s="156" t="str">
        <f ca="1">OFFSET(AA35,0,1+(CN28-1)*2)</f>
        <v/>
      </c>
      <c r="CO35" s="156" t="str">
        <f ca="1">OFFSET(AA35,0,1+(CO28-1)*2)</f>
        <v/>
      </c>
      <c r="CP35" s="156" t="str">
        <f ca="1">OFFSET(AA35,0,1+(CP28-1)*2)</f>
        <v/>
      </c>
      <c r="CQ35" s="156" t="str">
        <f ca="1">OFFSET(AA35,0,1+(CQ28-1)*2)</f>
        <v/>
      </c>
      <c r="CR35" s="156">
        <f ca="1">OFFSET(AA35,0,1+(CR28-1)*2)</f>
        <v>0</v>
      </c>
      <c r="CS35" s="156">
        <f ca="1">OFFSET(AA35,0,1+(CS28-1)*2)</f>
        <v>0</v>
      </c>
      <c r="CT35" s="156" t="str">
        <f ca="1">OFFSET(AA35,0,2+(CT28-1)*2)</f>
        <v/>
      </c>
      <c r="CU35" s="156" t="str">
        <f ca="1">OFFSET(AA35,0,2+(CU28-1)*2)</f>
        <v/>
      </c>
      <c r="CV35" s="156" t="str">
        <f ca="1">OFFSET(AA35,0,2+(CV28-1)*2)</f>
        <v/>
      </c>
      <c r="CW35" s="156" t="str">
        <f ca="1">OFFSET(AA35,0,2+(CW28-1)*2)</f>
        <v/>
      </c>
      <c r="CX35" s="156" t="str">
        <f ca="1">OFFSET(AA35,0,2+(CX28-1)*2)</f>
        <v/>
      </c>
      <c r="CY35" s="156" t="str">
        <f ca="1">OFFSET(AA35,0,2+(CY28-1)*2)</f>
        <v/>
      </c>
      <c r="CZ35" s="156">
        <f ca="1">OFFSET(AA35,0,2+(CZ28-1)*2)</f>
        <v>0</v>
      </c>
      <c r="DA35" s="156">
        <f ca="1">OFFSET(AA35,0,2+(DA28-1)*2)</f>
        <v>0</v>
      </c>
      <c r="DB35" s="156">
        <f t="shared" ca="1" si="50"/>
        <v>8</v>
      </c>
      <c r="DE35" s="159"/>
      <c r="DF35" s="159"/>
      <c r="DG35" s="159">
        <v>7</v>
      </c>
      <c r="DH35" s="159">
        <v>8</v>
      </c>
      <c r="DI35" s="123">
        <f t="shared" si="22"/>
        <v>1</v>
      </c>
      <c r="DJ35" s="36" t="str">
        <f ca="1">OFFSET(gr_header,DG35+DE8,1+DF8)</f>
        <v/>
      </c>
      <c r="DK35" s="36" t="str">
        <f ca="1">OFFSET(gr_header,DH35+DE8,1+DF8)</f>
        <v/>
      </c>
      <c r="DL35" s="123">
        <f ca="1">OFFSET(gr_header,DG35+DE8,2*DH35+DF8)</f>
        <v>0</v>
      </c>
      <c r="DM35" s="123">
        <f ca="1">OFFSET(gr_header,DG35+DE35,2*DH35+1+DF35)</f>
        <v>0</v>
      </c>
      <c r="DN35" s="34"/>
      <c r="DO35" s="183">
        <f t="shared" ca="1" si="5"/>
        <v>0</v>
      </c>
      <c r="DP35" s="183">
        <f t="shared" ca="1" si="6"/>
        <v>0</v>
      </c>
      <c r="DQ35" s="183">
        <f t="shared" ca="1" si="7"/>
        <v>0</v>
      </c>
      <c r="DR35" s="183">
        <f t="shared" ca="1" si="8"/>
        <v>0</v>
      </c>
      <c r="DS35" s="182">
        <f t="shared" ca="1" si="9"/>
        <v>0</v>
      </c>
      <c r="DT35" s="182">
        <f t="shared" ca="1" si="10"/>
        <v>0</v>
      </c>
      <c r="DU35" s="182"/>
      <c r="DV35" s="182"/>
      <c r="DW35" s="182"/>
    </row>
    <row r="36" spans="2:127" hidden="1" outlineLevel="1">
      <c r="B36" s="148">
        <v>8</v>
      </c>
      <c r="C36" s="154" t="str">
        <f ca="1">OFFSET(gr_anchor,B36,B28)</f>
        <v/>
      </c>
      <c r="D36" s="150" t="str">
        <f ca="1">IF(OFFSET(D29,D28-1,1+(B36-1)*2)="","",OFFSET(D29,D28-1,1+(B36-1)*2))</f>
        <v/>
      </c>
      <c r="E36" s="150" t="str">
        <f ca="1">IF(OFFSET(D29,D28-1,(B36-1)*2)="","",OFFSET(D29,D28-1,(B36-1)*2))</f>
        <v/>
      </c>
      <c r="F36" s="150" t="str">
        <f ca="1">IF(OFFSET(D29,F28-1,1+(B36-1)*2)="","",OFFSET(D29,F28-1,1+(B36-1)*2))</f>
        <v/>
      </c>
      <c r="G36" s="150" t="str">
        <f ca="1">IF(OFFSET(D29,F28-1,(B36-1)*2)="","",OFFSET(D29,F28-1,(B36-1)*2))</f>
        <v/>
      </c>
      <c r="H36" s="150" t="str">
        <f ca="1">IF(OFFSET(D29,H28-1,1+(B36-1)*2)="","",OFFSET(D29,H28-1,1+(B36-1)*2))</f>
        <v/>
      </c>
      <c r="I36" s="150" t="str">
        <f ca="1">IF(OFFSET(D29,H28-1,(B36-1)*2)="","",OFFSET(D29,H28-1,(B36-1)*2))</f>
        <v/>
      </c>
      <c r="J36" s="150" t="str">
        <f ca="1">IF(OFFSET(D29,J28-1,1+(B36-1)*2)="","",OFFSET(D29,J28-1,1+(B36-1)*2))</f>
        <v/>
      </c>
      <c r="K36" s="150" t="str">
        <f ca="1">IF(OFFSET(D29,J28-1,(B36-1)*2)="","",OFFSET(D29,J28-1,(B36-1)*2))</f>
        <v/>
      </c>
      <c r="L36" s="150" t="str">
        <f ca="1">IF(OFFSET(D29,L28-1,1+(B36-1)*2)="","",OFFSET(D29,L28-1,1+(B36-1)*2))</f>
        <v/>
      </c>
      <c r="M36" s="150" t="str">
        <f ca="1">IF(OFFSET(D29,L28-1,(B36-1)*2)="","",OFFSET(D29,L28-1,(B36-1)*2))</f>
        <v/>
      </c>
      <c r="N36" s="150" t="str">
        <f ca="1">IF(OFFSET(D29,N28-1,1+(B36-1)*2)="","",OFFSET(D29,N28-1,1+(B36-1)*2))</f>
        <v/>
      </c>
      <c r="O36" s="150" t="str">
        <f ca="1">IF(OFFSET(D29,N28-1,(B36-1)*2)="","",OFFSET(D29,N28-1,(B36-1)*2))</f>
        <v/>
      </c>
      <c r="P36" s="150" t="str">
        <f ca="1">IF(OFFSET(D29,P28-1,1+(B36-1)*2)="","",OFFSET(D29,P28-1,1+(B36-1)*2))</f>
        <v/>
      </c>
      <c r="Q36" s="150" t="str">
        <f ca="1">IF(OFFSET(D29,P28-1,(B36-1)*2)="","",OFFSET(D29,P28-1,(B36-1)*2))</f>
        <v/>
      </c>
      <c r="R36" s="155"/>
      <c r="S36" s="149"/>
      <c r="T36" s="151">
        <f ca="1">COUNTIF(OFFSET(E29,0,(B36-1)*2,8),2)*2+COUNTIF(OFFSET(D29,0,(B36-1)*2,8),2)</f>
        <v>0</v>
      </c>
      <c r="U36" s="151">
        <f ca="1">RANK(AZ36,AZ29:AZ36)*AY36</f>
        <v>0</v>
      </c>
      <c r="V36" s="151">
        <f t="shared" ca="1" si="40"/>
        <v>0</v>
      </c>
      <c r="W36" s="151">
        <f t="shared" ca="1" si="41"/>
        <v>0</v>
      </c>
      <c r="X36" s="152" t="str">
        <f t="shared" ca="1" si="37"/>
        <v/>
      </c>
      <c r="Y36" s="153"/>
      <c r="Z36" s="148">
        <v>8</v>
      </c>
      <c r="AA36" s="154" t="str">
        <f ca="1">OFFSET(gr_anchor,Z36,Z28)</f>
        <v/>
      </c>
      <c r="AB36" s="150" t="str">
        <f ca="1">IF(OFFSET(AB29,AB28-1,1+(Z36-1)*2)="","",OFFSET(AB29,AB28-1,1+(Z36-1)*2))</f>
        <v/>
      </c>
      <c r="AC36" s="150" t="str">
        <f ca="1">IF(OFFSET(AB29,AB28-1,(Z36-1)*2)="","",OFFSET(AB29,AB28-1,(Z36-1)*2))</f>
        <v/>
      </c>
      <c r="AD36" s="150" t="str">
        <f ca="1">IF(OFFSET(AB29,AD28-1,1+(Z36-1)*2)="","",OFFSET(AB29,AD28-1,1+(Z36-1)*2))</f>
        <v/>
      </c>
      <c r="AE36" s="150" t="str">
        <f ca="1">IF(OFFSET(AB29,AD28-1,(Z36-1)*2)="","",OFFSET(AB29,AD28-1,(Z36-1)*2))</f>
        <v/>
      </c>
      <c r="AF36" s="150" t="str">
        <f ca="1">IF(OFFSET(AB29,AF28-1,1+(Z36-1)*2)="","",OFFSET(AB29,AF28-1,1+(Z36-1)*2))</f>
        <v/>
      </c>
      <c r="AG36" s="150" t="str">
        <f ca="1">IF(OFFSET(AB29,AF28-1,(Z36-1)*2)="","",OFFSET(AB29,AF28-1,(Z36-1)*2))</f>
        <v/>
      </c>
      <c r="AH36" s="150" t="str">
        <f ca="1">IF(OFFSET(AB29,AH28-1,1+(Z36-1)*2)="","",OFFSET(AB29,AH28-1,1+(Z36-1)*2))</f>
        <v/>
      </c>
      <c r="AI36" s="150" t="str">
        <f ca="1">IF(OFFSET(AB29,AH28-1,(Z36-1)*2)="","",OFFSET(AB29,AH28-1,(Z36-1)*2))</f>
        <v/>
      </c>
      <c r="AJ36" s="150" t="str">
        <f ca="1">IF(OFFSET(AB29,AJ28-1,1+(Z36-1)*2)="","",OFFSET(AB29,AJ28-1,1+(Z36-1)*2))</f>
        <v/>
      </c>
      <c r="AK36" s="150" t="str">
        <f ca="1">IF(OFFSET(AB29,AJ28-1,(Z36-1)*2)="","",OFFSET(AB29,AJ28-1,(Z36-1)*2))</f>
        <v/>
      </c>
      <c r="AL36" s="150" t="str">
        <f ca="1">IF(OFFSET(AB29,AL28-1,1+(Z36-1)*2)="","",OFFSET(AB29,AL28-1,1+(Z36-1)*2))</f>
        <v/>
      </c>
      <c r="AM36" s="150" t="str">
        <f ca="1">IF(OFFSET(AB29,AL28-1,(Z36-1)*2)="","",OFFSET(AB29,AL28-1,(Z36-1)*2))</f>
        <v/>
      </c>
      <c r="AN36" s="150" t="str">
        <f ca="1">IF(OFFSET(AB29,AN28-1,1+(Z36-1)*2)="","",OFFSET(AB29,AN28-1,1+(Z36-1)*2))</f>
        <v/>
      </c>
      <c r="AO36" s="150" t="str">
        <f ca="1">IF(OFFSET(AB29,AN28-1,(Z36-1)*2)="","",OFFSET(AB29,AN28-1,(Z36-1)*2))</f>
        <v/>
      </c>
      <c r="AP36" s="155"/>
      <c r="AQ36" s="149"/>
      <c r="AR36" s="151">
        <f ca="1">COUNTIF(OFFSET(AC29,0,(Z36-1)*2,8),2)*2+COUNTIF(OFFSET(AB29,0,(Z36-1)*2,8),2)</f>
        <v>0</v>
      </c>
      <c r="AS36" s="151">
        <f ca="1">RANK(CC36,CC29:CC36)*CB36</f>
        <v>0</v>
      </c>
      <c r="AT36" s="151">
        <f t="shared" ca="1" si="42"/>
        <v>0</v>
      </c>
      <c r="AU36" s="151">
        <f t="shared" ca="1" si="43"/>
        <v>0</v>
      </c>
      <c r="AV36" s="152" t="str">
        <f t="shared" ca="1" si="44"/>
        <v/>
      </c>
      <c r="AW36" s="153"/>
      <c r="AX36" s="156">
        <f ca="1">COUNTA(C29:C36)-COUNTBLANK(C29:C36)</f>
        <v>0</v>
      </c>
      <c r="AY36" s="156">
        <f t="shared" ca="1" si="38"/>
        <v>0</v>
      </c>
      <c r="AZ36" s="157">
        <f t="shared" ca="1" si="45"/>
        <v>0</v>
      </c>
      <c r="BA36" s="156">
        <f ca="1">IF(T36=OFFSET(T28,BA28,0),1,0)</f>
        <v>1</v>
      </c>
      <c r="BB36" s="156">
        <f ca="1">IF(T36=OFFSET(T28,BB28,0),1,0)</f>
        <v>1</v>
      </c>
      <c r="BC36" s="156">
        <f ca="1">IF(T36=OFFSET(T28,BC28,0),1,0)</f>
        <v>1</v>
      </c>
      <c r="BD36" s="156">
        <f ca="1">IF(T36=OFFSET(T28,BD28,0),1,0)</f>
        <v>1</v>
      </c>
      <c r="BE36" s="156">
        <f ca="1">IF(T36=OFFSET(T28,BE28,0),1,0)</f>
        <v>1</v>
      </c>
      <c r="BF36" s="156">
        <f ca="1">IF(T36=OFFSET(T28,BF28,0),1,0)</f>
        <v>1</v>
      </c>
      <c r="BG36" s="156">
        <f ca="1">IF(T36=OFFSET(T28,BG28,0),1,0)</f>
        <v>1</v>
      </c>
      <c r="BH36" s="156">
        <f ca="1">IF(T36=OFFSET(T28,BH28,0),1,0)</f>
        <v>1</v>
      </c>
      <c r="BI36" s="156" t="str">
        <f ca="1">OFFSET(C36,0,1+(BI28-1)*2)</f>
        <v/>
      </c>
      <c r="BJ36" s="156" t="str">
        <f ca="1">OFFSET(C36,0,1+(BJ28-1)*2)</f>
        <v/>
      </c>
      <c r="BK36" s="156" t="str">
        <f ca="1">OFFSET(C36,0,1+(BK28-1)*2)</f>
        <v/>
      </c>
      <c r="BL36" s="156" t="str">
        <f ca="1">OFFSET(C36,0,1+(BL28-1)*2)</f>
        <v/>
      </c>
      <c r="BM36" s="156" t="str">
        <f ca="1">OFFSET(C36,0,1+(BM28-1)*2)</f>
        <v/>
      </c>
      <c r="BN36" s="156" t="str">
        <f ca="1">OFFSET(C36,0,1+(BN28-1)*2)</f>
        <v/>
      </c>
      <c r="BO36" s="156" t="str">
        <f ca="1">OFFSET(C36,0,1+(BO28-1)*2)</f>
        <v/>
      </c>
      <c r="BP36" s="156">
        <f ca="1">OFFSET(C36,0,1+(BP28-1)*2)</f>
        <v>0</v>
      </c>
      <c r="BQ36" s="156" t="str">
        <f t="shared" ca="1" si="46"/>
        <v/>
      </c>
      <c r="BR36" s="156" t="str">
        <f t="shared" ca="1" si="46"/>
        <v/>
      </c>
      <c r="BS36" s="156" t="str">
        <f t="shared" ca="1" si="46"/>
        <v/>
      </c>
      <c r="BT36" s="156" t="str">
        <f t="shared" ca="1" si="46"/>
        <v/>
      </c>
      <c r="BU36" s="156" t="str">
        <f t="shared" ca="1" si="46"/>
        <v/>
      </c>
      <c r="BV36" s="156" t="str">
        <f t="shared" ca="1" si="46"/>
        <v/>
      </c>
      <c r="BW36" s="156" t="str">
        <f t="shared" ca="1" si="46"/>
        <v/>
      </c>
      <c r="BX36" s="156">
        <f t="shared" ca="1" si="46"/>
        <v>0</v>
      </c>
      <c r="BY36" s="156">
        <f t="shared" ca="1" si="47"/>
        <v>8</v>
      </c>
      <c r="CA36" s="156">
        <f ca="1">COUNTA(AA29:AA36)-COUNTBLANK(AA29:AA36)</f>
        <v>0</v>
      </c>
      <c r="CB36" s="156">
        <f t="shared" ca="1" si="48"/>
        <v>0</v>
      </c>
      <c r="CC36" s="157">
        <f t="shared" ca="1" si="49"/>
        <v>0</v>
      </c>
      <c r="CD36" s="156">
        <f ca="1">IF(AR36=OFFSET(AR28,CD28,0),1,0)</f>
        <v>1</v>
      </c>
      <c r="CE36" s="156">
        <f ca="1">IF(AR36=OFFSET(AR28,CE28,0),1,0)</f>
        <v>1</v>
      </c>
      <c r="CF36" s="156">
        <f ca="1">IF(AR36=OFFSET(AR28,CF28,0),1,0)</f>
        <v>1</v>
      </c>
      <c r="CG36" s="156">
        <f ca="1">IF(AR36=OFFSET(AR28,CG28,0),1,0)</f>
        <v>1</v>
      </c>
      <c r="CH36" s="156">
        <f ca="1">IF(AR36=OFFSET(AR28,CH28,0),1,0)</f>
        <v>1</v>
      </c>
      <c r="CI36" s="156">
        <f ca="1">IF(AR36=OFFSET(AR28,CI28,0),1,0)</f>
        <v>1</v>
      </c>
      <c r="CJ36" s="156">
        <f ca="1">IF(AR36=OFFSET(AR28,CJ28,0),1,0)</f>
        <v>1</v>
      </c>
      <c r="CK36" s="156">
        <f ca="1">IF(AR36=OFFSET(AR28,CK28,0),1,0)</f>
        <v>1</v>
      </c>
      <c r="CL36" s="156" t="str">
        <f ca="1">OFFSET(AA36,0,1+(CL28-1)*2)</f>
        <v/>
      </c>
      <c r="CM36" s="156" t="str">
        <f ca="1">OFFSET(AA36,0,1+(CM28-1)*2)</f>
        <v/>
      </c>
      <c r="CN36" s="156" t="str">
        <f ca="1">OFFSET(AA36,0,1+(CN28-1)*2)</f>
        <v/>
      </c>
      <c r="CO36" s="156" t="str">
        <f ca="1">OFFSET(AA36,0,1+(CO28-1)*2)</f>
        <v/>
      </c>
      <c r="CP36" s="156" t="str">
        <f ca="1">OFFSET(AA36,0,1+(CP28-1)*2)</f>
        <v/>
      </c>
      <c r="CQ36" s="156" t="str">
        <f ca="1">OFFSET(AA36,0,1+(CQ28-1)*2)</f>
        <v/>
      </c>
      <c r="CR36" s="156" t="str">
        <f ca="1">OFFSET(AA36,0,1+(CR28-1)*2)</f>
        <v/>
      </c>
      <c r="CS36" s="156">
        <f ca="1">OFFSET(AA36,0,1+(CS28-1)*2)</f>
        <v>0</v>
      </c>
      <c r="CT36" s="156" t="str">
        <f ca="1">OFFSET(AA36,0,2+(CT28-1)*2)</f>
        <v/>
      </c>
      <c r="CU36" s="156" t="str">
        <f ca="1">OFFSET(AA36,0,2+(CU28-1)*2)</f>
        <v/>
      </c>
      <c r="CV36" s="156" t="str">
        <f ca="1">OFFSET(AA36,0,2+(CV28-1)*2)</f>
        <v/>
      </c>
      <c r="CW36" s="156" t="str">
        <f ca="1">OFFSET(AA36,0,2+(CW28-1)*2)</f>
        <v/>
      </c>
      <c r="CX36" s="156" t="str">
        <f ca="1">OFFSET(AA36,0,2+(CX28-1)*2)</f>
        <v/>
      </c>
      <c r="CY36" s="156" t="str">
        <f ca="1">OFFSET(AA36,0,2+(CY28-1)*2)</f>
        <v/>
      </c>
      <c r="CZ36" s="156" t="str">
        <f ca="1">OFFSET(AA36,0,2+(CZ28-1)*2)</f>
        <v/>
      </c>
      <c r="DA36" s="156">
        <f ca="1">OFFSET(AA36,0,2+(DA28-1)*2)</f>
        <v>0</v>
      </c>
      <c r="DB36" s="156">
        <f t="shared" ca="1" si="50"/>
        <v>8</v>
      </c>
      <c r="DE36" s="123">
        <f>DE37*shift1</f>
        <v>0</v>
      </c>
      <c r="DF36" s="123">
        <f>DF37*shift2</f>
        <v>24</v>
      </c>
      <c r="DG36" s="123">
        <v>1</v>
      </c>
      <c r="DH36" s="123">
        <v>2</v>
      </c>
      <c r="DI36" s="147">
        <f>DI8+1</f>
        <v>2</v>
      </c>
      <c r="DJ36" s="36" t="str">
        <f ca="1">OFFSET(gr_header,DG36+DE36,1+DF36)</f>
        <v/>
      </c>
      <c r="DK36" s="36" t="str">
        <f ca="1">OFFSET(gr_header,DH36+DE36,1+DF36)</f>
        <v/>
      </c>
      <c r="DL36" s="123">
        <f ca="1">OFFSET(gr_header,DG36+DE36,2*DH36+DF36)</f>
        <v>0</v>
      </c>
      <c r="DM36" s="123">
        <f ca="1">OFFSET(gr_header,DG36+DE36,2*DH36+1+DF36)</f>
        <v>0</v>
      </c>
      <c r="DO36" s="183">
        <f t="shared" ca="1" si="5"/>
        <v>0</v>
      </c>
      <c r="DP36" s="183">
        <f t="shared" ca="1" si="6"/>
        <v>0</v>
      </c>
      <c r="DQ36" s="183">
        <f t="shared" ca="1" si="7"/>
        <v>0</v>
      </c>
      <c r="DR36" s="183">
        <f t="shared" ca="1" si="8"/>
        <v>0</v>
      </c>
      <c r="DS36" s="182">
        <f t="shared" ca="1" si="9"/>
        <v>0</v>
      </c>
      <c r="DT36" s="182">
        <f t="shared" ca="1" si="10"/>
        <v>0</v>
      </c>
      <c r="DU36" s="182"/>
      <c r="DV36" s="182"/>
      <c r="DW36" s="182"/>
    </row>
    <row r="37" spans="2:127" ht="14.25" collapsed="1" thickBot="1">
      <c r="DE37" s="123">
        <f>INT((DI36-1)/2)</f>
        <v>0</v>
      </c>
      <c r="DF37" s="123">
        <f>1-(INT((DI36+1)/2)*2-DI36)</f>
        <v>1</v>
      </c>
      <c r="DG37" s="123">
        <v>1</v>
      </c>
      <c r="DH37" s="123">
        <v>3</v>
      </c>
      <c r="DI37" s="123">
        <f>DI36</f>
        <v>2</v>
      </c>
      <c r="DJ37" s="36" t="str">
        <f ca="1">OFFSET(gr_header,DG37+DE36,1+DF36)</f>
        <v/>
      </c>
      <c r="DK37" s="36" t="str">
        <f ca="1">OFFSET(gr_header,DH37+DE36,1+DF36)</f>
        <v/>
      </c>
      <c r="DL37" s="123">
        <f ca="1">OFFSET(gr_header,DG37+DE36,2*DH37+DF36)</f>
        <v>0</v>
      </c>
      <c r="DM37" s="123">
        <f ca="1">OFFSET(gr_header,DG37+DE36,2*DH37+1+DF36)</f>
        <v>0</v>
      </c>
      <c r="DO37" s="183">
        <f t="shared" ca="1" si="5"/>
        <v>0</v>
      </c>
      <c r="DP37" s="183">
        <f t="shared" ca="1" si="6"/>
        <v>0</v>
      </c>
      <c r="DQ37" s="183">
        <f t="shared" ca="1" si="7"/>
        <v>0</v>
      </c>
      <c r="DR37" s="183">
        <f t="shared" ca="1" si="8"/>
        <v>0</v>
      </c>
      <c r="DS37" s="182">
        <f t="shared" ca="1" si="9"/>
        <v>0</v>
      </c>
      <c r="DT37" s="182">
        <f t="shared" ca="1" si="10"/>
        <v>0</v>
      </c>
      <c r="DU37" s="182"/>
      <c r="DV37" s="182"/>
      <c r="DW37" s="182"/>
    </row>
    <row r="38" spans="2:127" ht="12" customHeight="1" thickBot="1">
      <c r="B38" s="164">
        <f>B28+2</f>
        <v>7</v>
      </c>
      <c r="C38" s="165" t="s">
        <v>38</v>
      </c>
      <c r="D38" s="205">
        <v>1</v>
      </c>
      <c r="E38" s="204"/>
      <c r="F38" s="203">
        <v>2</v>
      </c>
      <c r="G38" s="204"/>
      <c r="H38" s="203">
        <v>3</v>
      </c>
      <c r="I38" s="204"/>
      <c r="J38" s="203">
        <v>4</v>
      </c>
      <c r="K38" s="204"/>
      <c r="L38" s="203">
        <v>5</v>
      </c>
      <c r="M38" s="204"/>
      <c r="N38" s="200">
        <v>6</v>
      </c>
      <c r="O38" s="201"/>
      <c r="P38" s="200">
        <v>7</v>
      </c>
      <c r="Q38" s="201"/>
      <c r="R38" s="200">
        <v>8</v>
      </c>
      <c r="S38" s="202"/>
      <c r="T38" s="178" t="s">
        <v>88</v>
      </c>
      <c r="U38" s="178" t="s">
        <v>89</v>
      </c>
      <c r="V38" s="199" t="s">
        <v>5</v>
      </c>
      <c r="W38" s="198"/>
      <c r="X38" s="141" t="s">
        <v>6</v>
      </c>
      <c r="Y38" s="142"/>
      <c r="Z38" s="164">
        <f>Z28+2</f>
        <v>8</v>
      </c>
      <c r="AA38" s="165" t="s">
        <v>38</v>
      </c>
      <c r="AB38" s="205">
        <v>1</v>
      </c>
      <c r="AC38" s="204"/>
      <c r="AD38" s="203">
        <v>2</v>
      </c>
      <c r="AE38" s="204"/>
      <c r="AF38" s="203">
        <v>3</v>
      </c>
      <c r="AG38" s="204"/>
      <c r="AH38" s="203">
        <v>4</v>
      </c>
      <c r="AI38" s="204"/>
      <c r="AJ38" s="203">
        <v>5</v>
      </c>
      <c r="AK38" s="204"/>
      <c r="AL38" s="200">
        <v>6</v>
      </c>
      <c r="AM38" s="201"/>
      <c r="AN38" s="200">
        <v>7</v>
      </c>
      <c r="AO38" s="201"/>
      <c r="AP38" s="200">
        <v>8</v>
      </c>
      <c r="AQ38" s="202"/>
      <c r="AR38" s="178" t="s">
        <v>88</v>
      </c>
      <c r="AS38" s="178" t="s">
        <v>89</v>
      </c>
      <c r="AT38" s="199" t="s">
        <v>5</v>
      </c>
      <c r="AU38" s="198"/>
      <c r="AV38" s="141" t="s">
        <v>6</v>
      </c>
      <c r="AW38" s="142"/>
      <c r="AX38" s="143" t="s">
        <v>7</v>
      </c>
      <c r="AY38" s="143" t="s">
        <v>8</v>
      </c>
      <c r="AZ38" s="143" t="s">
        <v>9</v>
      </c>
      <c r="BA38" s="144">
        <v>1</v>
      </c>
      <c r="BB38" s="144">
        <v>2</v>
      </c>
      <c r="BC38" s="144">
        <v>3</v>
      </c>
      <c r="BD38" s="144">
        <v>4</v>
      </c>
      <c r="BE38" s="144">
        <v>5</v>
      </c>
      <c r="BF38" s="144">
        <v>6</v>
      </c>
      <c r="BG38" s="144">
        <v>7</v>
      </c>
      <c r="BH38" s="144">
        <v>8</v>
      </c>
      <c r="BI38" s="145">
        <v>1</v>
      </c>
      <c r="BJ38" s="145">
        <v>2</v>
      </c>
      <c r="BK38" s="145">
        <v>3</v>
      </c>
      <c r="BL38" s="145">
        <v>4</v>
      </c>
      <c r="BM38" s="145">
        <v>5</v>
      </c>
      <c r="BN38" s="145">
        <v>6</v>
      </c>
      <c r="BO38" s="145">
        <v>7</v>
      </c>
      <c r="BP38" s="145">
        <v>8</v>
      </c>
      <c r="BQ38" s="144">
        <v>1</v>
      </c>
      <c r="BR38" s="144">
        <v>2</v>
      </c>
      <c r="BS38" s="144">
        <v>3</v>
      </c>
      <c r="BT38" s="144">
        <v>4</v>
      </c>
      <c r="BU38" s="144">
        <v>5</v>
      </c>
      <c r="BV38" s="144">
        <v>6</v>
      </c>
      <c r="BW38" s="144">
        <v>7</v>
      </c>
      <c r="BX38" s="144">
        <v>8</v>
      </c>
      <c r="BY38" s="146"/>
      <c r="CA38" s="143" t="s">
        <v>7</v>
      </c>
      <c r="CB38" s="143" t="s">
        <v>8</v>
      </c>
      <c r="CC38" s="143" t="s">
        <v>9</v>
      </c>
      <c r="CD38" s="144">
        <v>1</v>
      </c>
      <c r="CE38" s="144">
        <v>2</v>
      </c>
      <c r="CF38" s="144">
        <v>3</v>
      </c>
      <c r="CG38" s="144">
        <v>4</v>
      </c>
      <c r="CH38" s="144">
        <v>5</v>
      </c>
      <c r="CI38" s="144">
        <v>6</v>
      </c>
      <c r="CJ38" s="144">
        <v>7</v>
      </c>
      <c r="CK38" s="144">
        <v>8</v>
      </c>
      <c r="CL38" s="145">
        <v>1</v>
      </c>
      <c r="CM38" s="145">
        <v>2</v>
      </c>
      <c r="CN38" s="145">
        <v>3</v>
      </c>
      <c r="CO38" s="145">
        <v>4</v>
      </c>
      <c r="CP38" s="145">
        <v>5</v>
      </c>
      <c r="CQ38" s="145">
        <v>6</v>
      </c>
      <c r="CR38" s="145">
        <v>7</v>
      </c>
      <c r="CS38" s="145">
        <v>8</v>
      </c>
      <c r="CT38" s="144">
        <v>1</v>
      </c>
      <c r="CU38" s="144">
        <v>2</v>
      </c>
      <c r="CV38" s="144">
        <v>3</v>
      </c>
      <c r="CW38" s="144">
        <v>4</v>
      </c>
      <c r="CX38" s="144">
        <v>5</v>
      </c>
      <c r="CY38" s="144">
        <v>6</v>
      </c>
      <c r="CZ38" s="144">
        <v>7</v>
      </c>
      <c r="DA38" s="144">
        <v>8</v>
      </c>
      <c r="DB38" s="146"/>
      <c r="DG38" s="123">
        <v>1</v>
      </c>
      <c r="DH38" s="123">
        <v>4</v>
      </c>
      <c r="DI38" s="123">
        <f t="shared" ref="DI38:DI63" si="51">DI37</f>
        <v>2</v>
      </c>
      <c r="DJ38" s="36" t="str">
        <f ca="1">OFFSET(gr_header,DG38+DE36,1+DF36)</f>
        <v/>
      </c>
      <c r="DK38" s="36" t="str">
        <f ca="1">OFFSET(gr_header,DH38+DE36,1+DF36)</f>
        <v/>
      </c>
      <c r="DL38" s="123">
        <f ca="1">OFFSET(gr_header,DG38+DE36,2*DH38+DF36)</f>
        <v>0</v>
      </c>
      <c r="DM38" s="123">
        <f ca="1">OFFSET(gr_header,DG38+DE36,2*DH38+1+DF36)</f>
        <v>0</v>
      </c>
      <c r="DO38" s="183">
        <f t="shared" ca="1" si="5"/>
        <v>0</v>
      </c>
      <c r="DP38" s="183">
        <f t="shared" ca="1" si="6"/>
        <v>0</v>
      </c>
      <c r="DQ38" s="183">
        <f t="shared" ca="1" si="7"/>
        <v>0</v>
      </c>
      <c r="DR38" s="183">
        <f t="shared" ca="1" si="8"/>
        <v>0</v>
      </c>
      <c r="DS38" s="182">
        <f t="shared" ca="1" si="9"/>
        <v>0</v>
      </c>
      <c r="DT38" s="182">
        <f t="shared" ca="1" si="10"/>
        <v>0</v>
      </c>
      <c r="DU38" s="182"/>
      <c r="DV38" s="182"/>
      <c r="DW38" s="182"/>
    </row>
    <row r="39" spans="2:127" ht="14.25" thickBot="1">
      <c r="B39" s="166">
        <v>1</v>
      </c>
      <c r="C39" s="167" t="str">
        <f ca="1">OFFSET(gr_anchor,B39,B38)</f>
        <v/>
      </c>
      <c r="D39" s="117"/>
      <c r="E39" s="118"/>
      <c r="F39" s="115"/>
      <c r="G39" s="116"/>
      <c r="H39" s="115"/>
      <c r="I39" s="116"/>
      <c r="J39" s="115"/>
      <c r="K39" s="116"/>
      <c r="L39" s="115"/>
      <c r="M39" s="116"/>
      <c r="N39" s="150"/>
      <c r="O39" s="150"/>
      <c r="P39" s="150"/>
      <c r="Q39" s="150"/>
      <c r="R39" s="150"/>
      <c r="S39" s="174"/>
      <c r="T39" s="177">
        <f ca="1">COUNTIF(OFFSET(E39,0,(B39-1)*2,8),2)*2+COUNTIF(OFFSET(D39,0,(B39-1)*2,8),2)</f>
        <v>0</v>
      </c>
      <c r="U39" s="177">
        <f ca="1">RANK(AZ39,AZ39:AZ46)*AY39</f>
        <v>0</v>
      </c>
      <c r="V39" s="175">
        <f ca="1">SUMPRODUCT(BA39:BH39,BI39:BP39)</f>
        <v>0</v>
      </c>
      <c r="W39" s="151">
        <f ca="1">SUMPRODUCT(BA39:BH39,BQ39:BX39)</f>
        <v>0</v>
      </c>
      <c r="X39" s="152" t="str">
        <f t="shared" ref="X39:X46" ca="1" si="52">IF(BY39=2,IF(W39=0,3,V39/W39),IF(V39=0,"",V39/W39))</f>
        <v/>
      </c>
      <c r="Y39" s="153"/>
      <c r="Z39" s="166">
        <v>1</v>
      </c>
      <c r="AA39" s="167" t="str">
        <f ca="1">OFFSET(gr_anchor,Z39,Z38)</f>
        <v/>
      </c>
      <c r="AB39" s="117"/>
      <c r="AC39" s="118"/>
      <c r="AD39" s="115"/>
      <c r="AE39" s="116"/>
      <c r="AF39" s="115"/>
      <c r="AG39" s="116"/>
      <c r="AH39" s="115"/>
      <c r="AI39" s="116"/>
      <c r="AJ39" s="115"/>
      <c r="AK39" s="116"/>
      <c r="AL39" s="150"/>
      <c r="AM39" s="150"/>
      <c r="AN39" s="150"/>
      <c r="AO39" s="150"/>
      <c r="AP39" s="150"/>
      <c r="AQ39" s="174"/>
      <c r="AR39" s="177">
        <f ca="1">COUNTIF(OFFSET(AC39,0,(Z39-1)*2,8),2)*2+COUNTIF(OFFSET(AB39,0,(Z39-1)*2,8),2)</f>
        <v>0</v>
      </c>
      <c r="AS39" s="177">
        <f ca="1">RANK(CC39,CC39:CC46)*CB39</f>
        <v>0</v>
      </c>
      <c r="AT39" s="175">
        <f ca="1">SUMPRODUCT(CD39:CK39,CL39:CS39)</f>
        <v>0</v>
      </c>
      <c r="AU39" s="151">
        <f ca="1">SUMPRODUCT(CD39:CK39,CT39:DA39)</f>
        <v>0</v>
      </c>
      <c r="AV39" s="152" t="str">
        <f ca="1">IF(DB39=2,IF(AU39=0,3,AT39/AU39),IF(AT39=0,"",AT39/AU39))</f>
        <v/>
      </c>
      <c r="AW39" s="153"/>
      <c r="AX39" s="156">
        <f ca="1">COUNTA(C39:C46)-COUNTBLANK(C39:C46)</f>
        <v>0</v>
      </c>
      <c r="AY39" s="156">
        <f t="shared" ref="AY39:AY46" ca="1" si="53">IF(AX39&lt;B39,0,1)</f>
        <v>0</v>
      </c>
      <c r="AZ39" s="157">
        <f ca="1">T39+IF(X39="",0,X39/100)</f>
        <v>0</v>
      </c>
      <c r="BA39" s="156">
        <f ca="1">IF(T39=OFFSET(T38,BA38,0),1,0)</f>
        <v>1</v>
      </c>
      <c r="BB39" s="156">
        <f ca="1">IF(T39=OFFSET(T38,BB38,0),1,0)</f>
        <v>1</v>
      </c>
      <c r="BC39" s="156">
        <f ca="1">IF(T39=OFFSET(T38,BC38,0),1,0)</f>
        <v>1</v>
      </c>
      <c r="BD39" s="156">
        <f ca="1">IF(T39=OFFSET(T38,BD38,0),1,0)</f>
        <v>1</v>
      </c>
      <c r="BE39" s="156">
        <f ca="1">IF(T39=OFFSET(T38,BE38,0),1,0)</f>
        <v>1</v>
      </c>
      <c r="BF39" s="156">
        <f ca="1">IF(T39=OFFSET(T38,BF38,0),1,0)</f>
        <v>1</v>
      </c>
      <c r="BG39" s="156">
        <f ca="1">IF(T39=OFFSET(T38,BG38,0),1,0)</f>
        <v>1</v>
      </c>
      <c r="BH39" s="156">
        <f ca="1">IF(T39=OFFSET(T38,BH38,0),1,0)</f>
        <v>1</v>
      </c>
      <c r="BI39" s="156">
        <f ca="1">OFFSET(C39,0,1+(BI38-1)*2)</f>
        <v>0</v>
      </c>
      <c r="BJ39" s="156">
        <f ca="1">OFFSET(C39,0,1+(BJ38-1)*2)</f>
        <v>0</v>
      </c>
      <c r="BK39" s="156">
        <f ca="1">OFFSET(C39,0,1+(BK38-1)*2)</f>
        <v>0</v>
      </c>
      <c r="BL39" s="156">
        <f ca="1">OFFSET(C39,0,1+(BL38-1)*2)</f>
        <v>0</v>
      </c>
      <c r="BM39" s="156">
        <f ca="1">OFFSET(C39,0,1+(BM38-1)*2)</f>
        <v>0</v>
      </c>
      <c r="BN39" s="156">
        <f ca="1">OFFSET(C39,0,1+(BN38-1)*2)</f>
        <v>0</v>
      </c>
      <c r="BO39" s="156">
        <f ca="1">OFFSET(C39,0,1+(BO38-1)*2)</f>
        <v>0</v>
      </c>
      <c r="BP39" s="156">
        <f ca="1">OFFSET(C39,0,1+(BP38-1)*2)</f>
        <v>0</v>
      </c>
      <c r="BQ39" s="156">
        <f t="shared" ref="BQ39:BX39" ca="1" si="54">OFFSET($C39,0,2+(BQ$8-1)*2)</f>
        <v>0</v>
      </c>
      <c r="BR39" s="156">
        <f t="shared" ca="1" si="54"/>
        <v>0</v>
      </c>
      <c r="BS39" s="156">
        <f t="shared" ca="1" si="54"/>
        <v>0</v>
      </c>
      <c r="BT39" s="156">
        <f t="shared" ca="1" si="54"/>
        <v>0</v>
      </c>
      <c r="BU39" s="156">
        <f t="shared" ca="1" si="54"/>
        <v>0</v>
      </c>
      <c r="BV39" s="156">
        <f t="shared" ca="1" si="54"/>
        <v>0</v>
      </c>
      <c r="BW39" s="156">
        <f t="shared" ca="1" si="54"/>
        <v>0</v>
      </c>
      <c r="BX39" s="156">
        <f t="shared" ca="1" si="54"/>
        <v>0</v>
      </c>
      <c r="BY39" s="156">
        <f ca="1">SUM(BA39:BH39)</f>
        <v>8</v>
      </c>
      <c r="CA39" s="156">
        <f ca="1">COUNTA(AA39:AA46)-COUNTBLANK(AA39:AA46)</f>
        <v>0</v>
      </c>
      <c r="CB39" s="156">
        <f ca="1">IF(CA39&lt;Z39,0,1)</f>
        <v>0</v>
      </c>
      <c r="CC39" s="157">
        <f ca="1">AR39+IF(AV39="",0,AV39/100)</f>
        <v>0</v>
      </c>
      <c r="CD39" s="156">
        <f ca="1">IF(AR39=OFFSET(AR38,CD38,0),1,0)</f>
        <v>1</v>
      </c>
      <c r="CE39" s="156">
        <f ca="1">IF(AR39=OFFSET(AR38,CE38,0),1,0)</f>
        <v>1</v>
      </c>
      <c r="CF39" s="156">
        <f ca="1">IF(AR39=OFFSET(AR38,CF38,0),1,0)</f>
        <v>1</v>
      </c>
      <c r="CG39" s="156">
        <f ca="1">IF(AR39=OFFSET(AR38,CG38,0),1,0)</f>
        <v>1</v>
      </c>
      <c r="CH39" s="156">
        <f ca="1">IF(AR39=OFFSET(AR38,CH38,0),1,0)</f>
        <v>1</v>
      </c>
      <c r="CI39" s="156">
        <f ca="1">IF(AR39=OFFSET(AR38,CI38,0),1,0)</f>
        <v>1</v>
      </c>
      <c r="CJ39" s="156">
        <f ca="1">IF(AR39=OFFSET(AR38,CJ38,0),1,0)</f>
        <v>1</v>
      </c>
      <c r="CK39" s="156">
        <f ca="1">IF(AR39=OFFSET(AR38,CK38,0),1,0)</f>
        <v>1</v>
      </c>
      <c r="CL39" s="156">
        <f ca="1">OFFSET(AA39,0,1+(CL38-1)*2)</f>
        <v>0</v>
      </c>
      <c r="CM39" s="156">
        <f ca="1">OFFSET(AA39,0,1+(CM38-1)*2)</f>
        <v>0</v>
      </c>
      <c r="CN39" s="156">
        <f ca="1">OFFSET(AA39,0,1+(CN38-1)*2)</f>
        <v>0</v>
      </c>
      <c r="CO39" s="156">
        <f ca="1">OFFSET(AA39,0,1+(CO38-1)*2)</f>
        <v>0</v>
      </c>
      <c r="CP39" s="156">
        <f ca="1">OFFSET(AA39,0,1+(CP38-1)*2)</f>
        <v>0</v>
      </c>
      <c r="CQ39" s="156">
        <f ca="1">OFFSET(AA39,0,1+(CQ38-1)*2)</f>
        <v>0</v>
      </c>
      <c r="CR39" s="156">
        <f ca="1">OFFSET(AA39,0,1+(CR38-1)*2)</f>
        <v>0</v>
      </c>
      <c r="CS39" s="156">
        <f ca="1">OFFSET(AA39,0,1+(CS38-1)*2)</f>
        <v>0</v>
      </c>
      <c r="CT39" s="156">
        <f ca="1">OFFSET(AA39,0,2+(CT38-1)*2)</f>
        <v>0</v>
      </c>
      <c r="CU39" s="156">
        <f ca="1">OFFSET(AA39,0,2+(CU38-1)*2)</f>
        <v>0</v>
      </c>
      <c r="CV39" s="156">
        <f ca="1">OFFSET(AA39,0,2+(CV38-1)*2)</f>
        <v>0</v>
      </c>
      <c r="CW39" s="156">
        <f ca="1">OFFSET(AA39,0,2+(CW38-1)*2)</f>
        <v>0</v>
      </c>
      <c r="CX39" s="156">
        <f ca="1">OFFSET(AA39,0,2+(CX38-1)*2)</f>
        <v>0</v>
      </c>
      <c r="CY39" s="156">
        <f ca="1">OFFSET(AA39,0,2+(CY38-1)*2)</f>
        <v>0</v>
      </c>
      <c r="CZ39" s="156">
        <f ca="1">OFFSET(AA39,0,2+(CZ38-1)*2)</f>
        <v>0</v>
      </c>
      <c r="DA39" s="156">
        <f ca="1">OFFSET(AA39,0,2+(DA38-1)*2)</f>
        <v>0</v>
      </c>
      <c r="DB39" s="156">
        <f ca="1">SUM(CD39:CK39)</f>
        <v>8</v>
      </c>
      <c r="DG39" s="123">
        <v>1</v>
      </c>
      <c r="DH39" s="123">
        <v>5</v>
      </c>
      <c r="DI39" s="123">
        <f t="shared" si="51"/>
        <v>2</v>
      </c>
      <c r="DJ39" s="36" t="str">
        <f ca="1">OFFSET(gr_header,DG39+DE36,1+DF36)</f>
        <v/>
      </c>
      <c r="DK39" s="36" t="str">
        <f ca="1">OFFSET(gr_header,DH39+DE36,1+DF36)</f>
        <v/>
      </c>
      <c r="DL39" s="123">
        <f ca="1">OFFSET(gr_header,DG39+DE36,2*DH39+DF36)</f>
        <v>0</v>
      </c>
      <c r="DM39" s="123">
        <f ca="1">OFFSET(gr_header,DG39+DE36,2*DH39+1+DF36)</f>
        <v>0</v>
      </c>
      <c r="DO39" s="183">
        <f t="shared" ca="1" si="5"/>
        <v>0</v>
      </c>
      <c r="DP39" s="183">
        <f t="shared" ca="1" si="6"/>
        <v>0</v>
      </c>
      <c r="DQ39" s="183">
        <f t="shared" ca="1" si="7"/>
        <v>0</v>
      </c>
      <c r="DR39" s="183">
        <f t="shared" ca="1" si="8"/>
        <v>0</v>
      </c>
      <c r="DS39" s="182">
        <f t="shared" ca="1" si="9"/>
        <v>0</v>
      </c>
      <c r="DT39" s="182">
        <f t="shared" ca="1" si="10"/>
        <v>0</v>
      </c>
      <c r="DU39" s="182"/>
      <c r="DV39" s="182"/>
      <c r="DW39" s="182"/>
    </row>
    <row r="40" spans="2:127" ht="14.25" thickBot="1">
      <c r="B40" s="168">
        <v>2</v>
      </c>
      <c r="C40" s="169" t="str">
        <f ca="1">OFFSET(gr_anchor,B40,B38)</f>
        <v/>
      </c>
      <c r="D40" s="210" t="str">
        <f ca="1">IF(OFFSET(D39,D38-1,1+(B40-1)*2)="","",OFFSET(D39,D38-1,1+(B40-1)*2))</f>
        <v/>
      </c>
      <c r="E40" s="211" t="str">
        <f ca="1">IF(OFFSET(D39,D38-1,(B40-1)*2)="","",OFFSET(D39,D38-1,(B40-1)*2))</f>
        <v/>
      </c>
      <c r="F40" s="117"/>
      <c r="G40" s="118"/>
      <c r="H40" s="119"/>
      <c r="I40" s="120"/>
      <c r="J40" s="119"/>
      <c r="K40" s="120"/>
      <c r="L40" s="119"/>
      <c r="M40" s="120"/>
      <c r="N40" s="150"/>
      <c r="O40" s="150"/>
      <c r="P40" s="150"/>
      <c r="Q40" s="150"/>
      <c r="R40" s="150"/>
      <c r="S40" s="174"/>
      <c r="T40" s="177">
        <f ca="1">COUNTIF(OFFSET(E39,0,(B40-1)*2,8),2)*2+COUNTIF(OFFSET(D39,0,(B40-1)*2,8),2)</f>
        <v>0</v>
      </c>
      <c r="U40" s="177">
        <f ca="1">RANK(AZ40,AZ39:AZ46)*AY40</f>
        <v>0</v>
      </c>
      <c r="V40" s="175">
        <f t="shared" ref="V40:V46" ca="1" si="55">SUMPRODUCT(BA40:BH40,BI40:BP40)</f>
        <v>0</v>
      </c>
      <c r="W40" s="151">
        <f t="shared" ref="W40:W46" ca="1" si="56">SUMPRODUCT(BA40:BH40,BQ40:BX40)</f>
        <v>0</v>
      </c>
      <c r="X40" s="152" t="str">
        <f t="shared" ca="1" si="52"/>
        <v/>
      </c>
      <c r="Y40" s="153"/>
      <c r="Z40" s="168">
        <v>2</v>
      </c>
      <c r="AA40" s="169" t="str">
        <f ca="1">OFFSET(gr_anchor,Z40,Z38)</f>
        <v/>
      </c>
      <c r="AB40" s="210" t="str">
        <f ca="1">IF(OFFSET(AB39,AB38-1,1+(Z40-1)*2)="","",OFFSET(AB39,AB38-1,1+(Z40-1)*2))</f>
        <v/>
      </c>
      <c r="AC40" s="211" t="str">
        <f ca="1">IF(OFFSET(AB39,AB38-1,(Z40-1)*2)="","",OFFSET(AB39,AB38-1,(Z40-1)*2))</f>
        <v/>
      </c>
      <c r="AD40" s="117"/>
      <c r="AE40" s="118"/>
      <c r="AF40" s="119"/>
      <c r="AG40" s="120"/>
      <c r="AH40" s="119"/>
      <c r="AI40" s="120"/>
      <c r="AJ40" s="119"/>
      <c r="AK40" s="120"/>
      <c r="AL40" s="150"/>
      <c r="AM40" s="150"/>
      <c r="AN40" s="150"/>
      <c r="AO40" s="150"/>
      <c r="AP40" s="150"/>
      <c r="AQ40" s="174"/>
      <c r="AR40" s="177">
        <f ca="1">COUNTIF(OFFSET(AC39,0,(Z40-1)*2,8),2)*2+COUNTIF(OFFSET(AB39,0,(Z40-1)*2,8),2)</f>
        <v>0</v>
      </c>
      <c r="AS40" s="177">
        <f ca="1">RANK(CC40,CC39:CC46)*CB40</f>
        <v>0</v>
      </c>
      <c r="AT40" s="175">
        <f t="shared" ref="AT40:AT46" ca="1" si="57">SUMPRODUCT(CD40:CK40,CL40:CS40)</f>
        <v>0</v>
      </c>
      <c r="AU40" s="151">
        <f t="shared" ref="AU40:AU46" ca="1" si="58">SUMPRODUCT(CD40:CK40,CT40:DA40)</f>
        <v>0</v>
      </c>
      <c r="AV40" s="152" t="str">
        <f t="shared" ref="AV40:AV46" ca="1" si="59">IF(DB40=2,IF(AU40=0,3,AT40/AU40),IF(AT40=0,"",AT40/AU40))</f>
        <v/>
      </c>
      <c r="AW40" s="153"/>
      <c r="AX40" s="156">
        <f ca="1">COUNTA(C39:C46)-COUNTBLANK(C39:C46)</f>
        <v>0</v>
      </c>
      <c r="AY40" s="156">
        <f t="shared" ca="1" si="53"/>
        <v>0</v>
      </c>
      <c r="AZ40" s="157">
        <f t="shared" ref="AZ40:AZ46" ca="1" si="60">T40+IF(X40="",0,X40/100)</f>
        <v>0</v>
      </c>
      <c r="BA40" s="156">
        <f ca="1">IF(T40=OFFSET(T38,BA38,0),1,0)</f>
        <v>1</v>
      </c>
      <c r="BB40" s="156">
        <f ca="1">IF(T40=OFFSET(T38,BB38,0),1,0)</f>
        <v>1</v>
      </c>
      <c r="BC40" s="156">
        <f ca="1">IF(T40=OFFSET(T38,BC38,0),1,0)</f>
        <v>1</v>
      </c>
      <c r="BD40" s="156">
        <f ca="1">IF(T40=OFFSET(T38,BD38,0),1,0)</f>
        <v>1</v>
      </c>
      <c r="BE40" s="156">
        <f ca="1">IF(T40=OFFSET(T38,BE38,0),1,0)</f>
        <v>1</v>
      </c>
      <c r="BF40" s="156">
        <f ca="1">IF(T40=OFFSET(T38,BF38,0),1,0)</f>
        <v>1</v>
      </c>
      <c r="BG40" s="156">
        <f ca="1">IF(T40=OFFSET(T38,BG38,0),1,0)</f>
        <v>1</v>
      </c>
      <c r="BH40" s="156">
        <f ca="1">IF(T40=OFFSET(T38,BH38,0),1,0)</f>
        <v>1</v>
      </c>
      <c r="BI40" s="156" t="str">
        <f ca="1">OFFSET(C40,0,1+(BI38-1)*2)</f>
        <v/>
      </c>
      <c r="BJ40" s="156">
        <f ca="1">OFFSET(C40,0,1+(BJ38-1)*2)</f>
        <v>0</v>
      </c>
      <c r="BK40" s="156">
        <f ca="1">OFFSET(C40,0,1+(BK38-1)*2)</f>
        <v>0</v>
      </c>
      <c r="BL40" s="156">
        <f ca="1">OFFSET(C40,0,1+(BL38-1)*2)</f>
        <v>0</v>
      </c>
      <c r="BM40" s="156">
        <f ca="1">OFFSET(C40,0,1+(BM38-1)*2)</f>
        <v>0</v>
      </c>
      <c r="BN40" s="156">
        <f ca="1">OFFSET(C40,0,1+(BN38-1)*2)</f>
        <v>0</v>
      </c>
      <c r="BO40" s="156">
        <f ca="1">OFFSET(C40,0,1+(BO38-1)*2)</f>
        <v>0</v>
      </c>
      <c r="BP40" s="156">
        <f ca="1">OFFSET(C40,0,1+(BP38-1)*2)</f>
        <v>0</v>
      </c>
      <c r="BQ40" s="156" t="str">
        <f t="shared" ref="BQ40:BX46" ca="1" si="61">OFFSET($C40,0,2+(BQ$8-1)*2)</f>
        <v/>
      </c>
      <c r="BR40" s="156">
        <f t="shared" ca="1" si="61"/>
        <v>0</v>
      </c>
      <c r="BS40" s="156">
        <f t="shared" ca="1" si="61"/>
        <v>0</v>
      </c>
      <c r="BT40" s="156">
        <f t="shared" ca="1" si="61"/>
        <v>0</v>
      </c>
      <c r="BU40" s="156">
        <f t="shared" ca="1" si="61"/>
        <v>0</v>
      </c>
      <c r="BV40" s="156">
        <f t="shared" ca="1" si="61"/>
        <v>0</v>
      </c>
      <c r="BW40" s="156">
        <f t="shared" ca="1" si="61"/>
        <v>0</v>
      </c>
      <c r="BX40" s="156">
        <f t="shared" ca="1" si="61"/>
        <v>0</v>
      </c>
      <c r="BY40" s="156">
        <f t="shared" ref="BY40:BY46" ca="1" si="62">SUM(BA40:BH40)</f>
        <v>8</v>
      </c>
      <c r="CA40" s="156">
        <f ca="1">COUNTA(AA39:AA46)-COUNTBLANK(AA39:AA46)</f>
        <v>0</v>
      </c>
      <c r="CB40" s="156">
        <f t="shared" ref="CB40:CB46" ca="1" si="63">IF(CA40&lt;Z40,0,1)</f>
        <v>0</v>
      </c>
      <c r="CC40" s="157">
        <f t="shared" ref="CC40:CC46" ca="1" si="64">AR40+IF(AV40="",0,AV40/100)</f>
        <v>0</v>
      </c>
      <c r="CD40" s="156">
        <f ca="1">IF(AR40=OFFSET(AR38,CD38,0),1,0)</f>
        <v>1</v>
      </c>
      <c r="CE40" s="156">
        <f ca="1">IF(AR40=OFFSET(AR38,CE38,0),1,0)</f>
        <v>1</v>
      </c>
      <c r="CF40" s="156">
        <f ca="1">IF(AR40=OFFSET(AR38,CF38,0),1,0)</f>
        <v>1</v>
      </c>
      <c r="CG40" s="156">
        <f ca="1">IF(AR40=OFFSET(AR38,CG38,0),1,0)</f>
        <v>1</v>
      </c>
      <c r="CH40" s="156">
        <f ca="1">IF(AR40=OFFSET(AR38,CH38,0),1,0)</f>
        <v>1</v>
      </c>
      <c r="CI40" s="156">
        <f ca="1">IF(AR40=OFFSET(AR38,CI38,0),1,0)</f>
        <v>1</v>
      </c>
      <c r="CJ40" s="156">
        <f ca="1">IF(AR40=OFFSET(AR38,CJ38,0),1,0)</f>
        <v>1</v>
      </c>
      <c r="CK40" s="156">
        <f ca="1">IF(AR40=OFFSET(AR38,CK38,0),1,0)</f>
        <v>1</v>
      </c>
      <c r="CL40" s="156" t="str">
        <f ca="1">OFFSET(AA40,0,1+(CL38-1)*2)</f>
        <v/>
      </c>
      <c r="CM40" s="156">
        <f ca="1">OFFSET(AA40,0,1+(CM38-1)*2)</f>
        <v>0</v>
      </c>
      <c r="CN40" s="156">
        <f ca="1">OFFSET(AA40,0,1+(CN38-1)*2)</f>
        <v>0</v>
      </c>
      <c r="CO40" s="156">
        <f ca="1">OFFSET(AA40,0,1+(CO38-1)*2)</f>
        <v>0</v>
      </c>
      <c r="CP40" s="156">
        <f ca="1">OFFSET(AA40,0,1+(CP38-1)*2)</f>
        <v>0</v>
      </c>
      <c r="CQ40" s="156">
        <f ca="1">OFFSET(AA40,0,1+(CQ38-1)*2)</f>
        <v>0</v>
      </c>
      <c r="CR40" s="156">
        <f ca="1">OFFSET(AA40,0,1+(CR38-1)*2)</f>
        <v>0</v>
      </c>
      <c r="CS40" s="156">
        <f ca="1">OFFSET(AA40,0,1+(CS38-1)*2)</f>
        <v>0</v>
      </c>
      <c r="CT40" s="156" t="str">
        <f ca="1">OFFSET(AA40,0,2+(CT38-1)*2)</f>
        <v/>
      </c>
      <c r="CU40" s="156">
        <f ca="1">OFFSET(AA40,0,2+(CU38-1)*2)</f>
        <v>0</v>
      </c>
      <c r="CV40" s="156">
        <f ca="1">OFFSET(AA40,0,2+(CV38-1)*2)</f>
        <v>0</v>
      </c>
      <c r="CW40" s="156">
        <f ca="1">OFFSET(AA40,0,2+(CW38-1)*2)</f>
        <v>0</v>
      </c>
      <c r="CX40" s="156">
        <f ca="1">OFFSET(AA40,0,2+(CX38-1)*2)</f>
        <v>0</v>
      </c>
      <c r="CY40" s="156">
        <f ca="1">OFFSET(AA40,0,2+(CY38-1)*2)</f>
        <v>0</v>
      </c>
      <c r="CZ40" s="156">
        <f ca="1">OFFSET(AA40,0,2+(CZ38-1)*2)</f>
        <v>0</v>
      </c>
      <c r="DA40" s="156">
        <f ca="1">OFFSET(AA40,0,2+(DA38-1)*2)</f>
        <v>0</v>
      </c>
      <c r="DB40" s="156">
        <f t="shared" ref="DB40:DB46" ca="1" si="65">SUM(CD40:CK40)</f>
        <v>8</v>
      </c>
      <c r="DG40" s="123">
        <v>1</v>
      </c>
      <c r="DH40" s="123">
        <v>6</v>
      </c>
      <c r="DI40" s="123">
        <f t="shared" si="51"/>
        <v>2</v>
      </c>
      <c r="DJ40" s="36" t="str">
        <f ca="1">OFFSET(gr_header,DG40+DE36,1+DF36)</f>
        <v/>
      </c>
      <c r="DK40" s="36" t="str">
        <f ca="1">OFFSET(gr_header,DH40+DE36,1+DF36)</f>
        <v/>
      </c>
      <c r="DL40" s="123">
        <f ca="1">OFFSET(gr_header,DG40+DE36,2*DH40+DF36)</f>
        <v>0</v>
      </c>
      <c r="DM40" s="123">
        <f ca="1">OFFSET(gr_header,DG40+DE36,2*DH40+1+DF36)</f>
        <v>0</v>
      </c>
      <c r="DO40" s="183">
        <f t="shared" ca="1" si="5"/>
        <v>0</v>
      </c>
      <c r="DP40" s="183">
        <f t="shared" ca="1" si="6"/>
        <v>0</v>
      </c>
      <c r="DQ40" s="183">
        <f t="shared" ca="1" si="7"/>
        <v>0</v>
      </c>
      <c r="DR40" s="183">
        <f t="shared" ca="1" si="8"/>
        <v>0</v>
      </c>
      <c r="DS40" s="182">
        <f t="shared" ca="1" si="9"/>
        <v>0</v>
      </c>
      <c r="DT40" s="182">
        <f t="shared" ca="1" si="10"/>
        <v>0</v>
      </c>
      <c r="DU40" s="182"/>
      <c r="DV40" s="182"/>
      <c r="DW40" s="182"/>
    </row>
    <row r="41" spans="2:127" ht="14.25" thickBot="1">
      <c r="B41" s="168">
        <v>3</v>
      </c>
      <c r="C41" s="169" t="str">
        <f ca="1">OFFSET(gr_anchor,B41,B38)</f>
        <v/>
      </c>
      <c r="D41" s="210" t="str">
        <f ca="1">IF(OFFSET(D39,D38-1,1+(B41-1)*2)="","",OFFSET(D39,D38-1,1+(B41-1)*2))</f>
        <v/>
      </c>
      <c r="E41" s="211" t="str">
        <f ca="1">IF(OFFSET(D39,D38-1,(B41-1)*2)="","",OFFSET(D39,D38-1,(B41-1)*2))</f>
        <v/>
      </c>
      <c r="F41" s="210" t="str">
        <f ca="1">IF(OFFSET(D39,F38-1,1+(B41-1)*2)="","",OFFSET(D39,F38-1,1+(B41-1)*2))</f>
        <v/>
      </c>
      <c r="G41" s="211" t="str">
        <f ca="1">IF(OFFSET(D39,F38-1,(B41-1)*2)="","",OFFSET(D39,F38-1,(B41-1)*2))</f>
        <v/>
      </c>
      <c r="H41" s="170"/>
      <c r="I41" s="118"/>
      <c r="J41" s="119"/>
      <c r="K41" s="120"/>
      <c r="L41" s="119"/>
      <c r="M41" s="120"/>
      <c r="N41" s="150"/>
      <c r="O41" s="150"/>
      <c r="P41" s="150"/>
      <c r="Q41" s="150"/>
      <c r="R41" s="150"/>
      <c r="S41" s="174"/>
      <c r="T41" s="177">
        <f ca="1">COUNTIF(OFFSET(E39,0,(B41-1)*2,8),2)*2+COUNTIF(OFFSET(D39,0,(B41-1)*2,8),2)</f>
        <v>0</v>
      </c>
      <c r="U41" s="177">
        <f ca="1">RANK(AZ41,AZ39:AZ46)*AY41</f>
        <v>0</v>
      </c>
      <c r="V41" s="175">
        <f t="shared" ca="1" si="55"/>
        <v>0</v>
      </c>
      <c r="W41" s="151">
        <f t="shared" ca="1" si="56"/>
        <v>0</v>
      </c>
      <c r="X41" s="152" t="str">
        <f t="shared" ca="1" si="52"/>
        <v/>
      </c>
      <c r="Y41" s="153"/>
      <c r="Z41" s="168">
        <v>3</v>
      </c>
      <c r="AA41" s="169" t="str">
        <f ca="1">OFFSET(gr_anchor,Z41,Z38)</f>
        <v/>
      </c>
      <c r="AB41" s="210" t="str">
        <f ca="1">IF(OFFSET(AB39,AB38-1,1+(Z41-1)*2)="","",OFFSET(AB39,AB38-1,1+(Z41-1)*2))</f>
        <v/>
      </c>
      <c r="AC41" s="211" t="str">
        <f ca="1">IF(OFFSET(AB39,AB38-1,(Z41-1)*2)="","",OFFSET(AB39,AB38-1,(Z41-1)*2))</f>
        <v/>
      </c>
      <c r="AD41" s="210" t="str">
        <f ca="1">IF(OFFSET(AB39,AD38-1,1+(Z41-1)*2)="","",OFFSET(AB39,AD38-1,1+(Z41-1)*2))</f>
        <v/>
      </c>
      <c r="AE41" s="211" t="str">
        <f ca="1">IF(OFFSET(AB39,AD38-1,(Z41-1)*2)="","",OFFSET(AB39,AD38-1,(Z41-1)*2))</f>
        <v/>
      </c>
      <c r="AF41" s="170"/>
      <c r="AG41" s="118"/>
      <c r="AH41" s="119"/>
      <c r="AI41" s="120"/>
      <c r="AJ41" s="119"/>
      <c r="AK41" s="120"/>
      <c r="AL41" s="150"/>
      <c r="AM41" s="150"/>
      <c r="AN41" s="150"/>
      <c r="AO41" s="150"/>
      <c r="AP41" s="150"/>
      <c r="AQ41" s="174"/>
      <c r="AR41" s="177">
        <f ca="1">COUNTIF(OFFSET(AC39,0,(Z41-1)*2,8),2)*2+COUNTIF(OFFSET(AB39,0,(Z41-1)*2,8),2)</f>
        <v>0</v>
      </c>
      <c r="AS41" s="177">
        <f ca="1">RANK(CC41,CC39:CC46)*CB41</f>
        <v>0</v>
      </c>
      <c r="AT41" s="175">
        <f t="shared" ca="1" si="57"/>
        <v>0</v>
      </c>
      <c r="AU41" s="151">
        <f t="shared" ca="1" si="58"/>
        <v>0</v>
      </c>
      <c r="AV41" s="152" t="str">
        <f t="shared" ca="1" si="59"/>
        <v/>
      </c>
      <c r="AW41" s="153"/>
      <c r="AX41" s="156">
        <f ca="1">COUNTA(C39:C46)-COUNTBLANK(C39:C46)</f>
        <v>0</v>
      </c>
      <c r="AY41" s="156">
        <f t="shared" ca="1" si="53"/>
        <v>0</v>
      </c>
      <c r="AZ41" s="157">
        <f t="shared" ca="1" si="60"/>
        <v>0</v>
      </c>
      <c r="BA41" s="156">
        <f ca="1">IF(T41=OFFSET(T38,BA38,0),1,0)</f>
        <v>1</v>
      </c>
      <c r="BB41" s="156">
        <f ca="1">IF(T41=OFFSET(T38,BB38,0),1,0)</f>
        <v>1</v>
      </c>
      <c r="BC41" s="156">
        <f ca="1">IF(T41=OFFSET(T38,BC38,0),1,0)</f>
        <v>1</v>
      </c>
      <c r="BD41" s="156">
        <f ca="1">IF(T41=OFFSET(T38,BD38,0),1,0)</f>
        <v>1</v>
      </c>
      <c r="BE41" s="156">
        <f ca="1">IF(T41=OFFSET(T38,BE38,0),1,0)</f>
        <v>1</v>
      </c>
      <c r="BF41" s="156">
        <f ca="1">IF(T41=OFFSET(T38,BF38,0),1,0)</f>
        <v>1</v>
      </c>
      <c r="BG41" s="156">
        <f ca="1">IF(T41=OFFSET(T38,BG38,0),1,0)</f>
        <v>1</v>
      </c>
      <c r="BH41" s="156">
        <f ca="1">IF(T41=OFFSET(T38,BH38,0),1,0)</f>
        <v>1</v>
      </c>
      <c r="BI41" s="156" t="str">
        <f ca="1">OFFSET(C41,0,1+(BI38-1)*2)</f>
        <v/>
      </c>
      <c r="BJ41" s="156" t="str">
        <f ca="1">OFFSET(C41,0,1+(BJ38-1)*2)</f>
        <v/>
      </c>
      <c r="BK41" s="156">
        <f ca="1">OFFSET(C41,0,1+(BK38-1)*2)</f>
        <v>0</v>
      </c>
      <c r="BL41" s="156">
        <f ca="1">OFFSET(C41,0,1+(BL38-1)*2)</f>
        <v>0</v>
      </c>
      <c r="BM41" s="156">
        <f ca="1">OFFSET(C41,0,1+(BM38-1)*2)</f>
        <v>0</v>
      </c>
      <c r="BN41" s="156">
        <f ca="1">OFFSET(C41,0,1+(BN38-1)*2)</f>
        <v>0</v>
      </c>
      <c r="BO41" s="156">
        <f ca="1">OFFSET(C41,0,1+(BO38-1)*2)</f>
        <v>0</v>
      </c>
      <c r="BP41" s="156">
        <f ca="1">OFFSET(C41,0,1+(BP38-1)*2)</f>
        <v>0</v>
      </c>
      <c r="BQ41" s="156" t="str">
        <f t="shared" ca="1" si="61"/>
        <v/>
      </c>
      <c r="BR41" s="156" t="str">
        <f t="shared" ca="1" si="61"/>
        <v/>
      </c>
      <c r="BS41" s="156">
        <f t="shared" ca="1" si="61"/>
        <v>0</v>
      </c>
      <c r="BT41" s="156">
        <f t="shared" ca="1" si="61"/>
        <v>0</v>
      </c>
      <c r="BU41" s="156">
        <f t="shared" ca="1" si="61"/>
        <v>0</v>
      </c>
      <c r="BV41" s="156">
        <f t="shared" ca="1" si="61"/>
        <v>0</v>
      </c>
      <c r="BW41" s="156">
        <f t="shared" ca="1" si="61"/>
        <v>0</v>
      </c>
      <c r="BX41" s="156">
        <f t="shared" ca="1" si="61"/>
        <v>0</v>
      </c>
      <c r="BY41" s="156">
        <f t="shared" ca="1" si="62"/>
        <v>8</v>
      </c>
      <c r="CA41" s="156">
        <f ca="1">COUNTA(AA39:AA46)-COUNTBLANK(AA39:AA46)</f>
        <v>0</v>
      </c>
      <c r="CB41" s="156">
        <f t="shared" ca="1" si="63"/>
        <v>0</v>
      </c>
      <c r="CC41" s="157">
        <f t="shared" ca="1" si="64"/>
        <v>0</v>
      </c>
      <c r="CD41" s="156">
        <f ca="1">IF(AR41=OFFSET(AR38,CD38,0),1,0)</f>
        <v>1</v>
      </c>
      <c r="CE41" s="156">
        <f ca="1">IF(AR41=OFFSET(AR38,CE38,0),1,0)</f>
        <v>1</v>
      </c>
      <c r="CF41" s="156">
        <f ca="1">IF(AR41=OFFSET(AR38,CF38,0),1,0)</f>
        <v>1</v>
      </c>
      <c r="CG41" s="156">
        <f ca="1">IF(AR41=OFFSET(AR38,CG38,0),1,0)</f>
        <v>1</v>
      </c>
      <c r="CH41" s="156">
        <f ca="1">IF(AR41=OFFSET(AR38,CH38,0),1,0)</f>
        <v>1</v>
      </c>
      <c r="CI41" s="156">
        <f ca="1">IF(AR41=OFFSET(AR38,CI38,0),1,0)</f>
        <v>1</v>
      </c>
      <c r="CJ41" s="156">
        <f ca="1">IF(AR41=OFFSET(AR38,CJ38,0),1,0)</f>
        <v>1</v>
      </c>
      <c r="CK41" s="156">
        <f ca="1">IF(AR41=OFFSET(AR38,CK38,0),1,0)</f>
        <v>1</v>
      </c>
      <c r="CL41" s="156" t="str">
        <f ca="1">OFFSET(AA41,0,1+(CL38-1)*2)</f>
        <v/>
      </c>
      <c r="CM41" s="156" t="str">
        <f ca="1">OFFSET(AA41,0,1+(CM38-1)*2)</f>
        <v/>
      </c>
      <c r="CN41" s="156">
        <f ca="1">OFFSET(AA41,0,1+(CN38-1)*2)</f>
        <v>0</v>
      </c>
      <c r="CO41" s="156">
        <f ca="1">OFFSET(AA41,0,1+(CO38-1)*2)</f>
        <v>0</v>
      </c>
      <c r="CP41" s="156">
        <f ca="1">OFFSET(AA41,0,1+(CP38-1)*2)</f>
        <v>0</v>
      </c>
      <c r="CQ41" s="156">
        <f ca="1">OFFSET(AA41,0,1+(CQ38-1)*2)</f>
        <v>0</v>
      </c>
      <c r="CR41" s="156">
        <f ca="1">OFFSET(AA41,0,1+(CR38-1)*2)</f>
        <v>0</v>
      </c>
      <c r="CS41" s="156">
        <f ca="1">OFFSET(AA41,0,1+(CS38-1)*2)</f>
        <v>0</v>
      </c>
      <c r="CT41" s="156" t="str">
        <f ca="1">OFFSET(AA41,0,2+(CT38-1)*2)</f>
        <v/>
      </c>
      <c r="CU41" s="156" t="str">
        <f ca="1">OFFSET(AA41,0,2+(CU38-1)*2)</f>
        <v/>
      </c>
      <c r="CV41" s="156">
        <f ca="1">OFFSET(AA41,0,2+(CV38-1)*2)</f>
        <v>0</v>
      </c>
      <c r="CW41" s="156">
        <f ca="1">OFFSET(AA41,0,2+(CW38-1)*2)</f>
        <v>0</v>
      </c>
      <c r="CX41" s="156">
        <f ca="1">OFFSET(AA41,0,2+(CX38-1)*2)</f>
        <v>0</v>
      </c>
      <c r="CY41" s="156">
        <f ca="1">OFFSET(AA41,0,2+(CY38-1)*2)</f>
        <v>0</v>
      </c>
      <c r="CZ41" s="156">
        <f ca="1">OFFSET(AA41,0,2+(CZ38-1)*2)</f>
        <v>0</v>
      </c>
      <c r="DA41" s="156">
        <f ca="1">OFFSET(AA41,0,2+(DA38-1)*2)</f>
        <v>0</v>
      </c>
      <c r="DB41" s="156">
        <f t="shared" ca="1" si="65"/>
        <v>8</v>
      </c>
      <c r="DG41" s="123">
        <v>1</v>
      </c>
      <c r="DH41" s="123">
        <v>7</v>
      </c>
      <c r="DI41" s="123">
        <f t="shared" si="51"/>
        <v>2</v>
      </c>
      <c r="DJ41" s="36" t="str">
        <f ca="1">OFFSET(gr_header,DG41+DE36,1+DF36)</f>
        <v/>
      </c>
      <c r="DK41" s="36" t="str">
        <f ca="1">OFFSET(gr_header,DH41+DE36,1+DF36)</f>
        <v/>
      </c>
      <c r="DL41" s="123">
        <f ca="1">OFFSET(gr_header,DG41+DE36,2*DH41+DF36)</f>
        <v>0</v>
      </c>
      <c r="DM41" s="123">
        <f ca="1">OFFSET(gr_header,DG41+DE36,2*DH41+1+DF36)</f>
        <v>0</v>
      </c>
      <c r="DO41" s="183">
        <f t="shared" ca="1" si="5"/>
        <v>0</v>
      </c>
      <c r="DP41" s="183">
        <f t="shared" ca="1" si="6"/>
        <v>0</v>
      </c>
      <c r="DQ41" s="183">
        <f t="shared" ca="1" si="7"/>
        <v>0</v>
      </c>
      <c r="DR41" s="183">
        <f t="shared" ca="1" si="8"/>
        <v>0</v>
      </c>
      <c r="DS41" s="182">
        <f t="shared" ca="1" si="9"/>
        <v>0</v>
      </c>
      <c r="DT41" s="182">
        <f t="shared" ca="1" si="10"/>
        <v>0</v>
      </c>
      <c r="DU41" s="182"/>
      <c r="DV41" s="182"/>
      <c r="DW41" s="182"/>
    </row>
    <row r="42" spans="2:127" ht="14.25" thickBot="1">
      <c r="B42" s="168">
        <v>4</v>
      </c>
      <c r="C42" s="169" t="str">
        <f ca="1">OFFSET(gr_anchor,B42,B38)</f>
        <v/>
      </c>
      <c r="D42" s="210" t="str">
        <f ca="1">IF(OFFSET(D39,D38-1,1+(B42-1)*2)="","",OFFSET(D39,D38-1,1+(B42-1)*2))</f>
        <v/>
      </c>
      <c r="E42" s="211" t="str">
        <f ca="1">IF(OFFSET(D39,D38-1,(B42-1)*2)="","",OFFSET(D39,D38-1,(B42-1)*2))</f>
        <v/>
      </c>
      <c r="F42" s="210" t="str">
        <f ca="1">IF(OFFSET(D39,F38-1,1+(B42-1)*2)="","",OFFSET(D39,F38-1,1+(B42-1)*2))</f>
        <v/>
      </c>
      <c r="G42" s="211" t="str">
        <f ca="1">IF(OFFSET(D39,F38-1,(B42-1)*2)="","",OFFSET(D39,F38-1,(B42-1)*2))</f>
        <v/>
      </c>
      <c r="H42" s="210" t="str">
        <f ca="1">IF(OFFSET(D39,H38-1,1+(B42-1)*2)="","",OFFSET(D39,H38-1,1+(B42-1)*2))</f>
        <v/>
      </c>
      <c r="I42" s="211" t="str">
        <f ca="1">IF(OFFSET(D39,H38-1,(B42-1)*2)="","",OFFSET(D39,H38-1,(B42-1)*2))</f>
        <v/>
      </c>
      <c r="J42" s="170"/>
      <c r="K42" s="118"/>
      <c r="L42" s="119"/>
      <c r="M42" s="120"/>
      <c r="N42" s="150"/>
      <c r="O42" s="150"/>
      <c r="P42" s="150"/>
      <c r="Q42" s="150"/>
      <c r="R42" s="150"/>
      <c r="S42" s="174"/>
      <c r="T42" s="177">
        <f ca="1">COUNTIF(OFFSET(E39,0,(B42-1)*2,8),2)*2+COUNTIF(OFFSET(D39,0,(B42-1)*2,8),2)</f>
        <v>0</v>
      </c>
      <c r="U42" s="177">
        <f ca="1">RANK(AZ42,AZ39:AZ46)*AY42</f>
        <v>0</v>
      </c>
      <c r="V42" s="175">
        <f t="shared" ca="1" si="55"/>
        <v>0</v>
      </c>
      <c r="W42" s="151">
        <f t="shared" ca="1" si="56"/>
        <v>0</v>
      </c>
      <c r="X42" s="152" t="str">
        <f t="shared" ca="1" si="52"/>
        <v/>
      </c>
      <c r="Y42" s="153"/>
      <c r="Z42" s="168">
        <v>4</v>
      </c>
      <c r="AA42" s="169" t="str">
        <f ca="1">OFFSET(gr_anchor,Z42,Z38)</f>
        <v/>
      </c>
      <c r="AB42" s="210" t="str">
        <f ca="1">IF(OFFSET(AB39,AB38-1,1+(Z42-1)*2)="","",OFFSET(AB39,AB38-1,1+(Z42-1)*2))</f>
        <v/>
      </c>
      <c r="AC42" s="211" t="str">
        <f ca="1">IF(OFFSET(AB39,AB38-1,(Z42-1)*2)="","",OFFSET(AB39,AB38-1,(Z42-1)*2))</f>
        <v/>
      </c>
      <c r="AD42" s="210" t="str">
        <f ca="1">IF(OFFSET(AB39,AD38-1,1+(Z42-1)*2)="","",OFFSET(AB39,AD38-1,1+(Z42-1)*2))</f>
        <v/>
      </c>
      <c r="AE42" s="211" t="str">
        <f ca="1">IF(OFFSET(AB39,AD38-1,(Z42-1)*2)="","",OFFSET(AB39,AD38-1,(Z42-1)*2))</f>
        <v/>
      </c>
      <c r="AF42" s="210" t="str">
        <f ca="1">IF(OFFSET(AB39,AF38-1,1+(Z42-1)*2)="","",OFFSET(AB39,AF38-1,1+(Z42-1)*2))</f>
        <v/>
      </c>
      <c r="AG42" s="211" t="str">
        <f ca="1">IF(OFFSET(AB39,AF38-1,(Z42-1)*2)="","",OFFSET(AB39,AF38-1,(Z42-1)*2))</f>
        <v/>
      </c>
      <c r="AH42" s="170"/>
      <c r="AI42" s="118"/>
      <c r="AJ42" s="119"/>
      <c r="AK42" s="120"/>
      <c r="AL42" s="150"/>
      <c r="AM42" s="150"/>
      <c r="AN42" s="150"/>
      <c r="AO42" s="150"/>
      <c r="AP42" s="150"/>
      <c r="AQ42" s="174"/>
      <c r="AR42" s="177">
        <f ca="1">COUNTIF(OFFSET(AC39,0,(Z42-1)*2,8),2)*2+COUNTIF(OFFSET(AB39,0,(Z42-1)*2,8),2)</f>
        <v>0</v>
      </c>
      <c r="AS42" s="177">
        <f ca="1">RANK(CC42,CC39:CC46)*CB42</f>
        <v>0</v>
      </c>
      <c r="AT42" s="175">
        <f t="shared" ca="1" si="57"/>
        <v>0</v>
      </c>
      <c r="AU42" s="151">
        <f t="shared" ca="1" si="58"/>
        <v>0</v>
      </c>
      <c r="AV42" s="152" t="str">
        <f t="shared" ca="1" si="59"/>
        <v/>
      </c>
      <c r="AW42" s="153"/>
      <c r="AX42" s="156">
        <f ca="1">COUNTA(C39:C46)-COUNTBLANK(C39:C46)</f>
        <v>0</v>
      </c>
      <c r="AY42" s="156">
        <f t="shared" ca="1" si="53"/>
        <v>0</v>
      </c>
      <c r="AZ42" s="157">
        <f t="shared" ca="1" si="60"/>
        <v>0</v>
      </c>
      <c r="BA42" s="156">
        <f ca="1">IF(T42=OFFSET(T38,BA38,0),1,0)</f>
        <v>1</v>
      </c>
      <c r="BB42" s="156">
        <f ca="1">IF(T42=OFFSET(T38,BB38,0),1,0)</f>
        <v>1</v>
      </c>
      <c r="BC42" s="156">
        <f ca="1">IF(T42=OFFSET(T38,BC38,0),1,0)</f>
        <v>1</v>
      </c>
      <c r="BD42" s="156">
        <f ca="1">IF(T42=OFFSET(T38,BD38,0),1,0)</f>
        <v>1</v>
      </c>
      <c r="BE42" s="156">
        <f ca="1">IF(T42=OFFSET(T38,BE38,0),1,0)</f>
        <v>1</v>
      </c>
      <c r="BF42" s="156">
        <f ca="1">IF(T42=OFFSET(T38,BF38,0),1,0)</f>
        <v>1</v>
      </c>
      <c r="BG42" s="156">
        <f ca="1">IF(T42=OFFSET(T38,BG38,0),1,0)</f>
        <v>1</v>
      </c>
      <c r="BH42" s="156">
        <f ca="1">IF(T42=OFFSET(T38,BH38,0),1,0)</f>
        <v>1</v>
      </c>
      <c r="BI42" s="156" t="str">
        <f ca="1">OFFSET(C42,0,1+(BI38-1)*2)</f>
        <v/>
      </c>
      <c r="BJ42" s="156" t="str">
        <f ca="1">OFFSET(C42,0,1+(BJ38-1)*2)</f>
        <v/>
      </c>
      <c r="BK42" s="156" t="str">
        <f ca="1">OFFSET(C42,0,1+(BK38-1)*2)</f>
        <v/>
      </c>
      <c r="BL42" s="156">
        <f ca="1">OFFSET(C42,0,1+(BL38-1)*2)</f>
        <v>0</v>
      </c>
      <c r="BM42" s="156">
        <f ca="1">OFFSET(C42,0,1+(BM38-1)*2)</f>
        <v>0</v>
      </c>
      <c r="BN42" s="156">
        <f ca="1">OFFSET(C42,0,1+(BN38-1)*2)</f>
        <v>0</v>
      </c>
      <c r="BO42" s="156">
        <f ca="1">OFFSET(C42,0,1+(BO38-1)*2)</f>
        <v>0</v>
      </c>
      <c r="BP42" s="156">
        <f ca="1">OFFSET(C42,0,1+(BP38-1)*2)</f>
        <v>0</v>
      </c>
      <c r="BQ42" s="156" t="str">
        <f t="shared" ca="1" si="61"/>
        <v/>
      </c>
      <c r="BR42" s="156" t="str">
        <f t="shared" ca="1" si="61"/>
        <v/>
      </c>
      <c r="BS42" s="156" t="str">
        <f t="shared" ca="1" si="61"/>
        <v/>
      </c>
      <c r="BT42" s="156">
        <f t="shared" ca="1" si="61"/>
        <v>0</v>
      </c>
      <c r="BU42" s="156">
        <f t="shared" ca="1" si="61"/>
        <v>0</v>
      </c>
      <c r="BV42" s="156">
        <f t="shared" ca="1" si="61"/>
        <v>0</v>
      </c>
      <c r="BW42" s="156">
        <f t="shared" ca="1" si="61"/>
        <v>0</v>
      </c>
      <c r="BX42" s="156">
        <f t="shared" ca="1" si="61"/>
        <v>0</v>
      </c>
      <c r="BY42" s="156">
        <f t="shared" ca="1" si="62"/>
        <v>8</v>
      </c>
      <c r="CA42" s="156">
        <f ca="1">COUNTA(AA39:AA46)-COUNTBLANK(AA39:AA46)</f>
        <v>0</v>
      </c>
      <c r="CB42" s="156">
        <f t="shared" ca="1" si="63"/>
        <v>0</v>
      </c>
      <c r="CC42" s="157">
        <f t="shared" ca="1" si="64"/>
        <v>0</v>
      </c>
      <c r="CD42" s="156">
        <f ca="1">IF(AR42=OFFSET(AR38,CD38,0),1,0)</f>
        <v>1</v>
      </c>
      <c r="CE42" s="156">
        <f ca="1">IF(AR42=OFFSET(AR38,CE38,0),1,0)</f>
        <v>1</v>
      </c>
      <c r="CF42" s="156">
        <f ca="1">IF(AR42=OFFSET(AR38,CF38,0),1,0)</f>
        <v>1</v>
      </c>
      <c r="CG42" s="156">
        <f ca="1">IF(AR42=OFFSET(AR38,CG38,0),1,0)</f>
        <v>1</v>
      </c>
      <c r="CH42" s="156">
        <f ca="1">IF(AR42=OFFSET(AR38,CH38,0),1,0)</f>
        <v>1</v>
      </c>
      <c r="CI42" s="156">
        <f ca="1">IF(AR42=OFFSET(AR38,CI38,0),1,0)</f>
        <v>1</v>
      </c>
      <c r="CJ42" s="156">
        <f ca="1">IF(AR42=OFFSET(AR38,CJ38,0),1,0)</f>
        <v>1</v>
      </c>
      <c r="CK42" s="156">
        <f ca="1">IF(AR42=OFFSET(AR38,CK38,0),1,0)</f>
        <v>1</v>
      </c>
      <c r="CL42" s="156" t="str">
        <f ca="1">OFFSET(AA42,0,1+(CL38-1)*2)</f>
        <v/>
      </c>
      <c r="CM42" s="156" t="str">
        <f ca="1">OFFSET(AA42,0,1+(CM38-1)*2)</f>
        <v/>
      </c>
      <c r="CN42" s="156" t="str">
        <f ca="1">OFFSET(AA42,0,1+(CN38-1)*2)</f>
        <v/>
      </c>
      <c r="CO42" s="156">
        <f ca="1">OFFSET(AA42,0,1+(CO38-1)*2)</f>
        <v>0</v>
      </c>
      <c r="CP42" s="156">
        <f ca="1">OFFSET(AA42,0,1+(CP38-1)*2)</f>
        <v>0</v>
      </c>
      <c r="CQ42" s="156">
        <f ca="1">OFFSET(AA42,0,1+(CQ38-1)*2)</f>
        <v>0</v>
      </c>
      <c r="CR42" s="156">
        <f ca="1">OFFSET(AA42,0,1+(CR38-1)*2)</f>
        <v>0</v>
      </c>
      <c r="CS42" s="156">
        <f ca="1">OFFSET(AA42,0,1+(CS38-1)*2)</f>
        <v>0</v>
      </c>
      <c r="CT42" s="156" t="str">
        <f ca="1">OFFSET(AA42,0,2+(CT38-1)*2)</f>
        <v/>
      </c>
      <c r="CU42" s="156" t="str">
        <f ca="1">OFFSET(AA42,0,2+(CU38-1)*2)</f>
        <v/>
      </c>
      <c r="CV42" s="156" t="str">
        <f ca="1">OFFSET(AA42,0,2+(CV38-1)*2)</f>
        <v/>
      </c>
      <c r="CW42" s="156">
        <f ca="1">OFFSET(AA42,0,2+(CW38-1)*2)</f>
        <v>0</v>
      </c>
      <c r="CX42" s="156">
        <f ca="1">OFFSET(AA42,0,2+(CX38-1)*2)</f>
        <v>0</v>
      </c>
      <c r="CY42" s="156">
        <f ca="1">OFFSET(AA42,0,2+(CY38-1)*2)</f>
        <v>0</v>
      </c>
      <c r="CZ42" s="156">
        <f ca="1">OFFSET(AA42,0,2+(CZ38-1)*2)</f>
        <v>0</v>
      </c>
      <c r="DA42" s="156">
        <f ca="1">OFFSET(AA42,0,2+(DA38-1)*2)</f>
        <v>0</v>
      </c>
      <c r="DB42" s="156">
        <f t="shared" ca="1" si="65"/>
        <v>8</v>
      </c>
      <c r="DE42" s="159"/>
      <c r="DF42" s="159"/>
      <c r="DG42" s="159">
        <v>1</v>
      </c>
      <c r="DH42" s="123">
        <v>8</v>
      </c>
      <c r="DI42" s="123">
        <f t="shared" si="51"/>
        <v>2</v>
      </c>
      <c r="DJ42" s="36" t="str">
        <f ca="1">OFFSET(gr_header,DG42+DE36,1+DF36)</f>
        <v/>
      </c>
      <c r="DK42" s="36" t="str">
        <f ca="1">OFFSET(gr_header,DH42+DE36,1+DF36)</f>
        <v/>
      </c>
      <c r="DL42" s="123">
        <f ca="1">OFFSET(gr_header,DG42+DE36,2*DH42+DF36)</f>
        <v>0</v>
      </c>
      <c r="DM42" s="123">
        <f ca="1">OFFSET(gr_header,DG42+DE36,2*DH42+1+DF36)</f>
        <v>0</v>
      </c>
      <c r="DN42" s="34"/>
      <c r="DO42" s="183">
        <f t="shared" ca="1" si="5"/>
        <v>0</v>
      </c>
      <c r="DP42" s="183">
        <f t="shared" ca="1" si="6"/>
        <v>0</v>
      </c>
      <c r="DQ42" s="183">
        <f t="shared" ca="1" si="7"/>
        <v>0</v>
      </c>
      <c r="DR42" s="183">
        <f t="shared" ca="1" si="8"/>
        <v>0</v>
      </c>
      <c r="DS42" s="182">
        <f t="shared" ca="1" si="9"/>
        <v>0</v>
      </c>
      <c r="DT42" s="182">
        <f t="shared" ca="1" si="10"/>
        <v>0</v>
      </c>
      <c r="DU42" s="182"/>
      <c r="DV42" s="182"/>
      <c r="DW42" s="182"/>
    </row>
    <row r="43" spans="2:127" ht="14.25" thickBot="1">
      <c r="B43" s="171">
        <v>5</v>
      </c>
      <c r="C43" s="172" t="str">
        <f ca="1">OFFSET(gr_anchor,B43,B38)</f>
        <v/>
      </c>
      <c r="D43" s="210" t="str">
        <f ca="1">IF(OFFSET(D39,D38-1,1+(B43-1)*2)="","",OFFSET(D39,D38-1,1+(B43-1)*2))</f>
        <v/>
      </c>
      <c r="E43" s="211" t="str">
        <f ca="1">IF(OFFSET(D39,D38-1,(B43-1)*2)="","",OFFSET(D39,D38-1,(B43-1)*2))</f>
        <v/>
      </c>
      <c r="F43" s="210" t="str">
        <f ca="1">IF(OFFSET(D39,F38-1,1+(B43-1)*2)="","",OFFSET(D39,F38-1,1+(B43-1)*2))</f>
        <v/>
      </c>
      <c r="G43" s="211" t="str">
        <f ca="1">IF(OFFSET(D39,F38-1,(B43-1)*2)="","",OFFSET(D39,F38-1,(B43-1)*2))</f>
        <v/>
      </c>
      <c r="H43" s="210" t="str">
        <f ca="1">IF(OFFSET(D39,H38-1,1+(B43-1)*2)="","",OFFSET(D39,H38-1,1+(B43-1)*2))</f>
        <v/>
      </c>
      <c r="I43" s="211" t="str">
        <f ca="1">IF(OFFSET(D39,H38-1,(B43-1)*2)="","",OFFSET(D39,H38-1,(B43-1)*2))</f>
        <v/>
      </c>
      <c r="J43" s="210" t="str">
        <f ca="1">IF(OFFSET(D39,J38-1,1+(B43-1)*2)="","",OFFSET(D39,J38-1,1+(B43-1)*2))</f>
        <v/>
      </c>
      <c r="K43" s="211" t="str">
        <f ca="1">IF(OFFSET(D39,J38-1,(B43-1)*2)="","",OFFSET(D39,J38-1,(B43-1)*2))</f>
        <v/>
      </c>
      <c r="L43" s="117"/>
      <c r="M43" s="118"/>
      <c r="N43" s="150"/>
      <c r="O43" s="150"/>
      <c r="P43" s="150"/>
      <c r="Q43" s="150"/>
      <c r="R43" s="150"/>
      <c r="S43" s="174"/>
      <c r="T43" s="177">
        <f ca="1">COUNTIF(OFFSET(E39,0,(B43-1)*2,8),2)*2+COUNTIF(OFFSET(D39,0,(B43-1)*2,8),2)</f>
        <v>0</v>
      </c>
      <c r="U43" s="177">
        <f ca="1">RANK(AZ43,AZ39:AZ46)*AY43</f>
        <v>0</v>
      </c>
      <c r="V43" s="175">
        <f t="shared" ca="1" si="55"/>
        <v>0</v>
      </c>
      <c r="W43" s="151">
        <f t="shared" ca="1" si="56"/>
        <v>0</v>
      </c>
      <c r="X43" s="152" t="str">
        <f t="shared" ca="1" si="52"/>
        <v/>
      </c>
      <c r="Y43" s="153"/>
      <c r="Z43" s="171">
        <v>5</v>
      </c>
      <c r="AA43" s="172" t="str">
        <f ca="1">OFFSET(gr_anchor,Z43,Z38)</f>
        <v/>
      </c>
      <c r="AB43" s="210" t="str">
        <f ca="1">IF(OFFSET(AB39,AB38-1,1+(Z43-1)*2)="","",OFFSET(AB39,AB38-1,1+(Z43-1)*2))</f>
        <v/>
      </c>
      <c r="AC43" s="211" t="str">
        <f ca="1">IF(OFFSET(AB39,AB38-1,(Z43-1)*2)="","",OFFSET(AB39,AB38-1,(Z43-1)*2))</f>
        <v/>
      </c>
      <c r="AD43" s="210" t="str">
        <f ca="1">IF(OFFSET(AB39,AD38-1,1+(Z43-1)*2)="","",OFFSET(AB39,AD38-1,1+(Z43-1)*2))</f>
        <v/>
      </c>
      <c r="AE43" s="211" t="str">
        <f ca="1">IF(OFFSET(AB39,AD38-1,(Z43-1)*2)="","",OFFSET(AB39,AD38-1,(Z43-1)*2))</f>
        <v/>
      </c>
      <c r="AF43" s="210" t="str">
        <f ca="1">IF(OFFSET(AB39,AF38-1,1+(Z43-1)*2)="","",OFFSET(AB39,AF38-1,1+(Z43-1)*2))</f>
        <v/>
      </c>
      <c r="AG43" s="211" t="str">
        <f ca="1">IF(OFFSET(AB39,AF38-1,(Z43-1)*2)="","",OFFSET(AB39,AF38-1,(Z43-1)*2))</f>
        <v/>
      </c>
      <c r="AH43" s="210" t="str">
        <f ca="1">IF(OFFSET(AB39,AH38-1,1+(Z43-1)*2)="","",OFFSET(AB39,AH38-1,1+(Z43-1)*2))</f>
        <v/>
      </c>
      <c r="AI43" s="211" t="str">
        <f ca="1">IF(OFFSET(AB39,AH38-1,(Z43-1)*2)="","",OFFSET(AB39,AH38-1,(Z43-1)*2))</f>
        <v/>
      </c>
      <c r="AJ43" s="117"/>
      <c r="AK43" s="118"/>
      <c r="AL43" s="150"/>
      <c r="AM43" s="150"/>
      <c r="AN43" s="150"/>
      <c r="AO43" s="150"/>
      <c r="AP43" s="150"/>
      <c r="AQ43" s="174"/>
      <c r="AR43" s="177">
        <f ca="1">COUNTIF(OFFSET(AC39,0,(Z43-1)*2,8),2)*2+COUNTIF(OFFSET(AB39,0,(Z43-1)*2,8),2)</f>
        <v>0</v>
      </c>
      <c r="AS43" s="177">
        <f ca="1">RANK(CC43,CC39:CC46)*CB43</f>
        <v>0</v>
      </c>
      <c r="AT43" s="175">
        <f t="shared" ca="1" si="57"/>
        <v>0</v>
      </c>
      <c r="AU43" s="151">
        <f t="shared" ca="1" si="58"/>
        <v>0</v>
      </c>
      <c r="AV43" s="152" t="str">
        <f t="shared" ca="1" si="59"/>
        <v/>
      </c>
      <c r="AW43" s="153"/>
      <c r="AX43" s="156">
        <f ca="1">COUNTA(C39:C46)-COUNTBLANK(C39:C46)</f>
        <v>0</v>
      </c>
      <c r="AY43" s="156">
        <f t="shared" ca="1" si="53"/>
        <v>0</v>
      </c>
      <c r="AZ43" s="157">
        <f t="shared" ca="1" si="60"/>
        <v>0</v>
      </c>
      <c r="BA43" s="156">
        <f ca="1">IF(T43=OFFSET(T38,BA38,0),1,0)</f>
        <v>1</v>
      </c>
      <c r="BB43" s="156">
        <f ca="1">IF(T43=OFFSET(T38,BB38,0),1,0)</f>
        <v>1</v>
      </c>
      <c r="BC43" s="156">
        <f ca="1">IF(T43=OFFSET(T38,BC38,0),1,0)</f>
        <v>1</v>
      </c>
      <c r="BD43" s="156">
        <f ca="1">IF(T43=OFFSET(T38,BD38,0),1,0)</f>
        <v>1</v>
      </c>
      <c r="BE43" s="156">
        <f ca="1">IF(T43=OFFSET(T38,BE38,0),1,0)</f>
        <v>1</v>
      </c>
      <c r="BF43" s="156">
        <f ca="1">IF(T43=OFFSET(T38,BF38,0),1,0)</f>
        <v>1</v>
      </c>
      <c r="BG43" s="156">
        <f ca="1">IF(T43=OFFSET(T38,BG38,0),1,0)</f>
        <v>1</v>
      </c>
      <c r="BH43" s="156">
        <f ca="1">IF(T43=OFFSET(T38,BH38,0),1,0)</f>
        <v>1</v>
      </c>
      <c r="BI43" s="156" t="str">
        <f ca="1">OFFSET(C43,0,1+(BI38-1)*2)</f>
        <v/>
      </c>
      <c r="BJ43" s="156" t="str">
        <f ca="1">OFFSET(C43,0,1+(BJ38-1)*2)</f>
        <v/>
      </c>
      <c r="BK43" s="156" t="str">
        <f ca="1">OFFSET(C43,0,1+(BK38-1)*2)</f>
        <v/>
      </c>
      <c r="BL43" s="156" t="str">
        <f ca="1">OFFSET(C43,0,1+(BL38-1)*2)</f>
        <v/>
      </c>
      <c r="BM43" s="156">
        <f ca="1">OFFSET(C43,0,1+(BM38-1)*2)</f>
        <v>0</v>
      </c>
      <c r="BN43" s="156">
        <f ca="1">OFFSET(C43,0,1+(BN38-1)*2)</f>
        <v>0</v>
      </c>
      <c r="BO43" s="156">
        <f ca="1">OFFSET(C43,0,1+(BO38-1)*2)</f>
        <v>0</v>
      </c>
      <c r="BP43" s="156">
        <f ca="1">OFFSET(C43,0,1+(BP38-1)*2)</f>
        <v>0</v>
      </c>
      <c r="BQ43" s="156" t="str">
        <f t="shared" ca="1" si="61"/>
        <v/>
      </c>
      <c r="BR43" s="156" t="str">
        <f t="shared" ca="1" si="61"/>
        <v/>
      </c>
      <c r="BS43" s="156" t="str">
        <f t="shared" ca="1" si="61"/>
        <v/>
      </c>
      <c r="BT43" s="156" t="str">
        <f t="shared" ca="1" si="61"/>
        <v/>
      </c>
      <c r="BU43" s="156">
        <f t="shared" ca="1" si="61"/>
        <v>0</v>
      </c>
      <c r="BV43" s="156">
        <f t="shared" ca="1" si="61"/>
        <v>0</v>
      </c>
      <c r="BW43" s="156">
        <f t="shared" ca="1" si="61"/>
        <v>0</v>
      </c>
      <c r="BX43" s="156">
        <f t="shared" ca="1" si="61"/>
        <v>0</v>
      </c>
      <c r="BY43" s="156">
        <f t="shared" ca="1" si="62"/>
        <v>8</v>
      </c>
      <c r="CA43" s="156">
        <f ca="1">COUNTA(AA39:AA46)-COUNTBLANK(AA39:AA46)</f>
        <v>0</v>
      </c>
      <c r="CB43" s="156">
        <f t="shared" ca="1" si="63"/>
        <v>0</v>
      </c>
      <c r="CC43" s="157">
        <f t="shared" ca="1" si="64"/>
        <v>0</v>
      </c>
      <c r="CD43" s="156">
        <f ca="1">IF(AR43=OFFSET(AR38,CD38,0),1,0)</f>
        <v>1</v>
      </c>
      <c r="CE43" s="156">
        <f ca="1">IF(AR43=OFFSET(AR38,CE38,0),1,0)</f>
        <v>1</v>
      </c>
      <c r="CF43" s="156">
        <f ca="1">IF(AR43=OFFSET(AR38,CF38,0),1,0)</f>
        <v>1</v>
      </c>
      <c r="CG43" s="156">
        <f ca="1">IF(AR43=OFFSET(AR38,CG38,0),1,0)</f>
        <v>1</v>
      </c>
      <c r="CH43" s="156">
        <f ca="1">IF(AR43=OFFSET(AR38,CH38,0),1,0)</f>
        <v>1</v>
      </c>
      <c r="CI43" s="156">
        <f ca="1">IF(AR43=OFFSET(AR38,CI38,0),1,0)</f>
        <v>1</v>
      </c>
      <c r="CJ43" s="156">
        <f ca="1">IF(AR43=OFFSET(AR38,CJ38,0),1,0)</f>
        <v>1</v>
      </c>
      <c r="CK43" s="156">
        <f ca="1">IF(AR43=OFFSET(AR38,CK38,0),1,0)</f>
        <v>1</v>
      </c>
      <c r="CL43" s="156" t="str">
        <f ca="1">OFFSET(AA43,0,1+(CL38-1)*2)</f>
        <v/>
      </c>
      <c r="CM43" s="156" t="str">
        <f ca="1">OFFSET(AA43,0,1+(CM38-1)*2)</f>
        <v/>
      </c>
      <c r="CN43" s="156" t="str">
        <f ca="1">OFFSET(AA43,0,1+(CN38-1)*2)</f>
        <v/>
      </c>
      <c r="CO43" s="156" t="str">
        <f ca="1">OFFSET(AA43,0,1+(CO38-1)*2)</f>
        <v/>
      </c>
      <c r="CP43" s="156">
        <f ca="1">OFFSET(AA43,0,1+(CP38-1)*2)</f>
        <v>0</v>
      </c>
      <c r="CQ43" s="156">
        <f ca="1">OFFSET(AA43,0,1+(CQ38-1)*2)</f>
        <v>0</v>
      </c>
      <c r="CR43" s="156">
        <f ca="1">OFFSET(AA43,0,1+(CR38-1)*2)</f>
        <v>0</v>
      </c>
      <c r="CS43" s="156">
        <f ca="1">OFFSET(AA43,0,1+(CS38-1)*2)</f>
        <v>0</v>
      </c>
      <c r="CT43" s="156" t="str">
        <f ca="1">OFFSET(AA43,0,2+(CT38-1)*2)</f>
        <v/>
      </c>
      <c r="CU43" s="156" t="str">
        <f ca="1">OFFSET(AA43,0,2+(CU38-1)*2)</f>
        <v/>
      </c>
      <c r="CV43" s="156" t="str">
        <f ca="1">OFFSET(AA43,0,2+(CV38-1)*2)</f>
        <v/>
      </c>
      <c r="CW43" s="156" t="str">
        <f ca="1">OFFSET(AA43,0,2+(CW38-1)*2)</f>
        <v/>
      </c>
      <c r="CX43" s="156">
        <f ca="1">OFFSET(AA43,0,2+(CX38-1)*2)</f>
        <v>0</v>
      </c>
      <c r="CY43" s="156">
        <f ca="1">OFFSET(AA43,0,2+(CY38-1)*2)</f>
        <v>0</v>
      </c>
      <c r="CZ43" s="156">
        <f ca="1">OFFSET(AA43,0,2+(CZ38-1)*2)</f>
        <v>0</v>
      </c>
      <c r="DA43" s="156">
        <f ca="1">OFFSET(AA43,0,2+(DA38-1)*2)</f>
        <v>0</v>
      </c>
      <c r="DB43" s="156">
        <f t="shared" ca="1" si="65"/>
        <v>8</v>
      </c>
      <c r="DE43" s="159"/>
      <c r="DF43" s="159"/>
      <c r="DG43" s="159">
        <v>2</v>
      </c>
      <c r="DH43" s="159">
        <v>3</v>
      </c>
      <c r="DI43" s="123">
        <f t="shared" si="51"/>
        <v>2</v>
      </c>
      <c r="DJ43" s="36" t="str">
        <f ca="1">OFFSET(gr_header,DG43+DE36,1+DF36)</f>
        <v/>
      </c>
      <c r="DK43" s="36" t="str">
        <f ca="1">OFFSET(gr_header,DH43+DE36,1+DF36)</f>
        <v/>
      </c>
      <c r="DL43" s="123">
        <f ca="1">OFFSET(gr_header,DG43+DE36,2*DH43+DF36)</f>
        <v>0</v>
      </c>
      <c r="DM43" s="123">
        <f ca="1">OFFSET(gr_header,DG43+DE36,2*DH43+1+DF36)</f>
        <v>0</v>
      </c>
      <c r="DN43" s="34"/>
      <c r="DO43" s="183">
        <f t="shared" ca="1" si="5"/>
        <v>0</v>
      </c>
      <c r="DP43" s="183">
        <f t="shared" ca="1" si="6"/>
        <v>0</v>
      </c>
      <c r="DQ43" s="183">
        <f t="shared" ca="1" si="7"/>
        <v>0</v>
      </c>
      <c r="DR43" s="183">
        <f t="shared" ca="1" si="8"/>
        <v>0</v>
      </c>
      <c r="DS43" s="182">
        <f t="shared" ca="1" si="9"/>
        <v>0</v>
      </c>
      <c r="DT43" s="182">
        <f t="shared" ca="1" si="10"/>
        <v>0</v>
      </c>
      <c r="DU43" s="182"/>
      <c r="DV43" s="182"/>
      <c r="DW43" s="182"/>
    </row>
    <row r="44" spans="2:127" hidden="1" outlineLevel="1">
      <c r="B44" s="148">
        <v>6</v>
      </c>
      <c r="C44" s="154" t="str">
        <f ca="1">OFFSET(gr_anchor,B44,B38)</f>
        <v/>
      </c>
      <c r="D44" s="150" t="str">
        <f ca="1">IF(OFFSET(D39,D38-1,1+(B44-1)*2)="","",OFFSET(D39,D38-1,1+(B44-1)*2))</f>
        <v/>
      </c>
      <c r="E44" s="150" t="str">
        <f ca="1">IF(OFFSET(D39,D38-1,(B44-1)*2)="","",OFFSET(D39,D38-1,(B44-1)*2))</f>
        <v/>
      </c>
      <c r="F44" s="150" t="str">
        <f ca="1">IF(OFFSET(D39,F38-1,1+(B44-1)*2)="","",OFFSET(D39,F38-1,1+(B44-1)*2))</f>
        <v/>
      </c>
      <c r="G44" s="150" t="str">
        <f ca="1">IF(OFFSET(D39,F38-1,(B44-1)*2)="","",OFFSET(D39,F38-1,(B44-1)*2))</f>
        <v/>
      </c>
      <c r="H44" s="150" t="str">
        <f ca="1">IF(OFFSET(D39,H38-1,1+(B44-1)*2)="","",OFFSET(D39,H38-1,1+(B44-1)*2))</f>
        <v/>
      </c>
      <c r="I44" s="150" t="str">
        <f ca="1">IF(OFFSET(D39,H38-1,(B44-1)*2)="","",OFFSET(D39,H38-1,(B44-1)*2))</f>
        <v/>
      </c>
      <c r="J44" s="150" t="str">
        <f ca="1">IF(OFFSET(D39,J38-1,1+(B44-1)*2)="","",OFFSET(D39,J38-1,1+(B44-1)*2))</f>
        <v/>
      </c>
      <c r="K44" s="150" t="str">
        <f ca="1">IF(OFFSET(D39,J38-1,(B44-1)*2)="","",OFFSET(D39,J38-1,(B44-1)*2))</f>
        <v/>
      </c>
      <c r="L44" s="150" t="str">
        <f ca="1">IF(OFFSET(D39,L38-1,1+(B44-1)*2)="","",OFFSET(D39,L38-1,1+(B44-1)*2))</f>
        <v/>
      </c>
      <c r="M44" s="150" t="str">
        <f ca="1">IF(OFFSET(D39,L38-1,(B44-1)*2)="","",OFFSET(D39,L38-1,(B44-1)*2))</f>
        <v/>
      </c>
      <c r="N44" s="155"/>
      <c r="O44" s="149"/>
      <c r="P44" s="150"/>
      <c r="Q44" s="150"/>
      <c r="R44" s="150"/>
      <c r="S44" s="150"/>
      <c r="T44" s="163">
        <f ca="1">COUNTIF(OFFSET(E39,0,(B44-1)*2,8),2)*2+COUNTIF(OFFSET(D39,0,(B44-1)*2,8),2)</f>
        <v>0</v>
      </c>
      <c r="U44" s="163">
        <f ca="1">RANK(AZ44,AZ39:AZ46)*AY44</f>
        <v>0</v>
      </c>
      <c r="V44" s="151">
        <f t="shared" ca="1" si="55"/>
        <v>0</v>
      </c>
      <c r="W44" s="151">
        <f t="shared" ca="1" si="56"/>
        <v>0</v>
      </c>
      <c r="X44" s="152" t="str">
        <f t="shared" ca="1" si="52"/>
        <v/>
      </c>
      <c r="Y44" s="153"/>
      <c r="Z44" s="148">
        <v>6</v>
      </c>
      <c r="AA44" s="154" t="str">
        <f ca="1">OFFSET(gr_anchor,Z44,Z38)</f>
        <v/>
      </c>
      <c r="AB44" s="150" t="str">
        <f ca="1">IF(OFFSET(AB39,AB38-1,1+(Z44-1)*2)="","",OFFSET(AB39,AB38-1,1+(Z44-1)*2))</f>
        <v/>
      </c>
      <c r="AC44" s="150" t="str">
        <f ca="1">IF(OFFSET(AB39,AB38-1,(Z44-1)*2)="","",OFFSET(AB39,AB38-1,(Z44-1)*2))</f>
        <v/>
      </c>
      <c r="AD44" s="150" t="str">
        <f ca="1">IF(OFFSET(AB39,AD38-1,1+(Z44-1)*2)="","",OFFSET(AB39,AD38-1,1+(Z44-1)*2))</f>
        <v/>
      </c>
      <c r="AE44" s="150" t="str">
        <f ca="1">IF(OFFSET(AB39,AD38-1,(Z44-1)*2)="","",OFFSET(AB39,AD38-1,(Z44-1)*2))</f>
        <v/>
      </c>
      <c r="AF44" s="150" t="str">
        <f ca="1">IF(OFFSET(AB39,AF38-1,1+(Z44-1)*2)="","",OFFSET(AB39,AF38-1,1+(Z44-1)*2))</f>
        <v/>
      </c>
      <c r="AG44" s="150" t="str">
        <f ca="1">IF(OFFSET(AB39,AF38-1,(Z44-1)*2)="","",OFFSET(AB39,AF38-1,(Z44-1)*2))</f>
        <v/>
      </c>
      <c r="AH44" s="150" t="str">
        <f ca="1">IF(OFFSET(AB39,AH38-1,1+(Z44-1)*2)="","",OFFSET(AB39,AH38-1,1+(Z44-1)*2))</f>
        <v/>
      </c>
      <c r="AI44" s="150" t="str">
        <f ca="1">IF(OFFSET(AB39,AH38-1,(Z44-1)*2)="","",OFFSET(AB39,AH38-1,(Z44-1)*2))</f>
        <v/>
      </c>
      <c r="AJ44" s="150" t="str">
        <f ca="1">IF(OFFSET(AB39,AJ38-1,1+(Z44-1)*2)="","",OFFSET(AB39,AJ38-1,1+(Z44-1)*2))</f>
        <v/>
      </c>
      <c r="AK44" s="150" t="str">
        <f ca="1">IF(OFFSET(AB39,AJ38-1,(Z44-1)*2)="","",OFFSET(AB39,AJ38-1,(Z44-1)*2))</f>
        <v/>
      </c>
      <c r="AL44" s="155"/>
      <c r="AM44" s="149"/>
      <c r="AN44" s="150"/>
      <c r="AO44" s="150"/>
      <c r="AP44" s="150"/>
      <c r="AQ44" s="150"/>
      <c r="AR44" s="163">
        <f ca="1">COUNTIF(OFFSET(AC39,0,(Z44-1)*2,8),2)*2+COUNTIF(OFFSET(AB39,0,(Z44-1)*2,8),2)</f>
        <v>0</v>
      </c>
      <c r="AS44" s="163">
        <f ca="1">RANK(CC44,CC39:CC46)*CB44</f>
        <v>0</v>
      </c>
      <c r="AT44" s="151">
        <f t="shared" ca="1" si="57"/>
        <v>0</v>
      </c>
      <c r="AU44" s="151">
        <f t="shared" ca="1" si="58"/>
        <v>0</v>
      </c>
      <c r="AV44" s="152" t="str">
        <f t="shared" ca="1" si="59"/>
        <v/>
      </c>
      <c r="AW44" s="153"/>
      <c r="AX44" s="156">
        <f ca="1">COUNTA(C39:C46)-COUNTBLANK(C39:C46)</f>
        <v>0</v>
      </c>
      <c r="AY44" s="156">
        <f t="shared" ca="1" si="53"/>
        <v>0</v>
      </c>
      <c r="AZ44" s="157">
        <f t="shared" ca="1" si="60"/>
        <v>0</v>
      </c>
      <c r="BA44" s="156">
        <f ca="1">IF(T44=OFFSET(T38,BA38,0),1,0)</f>
        <v>1</v>
      </c>
      <c r="BB44" s="156">
        <f ca="1">IF(T44=OFFSET(T38,BB38,0),1,0)</f>
        <v>1</v>
      </c>
      <c r="BC44" s="156">
        <f ca="1">IF(T44=OFFSET(T38,BC38,0),1,0)</f>
        <v>1</v>
      </c>
      <c r="BD44" s="156">
        <f ca="1">IF(T44=OFFSET(T38,BD38,0),1,0)</f>
        <v>1</v>
      </c>
      <c r="BE44" s="156">
        <f ca="1">IF(T44=OFFSET(T38,BE38,0),1,0)</f>
        <v>1</v>
      </c>
      <c r="BF44" s="156">
        <f ca="1">IF(T44=OFFSET(T38,BF38,0),1,0)</f>
        <v>1</v>
      </c>
      <c r="BG44" s="156">
        <f ca="1">IF(T44=OFFSET(T38,BG38,0),1,0)</f>
        <v>1</v>
      </c>
      <c r="BH44" s="156">
        <f ca="1">IF(T44=OFFSET(T38,BH38,0),1,0)</f>
        <v>1</v>
      </c>
      <c r="BI44" s="156" t="str">
        <f ca="1">OFFSET(C44,0,1+(BI38-1)*2)</f>
        <v/>
      </c>
      <c r="BJ44" s="156" t="str">
        <f ca="1">OFFSET(C44,0,1+(BJ38-1)*2)</f>
        <v/>
      </c>
      <c r="BK44" s="156" t="str">
        <f ca="1">OFFSET(C44,0,1+(BK38-1)*2)</f>
        <v/>
      </c>
      <c r="BL44" s="156" t="str">
        <f ca="1">OFFSET(C44,0,1+(BL38-1)*2)</f>
        <v/>
      </c>
      <c r="BM44" s="156" t="str">
        <f ca="1">OFFSET(C44,0,1+(BM38-1)*2)</f>
        <v/>
      </c>
      <c r="BN44" s="156">
        <f ca="1">OFFSET(C44,0,1+(BN38-1)*2)</f>
        <v>0</v>
      </c>
      <c r="BO44" s="156">
        <f ca="1">OFFSET(C44,0,1+(BO38-1)*2)</f>
        <v>0</v>
      </c>
      <c r="BP44" s="156">
        <f ca="1">OFFSET(C44,0,1+(BP38-1)*2)</f>
        <v>0</v>
      </c>
      <c r="BQ44" s="156" t="str">
        <f t="shared" ca="1" si="61"/>
        <v/>
      </c>
      <c r="BR44" s="156" t="str">
        <f t="shared" ca="1" si="61"/>
        <v/>
      </c>
      <c r="BS44" s="156" t="str">
        <f t="shared" ca="1" si="61"/>
        <v/>
      </c>
      <c r="BT44" s="156" t="str">
        <f t="shared" ca="1" si="61"/>
        <v/>
      </c>
      <c r="BU44" s="156" t="str">
        <f t="shared" ca="1" si="61"/>
        <v/>
      </c>
      <c r="BV44" s="156">
        <f t="shared" ca="1" si="61"/>
        <v>0</v>
      </c>
      <c r="BW44" s="156">
        <f t="shared" ca="1" si="61"/>
        <v>0</v>
      </c>
      <c r="BX44" s="156">
        <f t="shared" ca="1" si="61"/>
        <v>0</v>
      </c>
      <c r="BY44" s="156">
        <f t="shared" ca="1" si="62"/>
        <v>8</v>
      </c>
      <c r="CA44" s="156">
        <f ca="1">COUNTA(AA39:AA46)-COUNTBLANK(AA39:AA46)</f>
        <v>0</v>
      </c>
      <c r="CB44" s="156">
        <f t="shared" ca="1" si="63"/>
        <v>0</v>
      </c>
      <c r="CC44" s="157">
        <f t="shared" ca="1" si="64"/>
        <v>0</v>
      </c>
      <c r="CD44" s="156">
        <f ca="1">IF(AR44=OFFSET(AR38,CD38,0),1,0)</f>
        <v>1</v>
      </c>
      <c r="CE44" s="156">
        <f ca="1">IF(AR44=OFFSET(AR38,CE38,0),1,0)</f>
        <v>1</v>
      </c>
      <c r="CF44" s="156">
        <f ca="1">IF(AR44=OFFSET(AR38,CF38,0),1,0)</f>
        <v>1</v>
      </c>
      <c r="CG44" s="156">
        <f ca="1">IF(AR44=OFFSET(AR38,CG38,0),1,0)</f>
        <v>1</v>
      </c>
      <c r="CH44" s="156">
        <f ca="1">IF(AR44=OFFSET(AR38,CH38,0),1,0)</f>
        <v>1</v>
      </c>
      <c r="CI44" s="156">
        <f ca="1">IF(AR44=OFFSET(AR38,CI38,0),1,0)</f>
        <v>1</v>
      </c>
      <c r="CJ44" s="156">
        <f ca="1">IF(AR44=OFFSET(AR38,CJ38,0),1,0)</f>
        <v>1</v>
      </c>
      <c r="CK44" s="156">
        <f ca="1">IF(AR44=OFFSET(AR38,CK38,0),1,0)</f>
        <v>1</v>
      </c>
      <c r="CL44" s="156" t="str">
        <f ca="1">OFFSET(AA44,0,1+(CL38-1)*2)</f>
        <v/>
      </c>
      <c r="CM44" s="156" t="str">
        <f ca="1">OFFSET(AA44,0,1+(CM38-1)*2)</f>
        <v/>
      </c>
      <c r="CN44" s="156" t="str">
        <f ca="1">OFFSET(AA44,0,1+(CN38-1)*2)</f>
        <v/>
      </c>
      <c r="CO44" s="156" t="str">
        <f ca="1">OFFSET(AA44,0,1+(CO38-1)*2)</f>
        <v/>
      </c>
      <c r="CP44" s="156" t="str">
        <f ca="1">OFFSET(AA44,0,1+(CP38-1)*2)</f>
        <v/>
      </c>
      <c r="CQ44" s="156">
        <f ca="1">OFFSET(AA44,0,1+(CQ38-1)*2)</f>
        <v>0</v>
      </c>
      <c r="CR44" s="156">
        <f ca="1">OFFSET(AA44,0,1+(CR38-1)*2)</f>
        <v>0</v>
      </c>
      <c r="CS44" s="156">
        <f ca="1">OFFSET(AA44,0,1+(CS38-1)*2)</f>
        <v>0</v>
      </c>
      <c r="CT44" s="156" t="str">
        <f ca="1">OFFSET(AA44,0,2+(CT38-1)*2)</f>
        <v/>
      </c>
      <c r="CU44" s="156" t="str">
        <f ca="1">OFFSET(AA44,0,2+(CU38-1)*2)</f>
        <v/>
      </c>
      <c r="CV44" s="156" t="str">
        <f ca="1">OFFSET(AA44,0,2+(CV38-1)*2)</f>
        <v/>
      </c>
      <c r="CW44" s="156" t="str">
        <f ca="1">OFFSET(AA44,0,2+(CW38-1)*2)</f>
        <v/>
      </c>
      <c r="CX44" s="156" t="str">
        <f ca="1">OFFSET(AA44,0,2+(CX38-1)*2)</f>
        <v/>
      </c>
      <c r="CY44" s="156">
        <f ca="1">OFFSET(AA44,0,2+(CY38-1)*2)</f>
        <v>0</v>
      </c>
      <c r="CZ44" s="156">
        <f ca="1">OFFSET(AA44,0,2+(CZ38-1)*2)</f>
        <v>0</v>
      </c>
      <c r="DA44" s="156">
        <f ca="1">OFFSET(AA44,0,2+(DA38-1)*2)</f>
        <v>0</v>
      </c>
      <c r="DB44" s="156">
        <f t="shared" ca="1" si="65"/>
        <v>8</v>
      </c>
      <c r="DE44" s="159"/>
      <c r="DF44" s="159"/>
      <c r="DG44" s="159">
        <v>2</v>
      </c>
      <c r="DH44" s="159">
        <v>4</v>
      </c>
      <c r="DI44" s="123">
        <f t="shared" si="51"/>
        <v>2</v>
      </c>
      <c r="DJ44" s="36" t="str">
        <f ca="1">OFFSET(gr_header,DG44+DE36,1+DF36)</f>
        <v/>
      </c>
      <c r="DK44" s="36" t="str">
        <f ca="1">OFFSET(gr_header,DH44+DE36,1+DF36)</f>
        <v/>
      </c>
      <c r="DL44" s="123">
        <f ca="1">OFFSET(gr_header,DG44+DE36,2*DH44+DF36)</f>
        <v>0</v>
      </c>
      <c r="DM44" s="123">
        <f ca="1">OFFSET(gr_header,DG44+DE36,2*DH44+1+DF36)</f>
        <v>0</v>
      </c>
      <c r="DN44" s="34"/>
      <c r="DO44" s="183">
        <f t="shared" ca="1" si="5"/>
        <v>0</v>
      </c>
      <c r="DP44" s="183">
        <f t="shared" ca="1" si="6"/>
        <v>0</v>
      </c>
      <c r="DQ44" s="183">
        <f t="shared" ca="1" si="7"/>
        <v>0</v>
      </c>
      <c r="DR44" s="183">
        <f t="shared" ca="1" si="8"/>
        <v>0</v>
      </c>
      <c r="DS44" s="182">
        <f t="shared" ca="1" si="9"/>
        <v>0</v>
      </c>
      <c r="DT44" s="182">
        <f t="shared" ca="1" si="10"/>
        <v>0</v>
      </c>
      <c r="DU44" s="182"/>
      <c r="DV44" s="182"/>
      <c r="DW44" s="182"/>
    </row>
    <row r="45" spans="2:127" hidden="1" outlineLevel="1">
      <c r="B45" s="148">
        <v>7</v>
      </c>
      <c r="C45" s="154" t="str">
        <f ca="1">OFFSET(gr_anchor,B45,B38)</f>
        <v/>
      </c>
      <c r="D45" s="150" t="str">
        <f ca="1">IF(OFFSET(D39,D38-1,1+(B45-1)*2)="","",OFFSET(D39,D38-1,1+(B45-1)*2))</f>
        <v/>
      </c>
      <c r="E45" s="150" t="str">
        <f ca="1">IF(OFFSET(D39,D38-1,(B45-1)*2)="","",OFFSET(D39,D38-1,(B45-1)*2))</f>
        <v/>
      </c>
      <c r="F45" s="150" t="str">
        <f ca="1">IF(OFFSET(D39,F38-1,1+(B45-1)*2)="","",OFFSET(D39,F38-1,1+(B45-1)*2))</f>
        <v/>
      </c>
      <c r="G45" s="150" t="str">
        <f ca="1">IF(OFFSET(D39,F38-1,(B45-1)*2)="","",OFFSET(D39,F38-1,(B45-1)*2))</f>
        <v/>
      </c>
      <c r="H45" s="150" t="str">
        <f ca="1">IF(OFFSET(D39,H38-1,1+(B45-1)*2)="","",OFFSET(D39,H38-1,1+(B45-1)*2))</f>
        <v/>
      </c>
      <c r="I45" s="150" t="str">
        <f ca="1">IF(OFFSET(D39,H38-1,(B45-1)*2)="","",OFFSET(D39,H38-1,(B45-1)*2))</f>
        <v/>
      </c>
      <c r="J45" s="150" t="str">
        <f ca="1">IF(OFFSET(D39,J38-1,1+(B45-1)*2)="","",OFFSET(D39,J38-1,1+(B45-1)*2))</f>
        <v/>
      </c>
      <c r="K45" s="150" t="str">
        <f ca="1">IF(OFFSET(D39,J38-1,(B45-1)*2)="","",OFFSET(D39,J38-1,(B45-1)*2))</f>
        <v/>
      </c>
      <c r="L45" s="150" t="str">
        <f ca="1">IF(OFFSET(D39,L38-1,1+(B45-1)*2)="","",OFFSET(D39,L38-1,1+(B45-1)*2))</f>
        <v/>
      </c>
      <c r="M45" s="150" t="str">
        <f ca="1">IF(OFFSET(D39,L38-1,(B45-1)*2)="","",OFFSET(D39,L38-1,(B45-1)*2))</f>
        <v/>
      </c>
      <c r="N45" s="150" t="str">
        <f ca="1">IF(OFFSET(D39,N38-1,1+(B45-1)*2)="","",OFFSET(D39,N38-1,1+(B45-1)*2))</f>
        <v/>
      </c>
      <c r="O45" s="150" t="str">
        <f ca="1">IF(OFFSET(D39,N38-1,(B45-1)*2)="","",OFFSET(D39,N38-1,(B45-1)*2))</f>
        <v/>
      </c>
      <c r="P45" s="155"/>
      <c r="Q45" s="149"/>
      <c r="R45" s="150"/>
      <c r="S45" s="150"/>
      <c r="T45" s="151">
        <f ca="1">COUNTIF(OFFSET(E39,0,(B45-1)*2,8),2)*2+COUNTIF(OFFSET(D39,0,(B45-1)*2,8),2)</f>
        <v>0</v>
      </c>
      <c r="U45" s="151">
        <f ca="1">RANK(AZ45,AZ39:AZ46)*AY45</f>
        <v>0</v>
      </c>
      <c r="V45" s="151">
        <f t="shared" ca="1" si="55"/>
        <v>0</v>
      </c>
      <c r="W45" s="151">
        <f t="shared" ca="1" si="56"/>
        <v>0</v>
      </c>
      <c r="X45" s="152" t="str">
        <f t="shared" ca="1" si="52"/>
        <v/>
      </c>
      <c r="Y45" s="153"/>
      <c r="Z45" s="148">
        <v>7</v>
      </c>
      <c r="AA45" s="154" t="str">
        <f ca="1">OFFSET(gr_anchor,Z45,Z38)</f>
        <v/>
      </c>
      <c r="AB45" s="150" t="str">
        <f ca="1">IF(OFFSET(AB39,AB38-1,1+(Z45-1)*2)="","",OFFSET(AB39,AB38-1,1+(Z45-1)*2))</f>
        <v/>
      </c>
      <c r="AC45" s="150" t="str">
        <f ca="1">IF(OFFSET(AB39,AB38-1,(Z45-1)*2)="","",OFFSET(AB39,AB38-1,(Z45-1)*2))</f>
        <v/>
      </c>
      <c r="AD45" s="150" t="str">
        <f ca="1">IF(OFFSET(AB39,AD38-1,1+(Z45-1)*2)="","",OFFSET(AB39,AD38-1,1+(Z45-1)*2))</f>
        <v/>
      </c>
      <c r="AE45" s="150" t="str">
        <f ca="1">IF(OFFSET(AB39,AD38-1,(Z45-1)*2)="","",OFFSET(AB39,AD38-1,(Z45-1)*2))</f>
        <v/>
      </c>
      <c r="AF45" s="150" t="str">
        <f ca="1">IF(OFFSET(AB39,AF38-1,1+(Z45-1)*2)="","",OFFSET(AB39,AF38-1,1+(Z45-1)*2))</f>
        <v/>
      </c>
      <c r="AG45" s="150" t="str">
        <f ca="1">IF(OFFSET(AB39,AF38-1,(Z45-1)*2)="","",OFFSET(AB39,AF38-1,(Z45-1)*2))</f>
        <v/>
      </c>
      <c r="AH45" s="150" t="str">
        <f ca="1">IF(OFFSET(AB39,AH38-1,1+(Z45-1)*2)="","",OFFSET(AB39,AH38-1,1+(Z45-1)*2))</f>
        <v/>
      </c>
      <c r="AI45" s="150" t="str">
        <f ca="1">IF(OFFSET(AB39,AH38-1,(Z45-1)*2)="","",OFFSET(AB39,AH38-1,(Z45-1)*2))</f>
        <v/>
      </c>
      <c r="AJ45" s="150" t="str">
        <f ca="1">IF(OFFSET(AB39,AJ38-1,1+(Z45-1)*2)="","",OFFSET(AB39,AJ38-1,1+(Z45-1)*2))</f>
        <v/>
      </c>
      <c r="AK45" s="150" t="str">
        <f ca="1">IF(OFFSET(AB39,AJ38-1,(Z45-1)*2)="","",OFFSET(AB39,AJ38-1,(Z45-1)*2))</f>
        <v/>
      </c>
      <c r="AL45" s="150" t="str">
        <f ca="1">IF(OFFSET(AB39,AL38-1,1+(Z45-1)*2)="","",OFFSET(AB39,AL38-1,1+(Z45-1)*2))</f>
        <v/>
      </c>
      <c r="AM45" s="150" t="str">
        <f ca="1">IF(OFFSET(AB39,AL38-1,(Z45-1)*2)="","",OFFSET(AB39,AL38-1,(Z45-1)*2))</f>
        <v/>
      </c>
      <c r="AN45" s="155"/>
      <c r="AO45" s="149"/>
      <c r="AP45" s="150"/>
      <c r="AQ45" s="150"/>
      <c r="AR45" s="151">
        <f ca="1">COUNTIF(OFFSET(AC39,0,(Z45-1)*2,8),2)*2+COUNTIF(OFFSET(AB39,0,(Z45-1)*2,8),2)</f>
        <v>0</v>
      </c>
      <c r="AS45" s="151">
        <f ca="1">RANK(CC45,CC39:CC46)*CB45</f>
        <v>0</v>
      </c>
      <c r="AT45" s="151">
        <f t="shared" ca="1" si="57"/>
        <v>0</v>
      </c>
      <c r="AU45" s="151">
        <f t="shared" ca="1" si="58"/>
        <v>0</v>
      </c>
      <c r="AV45" s="152" t="str">
        <f t="shared" ca="1" si="59"/>
        <v/>
      </c>
      <c r="AW45" s="153"/>
      <c r="AX45" s="156">
        <f ca="1">COUNTA(C39:C46)-COUNTBLANK(C39:C46)</f>
        <v>0</v>
      </c>
      <c r="AY45" s="156">
        <f t="shared" ca="1" si="53"/>
        <v>0</v>
      </c>
      <c r="AZ45" s="157">
        <f t="shared" ca="1" si="60"/>
        <v>0</v>
      </c>
      <c r="BA45" s="156">
        <f ca="1">IF(T45=OFFSET(T38,BA38,0),1,0)</f>
        <v>1</v>
      </c>
      <c r="BB45" s="156">
        <f ca="1">IF(T45=OFFSET(T38,BB38,0),1,0)</f>
        <v>1</v>
      </c>
      <c r="BC45" s="156">
        <f ca="1">IF(T45=OFFSET(T38,BC38,0),1,0)</f>
        <v>1</v>
      </c>
      <c r="BD45" s="156">
        <f ca="1">IF(T45=OFFSET(T38,BD38,0),1,0)</f>
        <v>1</v>
      </c>
      <c r="BE45" s="156">
        <f ca="1">IF(T45=OFFSET(T38,BE38,0),1,0)</f>
        <v>1</v>
      </c>
      <c r="BF45" s="156">
        <f ca="1">IF(T45=OFFSET(T38,BF38,0),1,0)</f>
        <v>1</v>
      </c>
      <c r="BG45" s="156">
        <f ca="1">IF(T45=OFFSET(T38,BG38,0),1,0)</f>
        <v>1</v>
      </c>
      <c r="BH45" s="156">
        <f ca="1">IF(T45=OFFSET(T38,BH38,0),1,0)</f>
        <v>1</v>
      </c>
      <c r="BI45" s="156" t="str">
        <f ca="1">OFFSET(C45,0,1+(BI38-1)*2)</f>
        <v/>
      </c>
      <c r="BJ45" s="156" t="str">
        <f ca="1">OFFSET(C45,0,1+(BJ38-1)*2)</f>
        <v/>
      </c>
      <c r="BK45" s="156" t="str">
        <f ca="1">OFFSET(C45,0,1+(BK38-1)*2)</f>
        <v/>
      </c>
      <c r="BL45" s="156" t="str">
        <f ca="1">OFFSET(C45,0,1+(BL38-1)*2)</f>
        <v/>
      </c>
      <c r="BM45" s="156" t="str">
        <f ca="1">OFFSET(C45,0,1+(BM38-1)*2)</f>
        <v/>
      </c>
      <c r="BN45" s="156" t="str">
        <f ca="1">OFFSET(C45,0,1+(BN38-1)*2)</f>
        <v/>
      </c>
      <c r="BO45" s="156">
        <f ca="1">OFFSET(C45,0,1+(BO38-1)*2)</f>
        <v>0</v>
      </c>
      <c r="BP45" s="156">
        <f ca="1">OFFSET(C45,0,1+(BP38-1)*2)</f>
        <v>0</v>
      </c>
      <c r="BQ45" s="156" t="str">
        <f t="shared" ca="1" si="61"/>
        <v/>
      </c>
      <c r="BR45" s="156" t="str">
        <f t="shared" ca="1" si="61"/>
        <v/>
      </c>
      <c r="BS45" s="156" t="str">
        <f t="shared" ca="1" si="61"/>
        <v/>
      </c>
      <c r="BT45" s="156" t="str">
        <f t="shared" ca="1" si="61"/>
        <v/>
      </c>
      <c r="BU45" s="156" t="str">
        <f t="shared" ca="1" si="61"/>
        <v/>
      </c>
      <c r="BV45" s="156" t="str">
        <f t="shared" ca="1" si="61"/>
        <v/>
      </c>
      <c r="BW45" s="156">
        <f t="shared" ca="1" si="61"/>
        <v>0</v>
      </c>
      <c r="BX45" s="156">
        <f t="shared" ca="1" si="61"/>
        <v>0</v>
      </c>
      <c r="BY45" s="156">
        <f t="shared" ca="1" si="62"/>
        <v>8</v>
      </c>
      <c r="CA45" s="156">
        <f ca="1">COUNTA(AA39:AA46)-COUNTBLANK(AA39:AA46)</f>
        <v>0</v>
      </c>
      <c r="CB45" s="156">
        <f t="shared" ca="1" si="63"/>
        <v>0</v>
      </c>
      <c r="CC45" s="157">
        <f t="shared" ca="1" si="64"/>
        <v>0</v>
      </c>
      <c r="CD45" s="156">
        <f ca="1">IF(AR45=OFFSET(AR38,CD38,0),1,0)</f>
        <v>1</v>
      </c>
      <c r="CE45" s="156">
        <f ca="1">IF(AR45=OFFSET(AR38,CE38,0),1,0)</f>
        <v>1</v>
      </c>
      <c r="CF45" s="156">
        <f ca="1">IF(AR45=OFFSET(AR38,CF38,0),1,0)</f>
        <v>1</v>
      </c>
      <c r="CG45" s="156">
        <f ca="1">IF(AR45=OFFSET(AR38,CG38,0),1,0)</f>
        <v>1</v>
      </c>
      <c r="CH45" s="156">
        <f ca="1">IF(AR45=OFFSET(AR38,CH38,0),1,0)</f>
        <v>1</v>
      </c>
      <c r="CI45" s="156">
        <f ca="1">IF(AR45=OFFSET(AR38,CI38,0),1,0)</f>
        <v>1</v>
      </c>
      <c r="CJ45" s="156">
        <f ca="1">IF(AR45=OFFSET(AR38,CJ38,0),1,0)</f>
        <v>1</v>
      </c>
      <c r="CK45" s="156">
        <f ca="1">IF(AR45=OFFSET(AR38,CK38,0),1,0)</f>
        <v>1</v>
      </c>
      <c r="CL45" s="156" t="str">
        <f ca="1">OFFSET(AA45,0,1+(CL38-1)*2)</f>
        <v/>
      </c>
      <c r="CM45" s="156" t="str">
        <f ca="1">OFFSET(AA45,0,1+(CM38-1)*2)</f>
        <v/>
      </c>
      <c r="CN45" s="156" t="str">
        <f ca="1">OFFSET(AA45,0,1+(CN38-1)*2)</f>
        <v/>
      </c>
      <c r="CO45" s="156" t="str">
        <f ca="1">OFFSET(AA45,0,1+(CO38-1)*2)</f>
        <v/>
      </c>
      <c r="CP45" s="156" t="str">
        <f ca="1">OFFSET(AA45,0,1+(CP38-1)*2)</f>
        <v/>
      </c>
      <c r="CQ45" s="156" t="str">
        <f ca="1">OFFSET(AA45,0,1+(CQ38-1)*2)</f>
        <v/>
      </c>
      <c r="CR45" s="156">
        <f ca="1">OFFSET(AA45,0,1+(CR38-1)*2)</f>
        <v>0</v>
      </c>
      <c r="CS45" s="156">
        <f ca="1">OFFSET(AA45,0,1+(CS38-1)*2)</f>
        <v>0</v>
      </c>
      <c r="CT45" s="156" t="str">
        <f ca="1">OFFSET(AA45,0,2+(CT38-1)*2)</f>
        <v/>
      </c>
      <c r="CU45" s="156" t="str">
        <f ca="1">OFFSET(AA45,0,2+(CU38-1)*2)</f>
        <v/>
      </c>
      <c r="CV45" s="156" t="str">
        <f ca="1">OFFSET(AA45,0,2+(CV38-1)*2)</f>
        <v/>
      </c>
      <c r="CW45" s="156" t="str">
        <f ca="1">OFFSET(AA45,0,2+(CW38-1)*2)</f>
        <v/>
      </c>
      <c r="CX45" s="156" t="str">
        <f ca="1">OFFSET(AA45,0,2+(CX38-1)*2)</f>
        <v/>
      </c>
      <c r="CY45" s="156" t="str">
        <f ca="1">OFFSET(AA45,0,2+(CY38-1)*2)</f>
        <v/>
      </c>
      <c r="CZ45" s="156">
        <f ca="1">OFFSET(AA45,0,2+(CZ38-1)*2)</f>
        <v>0</v>
      </c>
      <c r="DA45" s="156">
        <f ca="1">OFFSET(AA45,0,2+(DA38-1)*2)</f>
        <v>0</v>
      </c>
      <c r="DB45" s="156">
        <f t="shared" ca="1" si="65"/>
        <v>8</v>
      </c>
      <c r="DE45" s="159"/>
      <c r="DF45" s="159"/>
      <c r="DG45" s="159">
        <v>2</v>
      </c>
      <c r="DH45" s="159">
        <v>5</v>
      </c>
      <c r="DI45" s="123">
        <f t="shared" si="51"/>
        <v>2</v>
      </c>
      <c r="DJ45" s="36" t="str">
        <f ca="1">OFFSET(gr_header,DG45+DE36,1+DF36)</f>
        <v/>
      </c>
      <c r="DK45" s="36" t="str">
        <f ca="1">OFFSET(gr_header,DH45+DE36,1+DF36)</f>
        <v/>
      </c>
      <c r="DL45" s="123">
        <f ca="1">OFFSET(gr_header,DG45+DE36,2*DH45+DF36)</f>
        <v>0</v>
      </c>
      <c r="DM45" s="123">
        <f ca="1">OFFSET(gr_header,DG45+DE36,2*DH45+1+DF36)</f>
        <v>0</v>
      </c>
      <c r="DN45" s="34"/>
      <c r="DO45" s="183">
        <f t="shared" ca="1" si="5"/>
        <v>0</v>
      </c>
      <c r="DP45" s="183">
        <f t="shared" ca="1" si="6"/>
        <v>0</v>
      </c>
      <c r="DQ45" s="183">
        <f t="shared" ca="1" si="7"/>
        <v>0</v>
      </c>
      <c r="DR45" s="183">
        <f t="shared" ca="1" si="8"/>
        <v>0</v>
      </c>
      <c r="DS45" s="182">
        <f t="shared" ca="1" si="9"/>
        <v>0</v>
      </c>
      <c r="DT45" s="182">
        <f t="shared" ca="1" si="10"/>
        <v>0</v>
      </c>
      <c r="DU45" s="182"/>
      <c r="DV45" s="182"/>
      <c r="DW45" s="182"/>
    </row>
    <row r="46" spans="2:127" hidden="1" outlineLevel="1">
      <c r="B46" s="148">
        <v>8</v>
      </c>
      <c r="C46" s="154" t="str">
        <f ca="1">OFFSET(gr_anchor,B46,B38)</f>
        <v/>
      </c>
      <c r="D46" s="150" t="str">
        <f ca="1">IF(OFFSET(D39,D38-1,1+(B46-1)*2)="","",OFFSET(D39,D38-1,1+(B46-1)*2))</f>
        <v/>
      </c>
      <c r="E46" s="150" t="str">
        <f ca="1">IF(OFFSET(D39,D38-1,(B46-1)*2)="","",OFFSET(D39,D38-1,(B46-1)*2))</f>
        <v/>
      </c>
      <c r="F46" s="150" t="str">
        <f ca="1">IF(OFFSET(D39,F38-1,1+(B46-1)*2)="","",OFFSET(D39,F38-1,1+(B46-1)*2))</f>
        <v/>
      </c>
      <c r="G46" s="150" t="str">
        <f ca="1">IF(OFFSET(D39,F38-1,(B46-1)*2)="","",OFFSET(D39,F38-1,(B46-1)*2))</f>
        <v/>
      </c>
      <c r="H46" s="150" t="str">
        <f ca="1">IF(OFFSET(D39,H38-1,1+(B46-1)*2)="","",OFFSET(D39,H38-1,1+(B46-1)*2))</f>
        <v/>
      </c>
      <c r="I46" s="150" t="str">
        <f ca="1">IF(OFFSET(D39,H38-1,(B46-1)*2)="","",OFFSET(D39,H38-1,(B46-1)*2))</f>
        <v/>
      </c>
      <c r="J46" s="150" t="str">
        <f ca="1">IF(OFFSET(D39,J38-1,1+(B46-1)*2)="","",OFFSET(D39,J38-1,1+(B46-1)*2))</f>
        <v/>
      </c>
      <c r="K46" s="150" t="str">
        <f ca="1">IF(OFFSET(D39,J38-1,(B46-1)*2)="","",OFFSET(D39,J38-1,(B46-1)*2))</f>
        <v/>
      </c>
      <c r="L46" s="150" t="str">
        <f ca="1">IF(OFFSET(D39,L38-1,1+(B46-1)*2)="","",OFFSET(D39,L38-1,1+(B46-1)*2))</f>
        <v/>
      </c>
      <c r="M46" s="150" t="str">
        <f ca="1">IF(OFFSET(D39,L38-1,(B46-1)*2)="","",OFFSET(D39,L38-1,(B46-1)*2))</f>
        <v/>
      </c>
      <c r="N46" s="150" t="str">
        <f ca="1">IF(OFFSET(D39,N38-1,1+(B46-1)*2)="","",OFFSET(D39,N38-1,1+(B46-1)*2))</f>
        <v/>
      </c>
      <c r="O46" s="150" t="str">
        <f ca="1">IF(OFFSET(D39,N38-1,(B46-1)*2)="","",OFFSET(D39,N38-1,(B46-1)*2))</f>
        <v/>
      </c>
      <c r="P46" s="150" t="str">
        <f ca="1">IF(OFFSET(D39,P38-1,1+(B46-1)*2)="","",OFFSET(D39,P38-1,1+(B46-1)*2))</f>
        <v/>
      </c>
      <c r="Q46" s="150" t="str">
        <f ca="1">IF(OFFSET(D39,P38-1,(B46-1)*2)="","",OFFSET(D39,P38-1,(B46-1)*2))</f>
        <v/>
      </c>
      <c r="R46" s="155"/>
      <c r="S46" s="149"/>
      <c r="T46" s="151">
        <f ca="1">COUNTIF(OFFSET(E39,0,(B46-1)*2,8),2)*2+COUNTIF(OFFSET(D39,0,(B46-1)*2,8),2)</f>
        <v>0</v>
      </c>
      <c r="U46" s="151">
        <f ca="1">RANK(AZ46,AZ39:AZ46)*AY46</f>
        <v>0</v>
      </c>
      <c r="V46" s="151">
        <f t="shared" ca="1" si="55"/>
        <v>0</v>
      </c>
      <c r="W46" s="151">
        <f t="shared" ca="1" si="56"/>
        <v>0</v>
      </c>
      <c r="X46" s="152" t="str">
        <f t="shared" ca="1" si="52"/>
        <v/>
      </c>
      <c r="Y46" s="153"/>
      <c r="Z46" s="148">
        <v>8</v>
      </c>
      <c r="AA46" s="154" t="str">
        <f ca="1">OFFSET(gr_anchor,Z46,Z38)</f>
        <v/>
      </c>
      <c r="AB46" s="150" t="str">
        <f ca="1">IF(OFFSET(AB39,AB38-1,1+(Z46-1)*2)="","",OFFSET(AB39,AB38-1,1+(Z46-1)*2))</f>
        <v/>
      </c>
      <c r="AC46" s="150" t="str">
        <f ca="1">IF(OFFSET(AB39,AB38-1,(Z46-1)*2)="","",OFFSET(AB39,AB38-1,(Z46-1)*2))</f>
        <v/>
      </c>
      <c r="AD46" s="150" t="str">
        <f ca="1">IF(OFFSET(AB39,AD38-1,1+(Z46-1)*2)="","",OFFSET(AB39,AD38-1,1+(Z46-1)*2))</f>
        <v/>
      </c>
      <c r="AE46" s="150" t="str">
        <f ca="1">IF(OFFSET(AB39,AD38-1,(Z46-1)*2)="","",OFFSET(AB39,AD38-1,(Z46-1)*2))</f>
        <v/>
      </c>
      <c r="AF46" s="150" t="str">
        <f ca="1">IF(OFFSET(AB39,AF38-1,1+(Z46-1)*2)="","",OFFSET(AB39,AF38-1,1+(Z46-1)*2))</f>
        <v/>
      </c>
      <c r="AG46" s="150" t="str">
        <f ca="1">IF(OFFSET(AB39,AF38-1,(Z46-1)*2)="","",OFFSET(AB39,AF38-1,(Z46-1)*2))</f>
        <v/>
      </c>
      <c r="AH46" s="150" t="str">
        <f ca="1">IF(OFFSET(AB39,AH38-1,1+(Z46-1)*2)="","",OFFSET(AB39,AH38-1,1+(Z46-1)*2))</f>
        <v/>
      </c>
      <c r="AI46" s="150" t="str">
        <f ca="1">IF(OFFSET(AB39,AH38-1,(Z46-1)*2)="","",OFFSET(AB39,AH38-1,(Z46-1)*2))</f>
        <v/>
      </c>
      <c r="AJ46" s="150" t="str">
        <f ca="1">IF(OFFSET(AB39,AJ38-1,1+(Z46-1)*2)="","",OFFSET(AB39,AJ38-1,1+(Z46-1)*2))</f>
        <v/>
      </c>
      <c r="AK46" s="150" t="str">
        <f ca="1">IF(OFFSET(AB39,AJ38-1,(Z46-1)*2)="","",OFFSET(AB39,AJ38-1,(Z46-1)*2))</f>
        <v/>
      </c>
      <c r="AL46" s="150" t="str">
        <f ca="1">IF(OFFSET(AB39,AL38-1,1+(Z46-1)*2)="","",OFFSET(AB39,AL38-1,1+(Z46-1)*2))</f>
        <v/>
      </c>
      <c r="AM46" s="150" t="str">
        <f ca="1">IF(OFFSET(AB39,AL38-1,(Z46-1)*2)="","",OFFSET(AB39,AL38-1,(Z46-1)*2))</f>
        <v/>
      </c>
      <c r="AN46" s="150" t="str">
        <f ca="1">IF(OFFSET(AB39,AN38-1,1+(Z46-1)*2)="","",OFFSET(AB39,AN38-1,1+(Z46-1)*2))</f>
        <v/>
      </c>
      <c r="AO46" s="150" t="str">
        <f ca="1">IF(OFFSET(AB39,AN38-1,(Z46-1)*2)="","",OFFSET(AB39,AN38-1,(Z46-1)*2))</f>
        <v/>
      </c>
      <c r="AP46" s="155"/>
      <c r="AQ46" s="149"/>
      <c r="AR46" s="151">
        <f ca="1">COUNTIF(OFFSET(AC39,0,(Z46-1)*2,8),2)*2+COUNTIF(OFFSET(AB39,0,(Z46-1)*2,8),2)</f>
        <v>0</v>
      </c>
      <c r="AS46" s="151">
        <f ca="1">RANK(CC46,CC39:CC46)*CB46</f>
        <v>0</v>
      </c>
      <c r="AT46" s="151">
        <f t="shared" ca="1" si="57"/>
        <v>0</v>
      </c>
      <c r="AU46" s="151">
        <f t="shared" ca="1" si="58"/>
        <v>0</v>
      </c>
      <c r="AV46" s="152" t="str">
        <f t="shared" ca="1" si="59"/>
        <v/>
      </c>
      <c r="AW46" s="153"/>
      <c r="AX46" s="156">
        <f ca="1">COUNTA(C39:C46)-COUNTBLANK(C39:C46)</f>
        <v>0</v>
      </c>
      <c r="AY46" s="156">
        <f t="shared" ca="1" si="53"/>
        <v>0</v>
      </c>
      <c r="AZ46" s="157">
        <f t="shared" ca="1" si="60"/>
        <v>0</v>
      </c>
      <c r="BA46" s="156">
        <f ca="1">IF(T46=OFFSET(T38,BA38,0),1,0)</f>
        <v>1</v>
      </c>
      <c r="BB46" s="156">
        <f ca="1">IF(T46=OFFSET(T38,BB38,0),1,0)</f>
        <v>1</v>
      </c>
      <c r="BC46" s="156">
        <f ca="1">IF(T46=OFFSET(T38,BC38,0),1,0)</f>
        <v>1</v>
      </c>
      <c r="BD46" s="156">
        <f ca="1">IF(T46=OFFSET(T38,BD38,0),1,0)</f>
        <v>1</v>
      </c>
      <c r="BE46" s="156">
        <f ca="1">IF(T46=OFFSET(T38,BE38,0),1,0)</f>
        <v>1</v>
      </c>
      <c r="BF46" s="156">
        <f ca="1">IF(T46=OFFSET(T38,BF38,0),1,0)</f>
        <v>1</v>
      </c>
      <c r="BG46" s="156">
        <f ca="1">IF(T46=OFFSET(T38,BG38,0),1,0)</f>
        <v>1</v>
      </c>
      <c r="BH46" s="156">
        <f ca="1">IF(T46=OFFSET(T38,BH38,0),1,0)</f>
        <v>1</v>
      </c>
      <c r="BI46" s="156" t="str">
        <f ca="1">OFFSET(C46,0,1+(BI38-1)*2)</f>
        <v/>
      </c>
      <c r="BJ46" s="156" t="str">
        <f ca="1">OFFSET(C46,0,1+(BJ38-1)*2)</f>
        <v/>
      </c>
      <c r="BK46" s="156" t="str">
        <f ca="1">OFFSET(C46,0,1+(BK38-1)*2)</f>
        <v/>
      </c>
      <c r="BL46" s="156" t="str">
        <f ca="1">OFFSET(C46,0,1+(BL38-1)*2)</f>
        <v/>
      </c>
      <c r="BM46" s="156" t="str">
        <f ca="1">OFFSET(C46,0,1+(BM38-1)*2)</f>
        <v/>
      </c>
      <c r="BN46" s="156" t="str">
        <f ca="1">OFFSET(C46,0,1+(BN38-1)*2)</f>
        <v/>
      </c>
      <c r="BO46" s="156" t="str">
        <f ca="1">OFFSET(C46,0,1+(BO38-1)*2)</f>
        <v/>
      </c>
      <c r="BP46" s="156">
        <f ca="1">OFFSET(C46,0,1+(BP38-1)*2)</f>
        <v>0</v>
      </c>
      <c r="BQ46" s="156" t="str">
        <f t="shared" ca="1" si="61"/>
        <v/>
      </c>
      <c r="BR46" s="156" t="str">
        <f t="shared" ca="1" si="61"/>
        <v/>
      </c>
      <c r="BS46" s="156" t="str">
        <f t="shared" ca="1" si="61"/>
        <v/>
      </c>
      <c r="BT46" s="156" t="str">
        <f t="shared" ca="1" si="61"/>
        <v/>
      </c>
      <c r="BU46" s="156" t="str">
        <f t="shared" ca="1" si="61"/>
        <v/>
      </c>
      <c r="BV46" s="156" t="str">
        <f t="shared" ca="1" si="61"/>
        <v/>
      </c>
      <c r="BW46" s="156" t="str">
        <f t="shared" ca="1" si="61"/>
        <v/>
      </c>
      <c r="BX46" s="156">
        <f t="shared" ca="1" si="61"/>
        <v>0</v>
      </c>
      <c r="BY46" s="156">
        <f t="shared" ca="1" si="62"/>
        <v>8</v>
      </c>
      <c r="CA46" s="156">
        <f ca="1">COUNTA(AA39:AA46)-COUNTBLANK(AA39:AA46)</f>
        <v>0</v>
      </c>
      <c r="CB46" s="156">
        <f t="shared" ca="1" si="63"/>
        <v>0</v>
      </c>
      <c r="CC46" s="157">
        <f t="shared" ca="1" si="64"/>
        <v>0</v>
      </c>
      <c r="CD46" s="156">
        <f ca="1">IF(AR46=OFFSET(AR38,CD38,0),1,0)</f>
        <v>1</v>
      </c>
      <c r="CE46" s="156">
        <f ca="1">IF(AR46=OFFSET(AR38,CE38,0),1,0)</f>
        <v>1</v>
      </c>
      <c r="CF46" s="156">
        <f ca="1">IF(AR46=OFFSET(AR38,CF38,0),1,0)</f>
        <v>1</v>
      </c>
      <c r="CG46" s="156">
        <f ca="1">IF(AR46=OFFSET(AR38,CG38,0),1,0)</f>
        <v>1</v>
      </c>
      <c r="CH46" s="156">
        <f ca="1">IF(AR46=OFFSET(AR38,CH38,0),1,0)</f>
        <v>1</v>
      </c>
      <c r="CI46" s="156">
        <f ca="1">IF(AR46=OFFSET(AR38,CI38,0),1,0)</f>
        <v>1</v>
      </c>
      <c r="CJ46" s="156">
        <f ca="1">IF(AR46=OFFSET(AR38,CJ38,0),1,0)</f>
        <v>1</v>
      </c>
      <c r="CK46" s="156">
        <f ca="1">IF(AR46=OFFSET(AR38,CK38,0),1,0)</f>
        <v>1</v>
      </c>
      <c r="CL46" s="156" t="str">
        <f ca="1">OFFSET(AA46,0,1+(CL38-1)*2)</f>
        <v/>
      </c>
      <c r="CM46" s="156" t="str">
        <f ca="1">OFFSET(AA46,0,1+(CM38-1)*2)</f>
        <v/>
      </c>
      <c r="CN46" s="156" t="str">
        <f ca="1">OFFSET(AA46,0,1+(CN38-1)*2)</f>
        <v/>
      </c>
      <c r="CO46" s="156" t="str">
        <f ca="1">OFFSET(AA46,0,1+(CO38-1)*2)</f>
        <v/>
      </c>
      <c r="CP46" s="156" t="str">
        <f ca="1">OFFSET(AA46,0,1+(CP38-1)*2)</f>
        <v/>
      </c>
      <c r="CQ46" s="156" t="str">
        <f ca="1">OFFSET(AA46,0,1+(CQ38-1)*2)</f>
        <v/>
      </c>
      <c r="CR46" s="156" t="str">
        <f ca="1">OFFSET(AA46,0,1+(CR38-1)*2)</f>
        <v/>
      </c>
      <c r="CS46" s="156">
        <f ca="1">OFFSET(AA46,0,1+(CS38-1)*2)</f>
        <v>0</v>
      </c>
      <c r="CT46" s="156" t="str">
        <f ca="1">OFFSET(AA46,0,2+(CT38-1)*2)</f>
        <v/>
      </c>
      <c r="CU46" s="156" t="str">
        <f ca="1">OFFSET(AA46,0,2+(CU38-1)*2)</f>
        <v/>
      </c>
      <c r="CV46" s="156" t="str">
        <f ca="1">OFFSET(AA46,0,2+(CV38-1)*2)</f>
        <v/>
      </c>
      <c r="CW46" s="156" t="str">
        <f ca="1">OFFSET(AA46,0,2+(CW38-1)*2)</f>
        <v/>
      </c>
      <c r="CX46" s="156" t="str">
        <f ca="1">OFFSET(AA46,0,2+(CX38-1)*2)</f>
        <v/>
      </c>
      <c r="CY46" s="156" t="str">
        <f ca="1">OFFSET(AA46,0,2+(CY38-1)*2)</f>
        <v/>
      </c>
      <c r="CZ46" s="156" t="str">
        <f ca="1">OFFSET(AA46,0,2+(CZ38-1)*2)</f>
        <v/>
      </c>
      <c r="DA46" s="156">
        <f ca="1">OFFSET(AA46,0,2+(DA38-1)*2)</f>
        <v>0</v>
      </c>
      <c r="DB46" s="156">
        <f t="shared" ca="1" si="65"/>
        <v>8</v>
      </c>
      <c r="DE46" s="159"/>
      <c r="DF46" s="159"/>
      <c r="DG46" s="159">
        <v>2</v>
      </c>
      <c r="DH46" s="159">
        <v>6</v>
      </c>
      <c r="DI46" s="123">
        <f t="shared" si="51"/>
        <v>2</v>
      </c>
      <c r="DJ46" s="36" t="str">
        <f ca="1">OFFSET(gr_header,DG46+DE36,1+DF36)</f>
        <v/>
      </c>
      <c r="DK46" s="36" t="str">
        <f ca="1">OFFSET(gr_header,DH46+DE36,1+DF36)</f>
        <v/>
      </c>
      <c r="DL46" s="123">
        <f ca="1">OFFSET(gr_header,DG46+DE36,2*DH46+DF36)</f>
        <v>0</v>
      </c>
      <c r="DM46" s="123">
        <f ca="1">OFFSET(gr_header,DG46+DE36,2*DH46+1+DF36)</f>
        <v>0</v>
      </c>
      <c r="DN46" s="34"/>
      <c r="DO46" s="183">
        <f t="shared" ca="1" si="5"/>
        <v>0</v>
      </c>
      <c r="DP46" s="183">
        <f t="shared" ca="1" si="6"/>
        <v>0</v>
      </c>
      <c r="DQ46" s="183">
        <f t="shared" ca="1" si="7"/>
        <v>0</v>
      </c>
      <c r="DR46" s="183">
        <f t="shared" ca="1" si="8"/>
        <v>0</v>
      </c>
      <c r="DS46" s="182">
        <f t="shared" ca="1" si="9"/>
        <v>0</v>
      </c>
      <c r="DT46" s="182">
        <f t="shared" ca="1" si="10"/>
        <v>0</v>
      </c>
      <c r="DU46" s="182"/>
      <c r="DV46" s="182"/>
      <c r="DW46" s="182"/>
    </row>
    <row r="47" spans="2:127" ht="14.25" collapsed="1" thickBot="1">
      <c r="DE47" s="159"/>
      <c r="DF47" s="159"/>
      <c r="DG47" s="159">
        <v>2</v>
      </c>
      <c r="DH47" s="159">
        <v>7</v>
      </c>
      <c r="DI47" s="123">
        <f t="shared" si="51"/>
        <v>2</v>
      </c>
      <c r="DJ47" s="36" t="str">
        <f ca="1">OFFSET(gr_header,DG47+DE36,1+DF36)</f>
        <v/>
      </c>
      <c r="DK47" s="36" t="str">
        <f ca="1">OFFSET(gr_header,DH47+DE36,1+DF36)</f>
        <v/>
      </c>
      <c r="DL47" s="123">
        <f ca="1">OFFSET(gr_header,DG47+DE36,2*DH47+DF36)</f>
        <v>0</v>
      </c>
      <c r="DM47" s="123">
        <f ca="1">OFFSET(gr_header,DG47+DE36,2*DH47+1+DF36)</f>
        <v>0</v>
      </c>
      <c r="DN47" s="34"/>
      <c r="DO47" s="183">
        <f t="shared" ca="1" si="5"/>
        <v>0</v>
      </c>
      <c r="DP47" s="183">
        <f t="shared" ca="1" si="6"/>
        <v>0</v>
      </c>
      <c r="DQ47" s="183">
        <f t="shared" ca="1" si="7"/>
        <v>0</v>
      </c>
      <c r="DR47" s="183">
        <f t="shared" ca="1" si="8"/>
        <v>0</v>
      </c>
      <c r="DS47" s="182">
        <f t="shared" ca="1" si="9"/>
        <v>0</v>
      </c>
      <c r="DT47" s="182">
        <f t="shared" ca="1" si="10"/>
        <v>0</v>
      </c>
      <c r="DU47" s="182"/>
      <c r="DV47" s="182"/>
      <c r="DW47" s="182"/>
    </row>
    <row r="48" spans="2:127" ht="12" customHeight="1" thickBot="1">
      <c r="B48" s="164">
        <f>B38+2</f>
        <v>9</v>
      </c>
      <c r="C48" s="165" t="s">
        <v>38</v>
      </c>
      <c r="D48" s="205">
        <v>1</v>
      </c>
      <c r="E48" s="204"/>
      <c r="F48" s="203">
        <v>2</v>
      </c>
      <c r="G48" s="204"/>
      <c r="H48" s="203">
        <v>3</v>
      </c>
      <c r="I48" s="204"/>
      <c r="J48" s="203">
        <v>4</v>
      </c>
      <c r="K48" s="204"/>
      <c r="L48" s="203">
        <v>5</v>
      </c>
      <c r="M48" s="204"/>
      <c r="N48" s="200">
        <v>6</v>
      </c>
      <c r="O48" s="201"/>
      <c r="P48" s="200">
        <v>7</v>
      </c>
      <c r="Q48" s="201"/>
      <c r="R48" s="200">
        <v>8</v>
      </c>
      <c r="S48" s="202"/>
      <c r="T48" s="178" t="s">
        <v>88</v>
      </c>
      <c r="U48" s="178" t="s">
        <v>89</v>
      </c>
      <c r="V48" s="198" t="s">
        <v>5</v>
      </c>
      <c r="W48" s="198"/>
      <c r="X48" s="141" t="s">
        <v>6</v>
      </c>
      <c r="Y48" s="142"/>
      <c r="Z48" s="164">
        <f>Z38+2</f>
        <v>10</v>
      </c>
      <c r="AA48" s="165" t="s">
        <v>38</v>
      </c>
      <c r="AB48" s="205">
        <v>1</v>
      </c>
      <c r="AC48" s="204"/>
      <c r="AD48" s="203">
        <v>2</v>
      </c>
      <c r="AE48" s="204"/>
      <c r="AF48" s="203">
        <v>3</v>
      </c>
      <c r="AG48" s="204"/>
      <c r="AH48" s="203">
        <v>4</v>
      </c>
      <c r="AI48" s="204"/>
      <c r="AJ48" s="203">
        <v>5</v>
      </c>
      <c r="AK48" s="204"/>
      <c r="AL48" s="200">
        <v>6</v>
      </c>
      <c r="AM48" s="201"/>
      <c r="AN48" s="200">
        <v>7</v>
      </c>
      <c r="AO48" s="201"/>
      <c r="AP48" s="200">
        <v>8</v>
      </c>
      <c r="AQ48" s="202"/>
      <c r="AR48" s="178" t="s">
        <v>88</v>
      </c>
      <c r="AS48" s="178" t="s">
        <v>89</v>
      </c>
      <c r="AT48" s="198" t="s">
        <v>5</v>
      </c>
      <c r="AU48" s="198"/>
      <c r="AV48" s="141" t="s">
        <v>6</v>
      </c>
      <c r="AW48" s="142"/>
      <c r="AX48" s="143" t="s">
        <v>7</v>
      </c>
      <c r="AY48" s="143" t="s">
        <v>8</v>
      </c>
      <c r="AZ48" s="143" t="s">
        <v>9</v>
      </c>
      <c r="BA48" s="144">
        <v>1</v>
      </c>
      <c r="BB48" s="144">
        <v>2</v>
      </c>
      <c r="BC48" s="144">
        <v>3</v>
      </c>
      <c r="BD48" s="144">
        <v>4</v>
      </c>
      <c r="BE48" s="144">
        <v>5</v>
      </c>
      <c r="BF48" s="144">
        <v>6</v>
      </c>
      <c r="BG48" s="144">
        <v>7</v>
      </c>
      <c r="BH48" s="144">
        <v>8</v>
      </c>
      <c r="BI48" s="145">
        <v>1</v>
      </c>
      <c r="BJ48" s="145">
        <v>2</v>
      </c>
      <c r="BK48" s="145">
        <v>3</v>
      </c>
      <c r="BL48" s="145">
        <v>4</v>
      </c>
      <c r="BM48" s="145">
        <v>5</v>
      </c>
      <c r="BN48" s="145">
        <v>6</v>
      </c>
      <c r="BO48" s="145">
        <v>7</v>
      </c>
      <c r="BP48" s="145">
        <v>8</v>
      </c>
      <c r="BQ48" s="144">
        <v>1</v>
      </c>
      <c r="BR48" s="144">
        <v>2</v>
      </c>
      <c r="BS48" s="144">
        <v>3</v>
      </c>
      <c r="BT48" s="144">
        <v>4</v>
      </c>
      <c r="BU48" s="144">
        <v>5</v>
      </c>
      <c r="BV48" s="144">
        <v>6</v>
      </c>
      <c r="BW48" s="144">
        <v>7</v>
      </c>
      <c r="BX48" s="144">
        <v>8</v>
      </c>
      <c r="BY48" s="146"/>
      <c r="CA48" s="143" t="s">
        <v>7</v>
      </c>
      <c r="CB48" s="143" t="s">
        <v>8</v>
      </c>
      <c r="CC48" s="143" t="s">
        <v>9</v>
      </c>
      <c r="CD48" s="144">
        <v>1</v>
      </c>
      <c r="CE48" s="144">
        <v>2</v>
      </c>
      <c r="CF48" s="144">
        <v>3</v>
      </c>
      <c r="CG48" s="144">
        <v>4</v>
      </c>
      <c r="CH48" s="144">
        <v>5</v>
      </c>
      <c r="CI48" s="144">
        <v>6</v>
      </c>
      <c r="CJ48" s="144">
        <v>7</v>
      </c>
      <c r="CK48" s="144">
        <v>8</v>
      </c>
      <c r="CL48" s="145">
        <v>1</v>
      </c>
      <c r="CM48" s="145">
        <v>2</v>
      </c>
      <c r="CN48" s="145">
        <v>3</v>
      </c>
      <c r="CO48" s="145">
        <v>4</v>
      </c>
      <c r="CP48" s="145">
        <v>5</v>
      </c>
      <c r="CQ48" s="145">
        <v>6</v>
      </c>
      <c r="CR48" s="145">
        <v>7</v>
      </c>
      <c r="CS48" s="145">
        <v>8</v>
      </c>
      <c r="CT48" s="144">
        <v>1</v>
      </c>
      <c r="CU48" s="144">
        <v>2</v>
      </c>
      <c r="CV48" s="144">
        <v>3</v>
      </c>
      <c r="CW48" s="144">
        <v>4</v>
      </c>
      <c r="CX48" s="144">
        <v>5</v>
      </c>
      <c r="CY48" s="144">
        <v>6</v>
      </c>
      <c r="CZ48" s="144">
        <v>7</v>
      </c>
      <c r="DA48" s="144">
        <v>8</v>
      </c>
      <c r="DB48" s="146"/>
      <c r="DE48" s="159"/>
      <c r="DF48" s="159"/>
      <c r="DG48" s="159">
        <v>2</v>
      </c>
      <c r="DH48" s="159">
        <v>8</v>
      </c>
      <c r="DI48" s="123">
        <f t="shared" si="51"/>
        <v>2</v>
      </c>
      <c r="DJ48" s="36" t="str">
        <f ca="1">OFFSET(gr_header,DG48+DE36,1+DF36)</f>
        <v/>
      </c>
      <c r="DK48" s="36" t="str">
        <f ca="1">OFFSET(gr_header,DH48+DE36,1+DF36)</f>
        <v/>
      </c>
      <c r="DL48" s="123">
        <f ca="1">OFFSET(gr_header,DG48+DE36,2*DH48+DF36)</f>
        <v>0</v>
      </c>
      <c r="DM48" s="123">
        <f ca="1">OFFSET(gr_header,DG48+DE36,2*DH48+1+DF36)</f>
        <v>0</v>
      </c>
      <c r="DN48" s="34"/>
      <c r="DO48" s="183">
        <f t="shared" ca="1" si="5"/>
        <v>0</v>
      </c>
      <c r="DP48" s="183">
        <f t="shared" ca="1" si="6"/>
        <v>0</v>
      </c>
      <c r="DQ48" s="183">
        <f t="shared" ca="1" si="7"/>
        <v>0</v>
      </c>
      <c r="DR48" s="183">
        <f t="shared" ca="1" si="8"/>
        <v>0</v>
      </c>
      <c r="DS48" s="182">
        <f t="shared" ca="1" si="9"/>
        <v>0</v>
      </c>
      <c r="DT48" s="182">
        <f t="shared" ca="1" si="10"/>
        <v>0</v>
      </c>
      <c r="DU48" s="182"/>
      <c r="DV48" s="182"/>
      <c r="DW48" s="182"/>
    </row>
    <row r="49" spans="2:127" ht="14.25" thickBot="1">
      <c r="B49" s="166">
        <v>1</v>
      </c>
      <c r="C49" s="167" t="str">
        <f ca="1">OFFSET(gr_anchor,B49,B48)</f>
        <v/>
      </c>
      <c r="D49" s="117"/>
      <c r="E49" s="118"/>
      <c r="F49" s="115"/>
      <c r="G49" s="116"/>
      <c r="H49" s="115"/>
      <c r="I49" s="116"/>
      <c r="J49" s="115"/>
      <c r="K49" s="116"/>
      <c r="L49" s="115"/>
      <c r="M49" s="116"/>
      <c r="N49" s="150"/>
      <c r="O49" s="150"/>
      <c r="P49" s="150"/>
      <c r="Q49" s="150"/>
      <c r="R49" s="150"/>
      <c r="S49" s="174"/>
      <c r="T49" s="177">
        <f ca="1">COUNTIF(OFFSET(E49,0,(B49-1)*2,8),2)*2+COUNTIF(OFFSET(D49,0,(B49-1)*2,8),2)</f>
        <v>0</v>
      </c>
      <c r="U49" s="177">
        <f ca="1">RANK(AZ49,AZ49:AZ56)*AY49</f>
        <v>0</v>
      </c>
      <c r="V49" s="175">
        <f ca="1">SUMPRODUCT(BA49:BH49,BI49:BP49)</f>
        <v>0</v>
      </c>
      <c r="W49" s="151">
        <f ca="1">SUMPRODUCT(BA49:BH49,BQ49:BX49)</f>
        <v>0</v>
      </c>
      <c r="X49" s="152" t="str">
        <f t="shared" ref="X49:X56" ca="1" si="66">IF(BY49=2,IF(W49=0,3,V49/W49),IF(V49=0,"",V49/W49))</f>
        <v/>
      </c>
      <c r="Y49" s="153"/>
      <c r="Z49" s="166">
        <v>1</v>
      </c>
      <c r="AA49" s="167" t="str">
        <f ca="1">OFFSET(gr_anchor,Z49,Z48)</f>
        <v/>
      </c>
      <c r="AB49" s="117"/>
      <c r="AC49" s="118"/>
      <c r="AD49" s="115"/>
      <c r="AE49" s="116"/>
      <c r="AF49" s="115"/>
      <c r="AG49" s="116"/>
      <c r="AH49" s="115"/>
      <c r="AI49" s="116"/>
      <c r="AJ49" s="115"/>
      <c r="AK49" s="116"/>
      <c r="AL49" s="150"/>
      <c r="AM49" s="150"/>
      <c r="AN49" s="150"/>
      <c r="AO49" s="150"/>
      <c r="AP49" s="150"/>
      <c r="AQ49" s="174"/>
      <c r="AR49" s="177">
        <f ca="1">COUNTIF(OFFSET(AC49,0,(Z49-1)*2,8),2)*2+COUNTIF(OFFSET(AB49,0,(Z49-1)*2,8),2)</f>
        <v>0</v>
      </c>
      <c r="AS49" s="177">
        <f ca="1">RANK(CC49,CC49:CC56)*CB49</f>
        <v>0</v>
      </c>
      <c r="AT49" s="175">
        <f ca="1">SUMPRODUCT(CD49:CK49,CL49:CS49)</f>
        <v>0</v>
      </c>
      <c r="AU49" s="151">
        <f ca="1">SUMPRODUCT(CD49:CK49,CT49:DA49)</f>
        <v>0</v>
      </c>
      <c r="AV49" s="152" t="str">
        <f ca="1">IF(DB49=2,IF(AU49=0,3,AT49/AU49),IF(AT49=0,"",AT49/AU49))</f>
        <v/>
      </c>
      <c r="AW49" s="153"/>
      <c r="AX49" s="156">
        <f ca="1">COUNTA(C49:C56)-COUNTBLANK(C49:C56)</f>
        <v>0</v>
      </c>
      <c r="AY49" s="156">
        <f t="shared" ref="AY49:AY56" ca="1" si="67">IF(AX49&lt;B49,0,1)</f>
        <v>0</v>
      </c>
      <c r="AZ49" s="157">
        <f ca="1">T49+IF(X49="",0,X49/100)</f>
        <v>0</v>
      </c>
      <c r="BA49" s="156">
        <f ca="1">IF(T49=OFFSET(T48,BA48,0),1,0)</f>
        <v>1</v>
      </c>
      <c r="BB49" s="156">
        <f ca="1">IF(T49=OFFSET(T48,BB48,0),1,0)</f>
        <v>1</v>
      </c>
      <c r="BC49" s="156">
        <f ca="1">IF(T49=OFFSET(T48,BC48,0),1,0)</f>
        <v>1</v>
      </c>
      <c r="BD49" s="156">
        <f ca="1">IF(T49=OFFSET(T48,BD48,0),1,0)</f>
        <v>1</v>
      </c>
      <c r="BE49" s="156">
        <f ca="1">IF(T49=OFFSET(T48,BE48,0),1,0)</f>
        <v>1</v>
      </c>
      <c r="BF49" s="156">
        <f ca="1">IF(T49=OFFSET(T48,BF48,0),1,0)</f>
        <v>1</v>
      </c>
      <c r="BG49" s="156">
        <f ca="1">IF(T49=OFFSET(T48,BG48,0),1,0)</f>
        <v>1</v>
      </c>
      <c r="BH49" s="156">
        <f ca="1">IF(T49=OFFSET(T48,BH48,0),1,0)</f>
        <v>1</v>
      </c>
      <c r="BI49" s="156">
        <f ca="1">OFFSET(C49,0,1+(BI48-1)*2)</f>
        <v>0</v>
      </c>
      <c r="BJ49" s="156">
        <f ca="1">OFFSET(C49,0,1+(BJ48-1)*2)</f>
        <v>0</v>
      </c>
      <c r="BK49" s="156">
        <f ca="1">OFFSET(C49,0,1+(BK48-1)*2)</f>
        <v>0</v>
      </c>
      <c r="BL49" s="156">
        <f ca="1">OFFSET(C49,0,1+(BL48-1)*2)</f>
        <v>0</v>
      </c>
      <c r="BM49" s="156">
        <f ca="1">OFFSET(C49,0,1+(BM48-1)*2)</f>
        <v>0</v>
      </c>
      <c r="BN49" s="156">
        <f ca="1">OFFSET(C49,0,1+(BN48-1)*2)</f>
        <v>0</v>
      </c>
      <c r="BO49" s="156">
        <f ca="1">OFFSET(C49,0,1+(BO48-1)*2)</f>
        <v>0</v>
      </c>
      <c r="BP49" s="156">
        <f ca="1">OFFSET(C49,0,1+(BP48-1)*2)</f>
        <v>0</v>
      </c>
      <c r="BQ49" s="156">
        <f t="shared" ref="BQ49:BX49" ca="1" si="68">OFFSET($C49,0,2+(BQ$8-1)*2)</f>
        <v>0</v>
      </c>
      <c r="BR49" s="156">
        <f t="shared" ca="1" si="68"/>
        <v>0</v>
      </c>
      <c r="BS49" s="156">
        <f t="shared" ca="1" si="68"/>
        <v>0</v>
      </c>
      <c r="BT49" s="156">
        <f t="shared" ca="1" si="68"/>
        <v>0</v>
      </c>
      <c r="BU49" s="156">
        <f t="shared" ca="1" si="68"/>
        <v>0</v>
      </c>
      <c r="BV49" s="156">
        <f t="shared" ca="1" si="68"/>
        <v>0</v>
      </c>
      <c r="BW49" s="156">
        <f t="shared" ca="1" si="68"/>
        <v>0</v>
      </c>
      <c r="BX49" s="156">
        <f t="shared" ca="1" si="68"/>
        <v>0</v>
      </c>
      <c r="BY49" s="156">
        <f ca="1">SUM(BA49:BH49)</f>
        <v>8</v>
      </c>
      <c r="CA49" s="156">
        <f ca="1">COUNTA(AA49:AA56)-COUNTBLANK(AA49:AA56)</f>
        <v>0</v>
      </c>
      <c r="CB49" s="156">
        <f ca="1">IF(CA49&lt;Z49,0,1)</f>
        <v>0</v>
      </c>
      <c r="CC49" s="157">
        <f ca="1">AR49+IF(AV49="",0,AV49/100)</f>
        <v>0</v>
      </c>
      <c r="CD49" s="156">
        <f ca="1">IF(AR49=OFFSET(AR48,CD48,0),1,0)</f>
        <v>1</v>
      </c>
      <c r="CE49" s="156">
        <f ca="1">IF(AR49=OFFSET(AR48,CE48,0),1,0)</f>
        <v>1</v>
      </c>
      <c r="CF49" s="156">
        <f ca="1">IF(AR49=OFFSET(AR48,CF48,0),1,0)</f>
        <v>1</v>
      </c>
      <c r="CG49" s="156">
        <f ca="1">IF(AR49=OFFSET(AR48,CG48,0),1,0)</f>
        <v>1</v>
      </c>
      <c r="CH49" s="156">
        <f ca="1">IF(AR49=OFFSET(AR48,CH48,0),1,0)</f>
        <v>1</v>
      </c>
      <c r="CI49" s="156">
        <f ca="1">IF(AR49=OFFSET(AR48,CI48,0),1,0)</f>
        <v>1</v>
      </c>
      <c r="CJ49" s="156">
        <f ca="1">IF(AR49=OFFSET(AR48,CJ48,0),1,0)</f>
        <v>1</v>
      </c>
      <c r="CK49" s="156">
        <f ca="1">IF(AR49=OFFSET(AR48,CK48,0),1,0)</f>
        <v>1</v>
      </c>
      <c r="CL49" s="156">
        <f ca="1">OFFSET(AA49,0,1+(CL48-1)*2)</f>
        <v>0</v>
      </c>
      <c r="CM49" s="156">
        <f ca="1">OFFSET(AA49,0,1+(CM48-1)*2)</f>
        <v>0</v>
      </c>
      <c r="CN49" s="156">
        <f ca="1">OFFSET(AA49,0,1+(CN48-1)*2)</f>
        <v>0</v>
      </c>
      <c r="CO49" s="156">
        <f ca="1">OFFSET(AA49,0,1+(CO48-1)*2)</f>
        <v>0</v>
      </c>
      <c r="CP49" s="156">
        <f ca="1">OFFSET(AA49,0,1+(CP48-1)*2)</f>
        <v>0</v>
      </c>
      <c r="CQ49" s="156">
        <f ca="1">OFFSET(AA49,0,1+(CQ48-1)*2)</f>
        <v>0</v>
      </c>
      <c r="CR49" s="156">
        <f ca="1">OFFSET(AA49,0,1+(CR48-1)*2)</f>
        <v>0</v>
      </c>
      <c r="CS49" s="156">
        <f ca="1">OFFSET(AA49,0,1+(CS48-1)*2)</f>
        <v>0</v>
      </c>
      <c r="CT49" s="156">
        <f ca="1">OFFSET(AA49,0,2+(CT48-1)*2)</f>
        <v>0</v>
      </c>
      <c r="CU49" s="156">
        <f ca="1">OFFSET(AA49,0,2+(CU48-1)*2)</f>
        <v>0</v>
      </c>
      <c r="CV49" s="156">
        <f ca="1">OFFSET(AA49,0,2+(CV48-1)*2)</f>
        <v>0</v>
      </c>
      <c r="CW49" s="156">
        <f ca="1">OFFSET(AA49,0,2+(CW48-1)*2)</f>
        <v>0</v>
      </c>
      <c r="CX49" s="156">
        <f ca="1">OFFSET(AA49,0,2+(CX48-1)*2)</f>
        <v>0</v>
      </c>
      <c r="CY49" s="156">
        <f ca="1">OFFSET(AA49,0,2+(CY48-1)*2)</f>
        <v>0</v>
      </c>
      <c r="CZ49" s="156">
        <f ca="1">OFFSET(AA49,0,2+(CZ48-1)*2)</f>
        <v>0</v>
      </c>
      <c r="DA49" s="156">
        <f ca="1">OFFSET(AA49,0,2+(DA48-1)*2)</f>
        <v>0</v>
      </c>
      <c r="DB49" s="156">
        <f ca="1">SUM(CD49:CK49)</f>
        <v>8</v>
      </c>
      <c r="DE49" s="159"/>
      <c r="DF49" s="159"/>
      <c r="DG49" s="159">
        <v>3</v>
      </c>
      <c r="DH49" s="159">
        <v>4</v>
      </c>
      <c r="DI49" s="123">
        <f t="shared" si="51"/>
        <v>2</v>
      </c>
      <c r="DJ49" s="36" t="str">
        <f ca="1">OFFSET(gr_header,DG49+DE36,1+DF36)</f>
        <v/>
      </c>
      <c r="DK49" s="36" t="str">
        <f ca="1">OFFSET(gr_header,DH49+DE36,1+DF36)</f>
        <v/>
      </c>
      <c r="DL49" s="123">
        <f ca="1">OFFSET(gr_header,DG49+DE36,2*DH49+DF36)</f>
        <v>0</v>
      </c>
      <c r="DM49" s="123">
        <f ca="1">OFFSET(gr_header,DG49+DE36,2*DH49+1+DF36)</f>
        <v>0</v>
      </c>
      <c r="DN49" s="34"/>
      <c r="DO49" s="183">
        <f t="shared" ca="1" si="5"/>
        <v>0</v>
      </c>
      <c r="DP49" s="183">
        <f t="shared" ca="1" si="6"/>
        <v>0</v>
      </c>
      <c r="DQ49" s="183">
        <f t="shared" ca="1" si="7"/>
        <v>0</v>
      </c>
      <c r="DR49" s="183">
        <f t="shared" ca="1" si="8"/>
        <v>0</v>
      </c>
      <c r="DS49" s="182">
        <f t="shared" ca="1" si="9"/>
        <v>0</v>
      </c>
      <c r="DT49" s="182">
        <f t="shared" ca="1" si="10"/>
        <v>0</v>
      </c>
      <c r="DU49" s="182"/>
      <c r="DV49" s="182"/>
      <c r="DW49" s="182"/>
    </row>
    <row r="50" spans="2:127" ht="14.25" thickBot="1">
      <c r="B50" s="168">
        <v>2</v>
      </c>
      <c r="C50" s="169" t="str">
        <f ca="1">OFFSET(gr_anchor,B50,B48)</f>
        <v/>
      </c>
      <c r="D50" s="210" t="str">
        <f ca="1">IF(OFFSET(D49,D48-1,1+(B50-1)*2)="","",OFFSET(D49,D48-1,1+(B50-1)*2))</f>
        <v/>
      </c>
      <c r="E50" s="211" t="str">
        <f ca="1">IF(OFFSET(D49,D48-1,(B50-1)*2)="","",OFFSET(D49,D48-1,(B50-1)*2))</f>
        <v/>
      </c>
      <c r="F50" s="117"/>
      <c r="G50" s="118"/>
      <c r="H50" s="115"/>
      <c r="I50" s="116"/>
      <c r="J50" s="119"/>
      <c r="K50" s="120"/>
      <c r="L50" s="119"/>
      <c r="M50" s="120"/>
      <c r="N50" s="150"/>
      <c r="O50" s="150"/>
      <c r="P50" s="150"/>
      <c r="Q50" s="150"/>
      <c r="R50" s="150"/>
      <c r="S50" s="174"/>
      <c r="T50" s="177">
        <f ca="1">COUNTIF(OFFSET(E49,0,(B50-1)*2,8),2)*2+COUNTIF(OFFSET(D49,0,(B50-1)*2,8),2)</f>
        <v>0</v>
      </c>
      <c r="U50" s="177">
        <f ca="1">RANK(AZ50,AZ49:AZ56)*AY50</f>
        <v>0</v>
      </c>
      <c r="V50" s="175">
        <f t="shared" ref="V50:V56" ca="1" si="69">SUMPRODUCT(BA50:BH50,BI50:BP50)</f>
        <v>0</v>
      </c>
      <c r="W50" s="151">
        <f t="shared" ref="W50:W56" ca="1" si="70">SUMPRODUCT(BA50:BH50,BQ50:BX50)</f>
        <v>0</v>
      </c>
      <c r="X50" s="152" t="str">
        <f t="shared" ca="1" si="66"/>
        <v/>
      </c>
      <c r="Y50" s="153"/>
      <c r="Z50" s="168">
        <v>2</v>
      </c>
      <c r="AA50" s="169" t="str">
        <f ca="1">OFFSET(gr_anchor,Z50,Z48)</f>
        <v/>
      </c>
      <c r="AB50" s="210" t="str">
        <f ca="1">IF(OFFSET(AB49,AB48-1,1+(Z50-1)*2)="","",OFFSET(AB49,AB48-1,1+(Z50-1)*2))</f>
        <v/>
      </c>
      <c r="AC50" s="211" t="str">
        <f ca="1">IF(OFFSET(AB49,AB48-1,(Z50-1)*2)="","",OFFSET(AB49,AB48-1,(Z50-1)*2))</f>
        <v/>
      </c>
      <c r="AD50" s="117"/>
      <c r="AE50" s="118"/>
      <c r="AF50" s="115"/>
      <c r="AG50" s="116"/>
      <c r="AH50" s="119"/>
      <c r="AI50" s="120"/>
      <c r="AJ50" s="119"/>
      <c r="AK50" s="120"/>
      <c r="AL50" s="150"/>
      <c r="AM50" s="150"/>
      <c r="AN50" s="150"/>
      <c r="AO50" s="150"/>
      <c r="AP50" s="150"/>
      <c r="AQ50" s="174"/>
      <c r="AR50" s="177">
        <f ca="1">COUNTIF(OFFSET(AC49,0,(Z50-1)*2,8),2)*2+COUNTIF(OFFSET(AB49,0,(Z50-1)*2,8),2)</f>
        <v>0</v>
      </c>
      <c r="AS50" s="177">
        <f ca="1">RANK(CC50,CC49:CC56)*CB50</f>
        <v>0</v>
      </c>
      <c r="AT50" s="175">
        <f t="shared" ref="AT50:AT56" ca="1" si="71">SUMPRODUCT(CD50:CK50,CL50:CS50)</f>
        <v>0</v>
      </c>
      <c r="AU50" s="151">
        <f t="shared" ref="AU50:AU56" ca="1" si="72">SUMPRODUCT(CD50:CK50,CT50:DA50)</f>
        <v>0</v>
      </c>
      <c r="AV50" s="152" t="str">
        <f t="shared" ref="AV50:AV56" ca="1" si="73">IF(DB50=2,IF(AU50=0,3,AT50/AU50),IF(AT50=0,"",AT50/AU50))</f>
        <v/>
      </c>
      <c r="AW50" s="153"/>
      <c r="AX50" s="156">
        <f ca="1">COUNTA(C49:C56)-COUNTBLANK(C49:C56)</f>
        <v>0</v>
      </c>
      <c r="AY50" s="156">
        <f t="shared" ca="1" si="67"/>
        <v>0</v>
      </c>
      <c r="AZ50" s="157">
        <f t="shared" ref="AZ50:AZ56" ca="1" si="74">T50+IF(X50="",0,X50/100)</f>
        <v>0</v>
      </c>
      <c r="BA50" s="156">
        <f ca="1">IF(T50=OFFSET(T48,BA48,0),1,0)</f>
        <v>1</v>
      </c>
      <c r="BB50" s="156">
        <f ca="1">IF(T50=OFFSET(T48,BB48,0),1,0)</f>
        <v>1</v>
      </c>
      <c r="BC50" s="156">
        <f ca="1">IF(T50=OFFSET(T48,BC48,0),1,0)</f>
        <v>1</v>
      </c>
      <c r="BD50" s="156">
        <f ca="1">IF(T50=OFFSET(T48,BD48,0),1,0)</f>
        <v>1</v>
      </c>
      <c r="BE50" s="156">
        <f ca="1">IF(T50=OFFSET(T48,BE48,0),1,0)</f>
        <v>1</v>
      </c>
      <c r="BF50" s="156">
        <f ca="1">IF(T50=OFFSET(T48,BF48,0),1,0)</f>
        <v>1</v>
      </c>
      <c r="BG50" s="156">
        <f ca="1">IF(T50=OFFSET(T48,BG48,0),1,0)</f>
        <v>1</v>
      </c>
      <c r="BH50" s="156">
        <f ca="1">IF(T50=OFFSET(T48,BH48,0),1,0)</f>
        <v>1</v>
      </c>
      <c r="BI50" s="156" t="str">
        <f ca="1">OFFSET(C50,0,1+(BI48-1)*2)</f>
        <v/>
      </c>
      <c r="BJ50" s="156">
        <f ca="1">OFFSET(C50,0,1+(BJ48-1)*2)</f>
        <v>0</v>
      </c>
      <c r="BK50" s="156">
        <f ca="1">OFFSET(C50,0,1+(BK48-1)*2)</f>
        <v>0</v>
      </c>
      <c r="BL50" s="156">
        <f ca="1">OFFSET(C50,0,1+(BL48-1)*2)</f>
        <v>0</v>
      </c>
      <c r="BM50" s="156">
        <f ca="1">OFFSET(C50,0,1+(BM48-1)*2)</f>
        <v>0</v>
      </c>
      <c r="BN50" s="156">
        <f ca="1">OFFSET(C50,0,1+(BN48-1)*2)</f>
        <v>0</v>
      </c>
      <c r="BO50" s="156">
        <f ca="1">OFFSET(C50,0,1+(BO48-1)*2)</f>
        <v>0</v>
      </c>
      <c r="BP50" s="156">
        <f ca="1">OFFSET(C50,0,1+(BP48-1)*2)</f>
        <v>0</v>
      </c>
      <c r="BQ50" s="156" t="str">
        <f t="shared" ref="BQ50:BX56" ca="1" si="75">OFFSET($C50,0,2+(BQ$8-1)*2)</f>
        <v/>
      </c>
      <c r="BR50" s="156">
        <f t="shared" ca="1" si="75"/>
        <v>0</v>
      </c>
      <c r="BS50" s="156">
        <f t="shared" ca="1" si="75"/>
        <v>0</v>
      </c>
      <c r="BT50" s="156">
        <f t="shared" ca="1" si="75"/>
        <v>0</v>
      </c>
      <c r="BU50" s="156">
        <f t="shared" ca="1" si="75"/>
        <v>0</v>
      </c>
      <c r="BV50" s="156">
        <f t="shared" ca="1" si="75"/>
        <v>0</v>
      </c>
      <c r="BW50" s="156">
        <f t="shared" ca="1" si="75"/>
        <v>0</v>
      </c>
      <c r="BX50" s="156">
        <f t="shared" ca="1" si="75"/>
        <v>0</v>
      </c>
      <c r="BY50" s="156">
        <f t="shared" ref="BY50:BY56" ca="1" si="76">SUM(BA50:BH50)</f>
        <v>8</v>
      </c>
      <c r="CA50" s="156">
        <f ca="1">COUNTA(AA49:AA56)-COUNTBLANK(AA49:AA56)</f>
        <v>0</v>
      </c>
      <c r="CB50" s="156">
        <f t="shared" ref="CB50:CB56" ca="1" si="77">IF(CA50&lt;Z50,0,1)</f>
        <v>0</v>
      </c>
      <c r="CC50" s="157">
        <f t="shared" ref="CC50:CC56" ca="1" si="78">AR50+IF(AV50="",0,AV50/100)</f>
        <v>0</v>
      </c>
      <c r="CD50" s="156">
        <f ca="1">IF(AR50=OFFSET(AR48,CD48,0),1,0)</f>
        <v>1</v>
      </c>
      <c r="CE50" s="156">
        <f ca="1">IF(AR50=OFFSET(AR48,CE48,0),1,0)</f>
        <v>1</v>
      </c>
      <c r="CF50" s="156">
        <f ca="1">IF(AR50=OFFSET(AR48,CF48,0),1,0)</f>
        <v>1</v>
      </c>
      <c r="CG50" s="156">
        <f ca="1">IF(AR50=OFFSET(AR48,CG48,0),1,0)</f>
        <v>1</v>
      </c>
      <c r="CH50" s="156">
        <f ca="1">IF(AR50=OFFSET(AR48,CH48,0),1,0)</f>
        <v>1</v>
      </c>
      <c r="CI50" s="156">
        <f ca="1">IF(AR50=OFFSET(AR48,CI48,0),1,0)</f>
        <v>1</v>
      </c>
      <c r="CJ50" s="156">
        <f ca="1">IF(AR50=OFFSET(AR48,CJ48,0),1,0)</f>
        <v>1</v>
      </c>
      <c r="CK50" s="156">
        <f ca="1">IF(AR50=OFFSET(AR48,CK48,0),1,0)</f>
        <v>1</v>
      </c>
      <c r="CL50" s="156" t="str">
        <f ca="1">OFFSET(AA50,0,1+(CL48-1)*2)</f>
        <v/>
      </c>
      <c r="CM50" s="156">
        <f ca="1">OFFSET(AA50,0,1+(CM48-1)*2)</f>
        <v>0</v>
      </c>
      <c r="CN50" s="156">
        <f ca="1">OFFSET(AA50,0,1+(CN48-1)*2)</f>
        <v>0</v>
      </c>
      <c r="CO50" s="156">
        <f ca="1">OFFSET(AA50,0,1+(CO48-1)*2)</f>
        <v>0</v>
      </c>
      <c r="CP50" s="156">
        <f ca="1">OFFSET(AA50,0,1+(CP48-1)*2)</f>
        <v>0</v>
      </c>
      <c r="CQ50" s="156">
        <f ca="1">OFFSET(AA50,0,1+(CQ48-1)*2)</f>
        <v>0</v>
      </c>
      <c r="CR50" s="156">
        <f ca="1">OFFSET(AA50,0,1+(CR48-1)*2)</f>
        <v>0</v>
      </c>
      <c r="CS50" s="156">
        <f ca="1">OFFSET(AA50,0,1+(CS48-1)*2)</f>
        <v>0</v>
      </c>
      <c r="CT50" s="156" t="str">
        <f ca="1">OFFSET(AA50,0,2+(CT48-1)*2)</f>
        <v/>
      </c>
      <c r="CU50" s="156">
        <f ca="1">OFFSET(AA50,0,2+(CU48-1)*2)</f>
        <v>0</v>
      </c>
      <c r="CV50" s="156">
        <f ca="1">OFFSET(AA50,0,2+(CV48-1)*2)</f>
        <v>0</v>
      </c>
      <c r="CW50" s="156">
        <f ca="1">OFFSET(AA50,0,2+(CW48-1)*2)</f>
        <v>0</v>
      </c>
      <c r="CX50" s="156">
        <f ca="1">OFFSET(AA50,0,2+(CX48-1)*2)</f>
        <v>0</v>
      </c>
      <c r="CY50" s="156">
        <f ca="1">OFFSET(AA50,0,2+(CY48-1)*2)</f>
        <v>0</v>
      </c>
      <c r="CZ50" s="156">
        <f ca="1">OFFSET(AA50,0,2+(CZ48-1)*2)</f>
        <v>0</v>
      </c>
      <c r="DA50" s="156">
        <f ca="1">OFFSET(AA50,0,2+(DA48-1)*2)</f>
        <v>0</v>
      </c>
      <c r="DB50" s="156">
        <f t="shared" ref="DB50:DB56" ca="1" si="79">SUM(CD50:CK50)</f>
        <v>8</v>
      </c>
      <c r="DE50" s="159"/>
      <c r="DF50" s="159"/>
      <c r="DG50" s="159">
        <v>3</v>
      </c>
      <c r="DH50" s="159">
        <v>5</v>
      </c>
      <c r="DI50" s="123">
        <f t="shared" si="51"/>
        <v>2</v>
      </c>
      <c r="DJ50" s="36" t="str">
        <f ca="1">OFFSET(gr_header,DG50+DE36,1+DF36)</f>
        <v/>
      </c>
      <c r="DK50" s="36" t="str">
        <f ca="1">OFFSET(gr_header,DH50+DE36,1+DF36)</f>
        <v/>
      </c>
      <c r="DL50" s="123">
        <f ca="1">OFFSET(gr_header,DG50+DE36,2*DH50+DF36)</f>
        <v>0</v>
      </c>
      <c r="DM50" s="123">
        <f ca="1">OFFSET(gr_header,DG50+DE36,2*DH50+1+DF36)</f>
        <v>0</v>
      </c>
      <c r="DN50" s="34"/>
      <c r="DO50" s="183">
        <f t="shared" ca="1" si="5"/>
        <v>0</v>
      </c>
      <c r="DP50" s="183">
        <f t="shared" ca="1" si="6"/>
        <v>0</v>
      </c>
      <c r="DQ50" s="183">
        <f t="shared" ca="1" si="7"/>
        <v>0</v>
      </c>
      <c r="DR50" s="183">
        <f t="shared" ca="1" si="8"/>
        <v>0</v>
      </c>
      <c r="DS50" s="182">
        <f t="shared" ca="1" si="9"/>
        <v>0</v>
      </c>
      <c r="DT50" s="182">
        <f t="shared" ca="1" si="10"/>
        <v>0</v>
      </c>
      <c r="DU50" s="182"/>
      <c r="DV50" s="182"/>
      <c r="DW50" s="182"/>
    </row>
    <row r="51" spans="2:127" ht="14.25" thickBot="1">
      <c r="B51" s="168">
        <v>3</v>
      </c>
      <c r="C51" s="169" t="str">
        <f ca="1">OFFSET(gr_anchor,B51,B48)</f>
        <v/>
      </c>
      <c r="D51" s="210" t="str">
        <f ca="1">IF(OFFSET(D49,D48-1,1+(B51-1)*2)="","",OFFSET(D49,D48-1,1+(B51-1)*2))</f>
        <v/>
      </c>
      <c r="E51" s="211" t="str">
        <f ca="1">IF(OFFSET(D49,D48-1,(B51-1)*2)="","",OFFSET(D49,D48-1,(B51-1)*2))</f>
        <v/>
      </c>
      <c r="F51" s="210" t="str">
        <f ca="1">IF(OFFSET(D49,F48-1,1+(B51-1)*2)="","",OFFSET(D49,F48-1,1+(B51-1)*2))</f>
        <v/>
      </c>
      <c r="G51" s="211" t="str">
        <f ca="1">IF(OFFSET(D49,F48-1,(B51-1)*2)="","",OFFSET(D49,F48-1,(B51-1)*2))</f>
        <v/>
      </c>
      <c r="H51" s="170"/>
      <c r="I51" s="118"/>
      <c r="J51" s="119"/>
      <c r="K51" s="120"/>
      <c r="L51" s="119"/>
      <c r="M51" s="120"/>
      <c r="N51" s="150"/>
      <c r="O51" s="150"/>
      <c r="P51" s="150"/>
      <c r="Q51" s="150"/>
      <c r="R51" s="150"/>
      <c r="S51" s="174"/>
      <c r="T51" s="177">
        <f ca="1">COUNTIF(OFFSET(E49,0,(B51-1)*2,8),2)*2+COUNTIF(OFFSET(D49,0,(B51-1)*2,8),2)</f>
        <v>0</v>
      </c>
      <c r="U51" s="177">
        <f ca="1">RANK(AZ51,AZ49:AZ56)*AY51</f>
        <v>0</v>
      </c>
      <c r="V51" s="175">
        <f t="shared" ca="1" si="69"/>
        <v>0</v>
      </c>
      <c r="W51" s="151">
        <f t="shared" ca="1" si="70"/>
        <v>0</v>
      </c>
      <c r="X51" s="152" t="str">
        <f t="shared" ca="1" si="66"/>
        <v/>
      </c>
      <c r="Y51" s="153"/>
      <c r="Z51" s="168">
        <v>3</v>
      </c>
      <c r="AA51" s="169" t="str">
        <f ca="1">OFFSET(gr_anchor,Z51,Z48)</f>
        <v/>
      </c>
      <c r="AB51" s="210" t="str">
        <f ca="1">IF(OFFSET(AB49,AB48-1,1+(Z51-1)*2)="","",OFFSET(AB49,AB48-1,1+(Z51-1)*2))</f>
        <v/>
      </c>
      <c r="AC51" s="211" t="str">
        <f ca="1">IF(OFFSET(AB49,AB48-1,(Z51-1)*2)="","",OFFSET(AB49,AB48-1,(Z51-1)*2))</f>
        <v/>
      </c>
      <c r="AD51" s="210" t="str">
        <f ca="1">IF(OFFSET(AB49,AD48-1,1+(Z51-1)*2)="","",OFFSET(AB49,AD48-1,1+(Z51-1)*2))</f>
        <v/>
      </c>
      <c r="AE51" s="211" t="str">
        <f ca="1">IF(OFFSET(AB49,AD48-1,(Z51-1)*2)="","",OFFSET(AB49,AD48-1,(Z51-1)*2))</f>
        <v/>
      </c>
      <c r="AF51" s="170"/>
      <c r="AG51" s="118"/>
      <c r="AH51" s="119"/>
      <c r="AI51" s="120"/>
      <c r="AJ51" s="119"/>
      <c r="AK51" s="120"/>
      <c r="AL51" s="150"/>
      <c r="AM51" s="150"/>
      <c r="AN51" s="150"/>
      <c r="AO51" s="150"/>
      <c r="AP51" s="150"/>
      <c r="AQ51" s="174"/>
      <c r="AR51" s="177">
        <f ca="1">COUNTIF(OFFSET(AC49,0,(Z51-1)*2,8),2)*2+COUNTIF(OFFSET(AB49,0,(Z51-1)*2,8),2)</f>
        <v>0</v>
      </c>
      <c r="AS51" s="177">
        <f ca="1">RANK(CC51,CC49:CC56)*CB51</f>
        <v>0</v>
      </c>
      <c r="AT51" s="175">
        <f t="shared" ca="1" si="71"/>
        <v>0</v>
      </c>
      <c r="AU51" s="151">
        <f t="shared" ca="1" si="72"/>
        <v>0</v>
      </c>
      <c r="AV51" s="152" t="str">
        <f t="shared" ca="1" si="73"/>
        <v/>
      </c>
      <c r="AW51" s="153"/>
      <c r="AX51" s="156">
        <f ca="1">COUNTA(C49:C56)-COUNTBLANK(C49:C56)</f>
        <v>0</v>
      </c>
      <c r="AY51" s="156">
        <f t="shared" ca="1" si="67"/>
        <v>0</v>
      </c>
      <c r="AZ51" s="157">
        <f t="shared" ca="1" si="74"/>
        <v>0</v>
      </c>
      <c r="BA51" s="156">
        <f ca="1">IF(T51=OFFSET(T48,BA48,0),1,0)</f>
        <v>1</v>
      </c>
      <c r="BB51" s="156">
        <f ca="1">IF(T51=OFFSET(T48,BB48,0),1,0)</f>
        <v>1</v>
      </c>
      <c r="BC51" s="156">
        <f ca="1">IF(T51=OFFSET(T48,BC48,0),1,0)</f>
        <v>1</v>
      </c>
      <c r="BD51" s="156">
        <f ca="1">IF(T51=OFFSET(T48,BD48,0),1,0)</f>
        <v>1</v>
      </c>
      <c r="BE51" s="156">
        <f ca="1">IF(T51=OFFSET(T48,BE48,0),1,0)</f>
        <v>1</v>
      </c>
      <c r="BF51" s="156">
        <f ca="1">IF(T51=OFFSET(T48,BF48,0),1,0)</f>
        <v>1</v>
      </c>
      <c r="BG51" s="156">
        <f ca="1">IF(T51=OFFSET(T48,BG48,0),1,0)</f>
        <v>1</v>
      </c>
      <c r="BH51" s="156">
        <f ca="1">IF(T51=OFFSET(T48,BH48,0),1,0)</f>
        <v>1</v>
      </c>
      <c r="BI51" s="156" t="str">
        <f ca="1">OFFSET(C51,0,1+(BI48-1)*2)</f>
        <v/>
      </c>
      <c r="BJ51" s="156" t="str">
        <f ca="1">OFFSET(C51,0,1+(BJ48-1)*2)</f>
        <v/>
      </c>
      <c r="BK51" s="156">
        <f ca="1">OFFSET(C51,0,1+(BK48-1)*2)</f>
        <v>0</v>
      </c>
      <c r="BL51" s="156">
        <f ca="1">OFFSET(C51,0,1+(BL48-1)*2)</f>
        <v>0</v>
      </c>
      <c r="BM51" s="156">
        <f ca="1">OFFSET(C51,0,1+(BM48-1)*2)</f>
        <v>0</v>
      </c>
      <c r="BN51" s="156">
        <f ca="1">OFFSET(C51,0,1+(BN48-1)*2)</f>
        <v>0</v>
      </c>
      <c r="BO51" s="156">
        <f ca="1">OFFSET(C51,0,1+(BO48-1)*2)</f>
        <v>0</v>
      </c>
      <c r="BP51" s="156">
        <f ca="1">OFFSET(C51,0,1+(BP48-1)*2)</f>
        <v>0</v>
      </c>
      <c r="BQ51" s="156" t="str">
        <f t="shared" ca="1" si="75"/>
        <v/>
      </c>
      <c r="BR51" s="156" t="str">
        <f t="shared" ca="1" si="75"/>
        <v/>
      </c>
      <c r="BS51" s="156">
        <f t="shared" ca="1" si="75"/>
        <v>0</v>
      </c>
      <c r="BT51" s="156">
        <f t="shared" ca="1" si="75"/>
        <v>0</v>
      </c>
      <c r="BU51" s="156">
        <f t="shared" ca="1" si="75"/>
        <v>0</v>
      </c>
      <c r="BV51" s="156">
        <f t="shared" ca="1" si="75"/>
        <v>0</v>
      </c>
      <c r="BW51" s="156">
        <f t="shared" ca="1" si="75"/>
        <v>0</v>
      </c>
      <c r="BX51" s="156">
        <f t="shared" ca="1" si="75"/>
        <v>0</v>
      </c>
      <c r="BY51" s="156">
        <f t="shared" ca="1" si="76"/>
        <v>8</v>
      </c>
      <c r="CA51" s="156">
        <f ca="1">COUNTA(AA49:AA56)-COUNTBLANK(AA49:AA56)</f>
        <v>0</v>
      </c>
      <c r="CB51" s="156">
        <f t="shared" ca="1" si="77"/>
        <v>0</v>
      </c>
      <c r="CC51" s="157">
        <f t="shared" ca="1" si="78"/>
        <v>0</v>
      </c>
      <c r="CD51" s="156">
        <f ca="1">IF(AR51=OFFSET(AR48,CD48,0),1,0)</f>
        <v>1</v>
      </c>
      <c r="CE51" s="156">
        <f ca="1">IF(AR51=OFFSET(AR48,CE48,0),1,0)</f>
        <v>1</v>
      </c>
      <c r="CF51" s="156">
        <f ca="1">IF(AR51=OFFSET(AR48,CF48,0),1,0)</f>
        <v>1</v>
      </c>
      <c r="CG51" s="156">
        <f ca="1">IF(AR51=OFFSET(AR48,CG48,0),1,0)</f>
        <v>1</v>
      </c>
      <c r="CH51" s="156">
        <f ca="1">IF(AR51=OFFSET(AR48,CH48,0),1,0)</f>
        <v>1</v>
      </c>
      <c r="CI51" s="156">
        <f ca="1">IF(AR51=OFFSET(AR48,CI48,0),1,0)</f>
        <v>1</v>
      </c>
      <c r="CJ51" s="156">
        <f ca="1">IF(AR51=OFFSET(AR48,CJ48,0),1,0)</f>
        <v>1</v>
      </c>
      <c r="CK51" s="156">
        <f ca="1">IF(AR51=OFFSET(AR48,CK48,0),1,0)</f>
        <v>1</v>
      </c>
      <c r="CL51" s="156" t="str">
        <f ca="1">OFFSET(AA51,0,1+(CL48-1)*2)</f>
        <v/>
      </c>
      <c r="CM51" s="156" t="str">
        <f ca="1">OFFSET(AA51,0,1+(CM48-1)*2)</f>
        <v/>
      </c>
      <c r="CN51" s="156">
        <f ca="1">OFFSET(AA51,0,1+(CN48-1)*2)</f>
        <v>0</v>
      </c>
      <c r="CO51" s="156">
        <f ca="1">OFFSET(AA51,0,1+(CO48-1)*2)</f>
        <v>0</v>
      </c>
      <c r="CP51" s="156">
        <f ca="1">OFFSET(AA51,0,1+(CP48-1)*2)</f>
        <v>0</v>
      </c>
      <c r="CQ51" s="156">
        <f ca="1">OFFSET(AA51,0,1+(CQ48-1)*2)</f>
        <v>0</v>
      </c>
      <c r="CR51" s="156">
        <f ca="1">OFFSET(AA51,0,1+(CR48-1)*2)</f>
        <v>0</v>
      </c>
      <c r="CS51" s="156">
        <f ca="1">OFFSET(AA51,0,1+(CS48-1)*2)</f>
        <v>0</v>
      </c>
      <c r="CT51" s="156" t="str">
        <f ca="1">OFFSET(AA51,0,2+(CT48-1)*2)</f>
        <v/>
      </c>
      <c r="CU51" s="156" t="str">
        <f ca="1">OFFSET(AA51,0,2+(CU48-1)*2)</f>
        <v/>
      </c>
      <c r="CV51" s="156">
        <f ca="1">OFFSET(AA51,0,2+(CV48-1)*2)</f>
        <v>0</v>
      </c>
      <c r="CW51" s="156">
        <f ca="1">OFFSET(AA51,0,2+(CW48-1)*2)</f>
        <v>0</v>
      </c>
      <c r="CX51" s="156">
        <f ca="1">OFFSET(AA51,0,2+(CX48-1)*2)</f>
        <v>0</v>
      </c>
      <c r="CY51" s="156">
        <f ca="1">OFFSET(AA51,0,2+(CY48-1)*2)</f>
        <v>0</v>
      </c>
      <c r="CZ51" s="156">
        <f ca="1">OFFSET(AA51,0,2+(CZ48-1)*2)</f>
        <v>0</v>
      </c>
      <c r="DA51" s="156">
        <f ca="1">OFFSET(AA51,0,2+(DA48-1)*2)</f>
        <v>0</v>
      </c>
      <c r="DB51" s="156">
        <f t="shared" ca="1" si="79"/>
        <v>8</v>
      </c>
      <c r="DE51" s="159"/>
      <c r="DF51" s="159"/>
      <c r="DG51" s="159">
        <v>3</v>
      </c>
      <c r="DH51" s="159">
        <v>6</v>
      </c>
      <c r="DI51" s="123">
        <f t="shared" si="51"/>
        <v>2</v>
      </c>
      <c r="DJ51" s="36" t="str">
        <f ca="1">OFFSET(gr_header,DG51+DE36,1+DF36)</f>
        <v/>
      </c>
      <c r="DK51" s="36" t="str">
        <f ca="1">OFFSET(gr_header,DH51+DE36,1+DF36)</f>
        <v/>
      </c>
      <c r="DL51" s="123">
        <f ca="1">OFFSET(gr_header,DG51+DE36,2*DH51+DF36)</f>
        <v>0</v>
      </c>
      <c r="DM51" s="123">
        <f ca="1">OFFSET(gr_header,DG51+DE36,2*DH51+1+DF36)</f>
        <v>0</v>
      </c>
      <c r="DN51" s="34"/>
      <c r="DO51" s="183">
        <f t="shared" ca="1" si="5"/>
        <v>0</v>
      </c>
      <c r="DP51" s="183">
        <f t="shared" ca="1" si="6"/>
        <v>0</v>
      </c>
      <c r="DQ51" s="183">
        <f t="shared" ca="1" si="7"/>
        <v>0</v>
      </c>
      <c r="DR51" s="183">
        <f t="shared" ca="1" si="8"/>
        <v>0</v>
      </c>
      <c r="DS51" s="182">
        <f t="shared" ca="1" si="9"/>
        <v>0</v>
      </c>
      <c r="DT51" s="182">
        <f t="shared" ca="1" si="10"/>
        <v>0</v>
      </c>
      <c r="DU51" s="182"/>
      <c r="DV51" s="182"/>
      <c r="DW51" s="182"/>
    </row>
    <row r="52" spans="2:127" ht="14.25" thickBot="1">
      <c r="B52" s="168">
        <v>4</v>
      </c>
      <c r="C52" s="169" t="str">
        <f ca="1">OFFSET(gr_anchor,B52,B48)</f>
        <v/>
      </c>
      <c r="D52" s="210" t="str">
        <f ca="1">IF(OFFSET(D49,D48-1,1+(B52-1)*2)="","",OFFSET(D49,D48-1,1+(B52-1)*2))</f>
        <v/>
      </c>
      <c r="E52" s="211" t="str">
        <f ca="1">IF(OFFSET(D49,D48-1,(B52-1)*2)="","",OFFSET(D49,D48-1,(B52-1)*2))</f>
        <v/>
      </c>
      <c r="F52" s="210" t="str">
        <f ca="1">IF(OFFSET(D49,F48-1,1+(B52-1)*2)="","",OFFSET(D49,F48-1,1+(B52-1)*2))</f>
        <v/>
      </c>
      <c r="G52" s="211" t="str">
        <f ca="1">IF(OFFSET(D49,F48-1,(B52-1)*2)="","",OFFSET(D49,F48-1,(B52-1)*2))</f>
        <v/>
      </c>
      <c r="H52" s="210" t="str">
        <f ca="1">IF(OFFSET(D49,H48-1,1+(B52-1)*2)="","",OFFSET(D49,H48-1,1+(B52-1)*2))</f>
        <v/>
      </c>
      <c r="I52" s="211" t="str">
        <f ca="1">IF(OFFSET(D49,H48-1,(B52-1)*2)="","",OFFSET(D49,H48-1,(B52-1)*2))</f>
        <v/>
      </c>
      <c r="J52" s="170"/>
      <c r="K52" s="118"/>
      <c r="L52" s="119"/>
      <c r="M52" s="120"/>
      <c r="N52" s="150"/>
      <c r="O52" s="150"/>
      <c r="P52" s="150"/>
      <c r="Q52" s="150"/>
      <c r="R52" s="150"/>
      <c r="S52" s="174"/>
      <c r="T52" s="177">
        <f ca="1">COUNTIF(OFFSET(E49,0,(B52-1)*2,8),2)*2+COUNTIF(OFFSET(D49,0,(B52-1)*2,8),2)</f>
        <v>0</v>
      </c>
      <c r="U52" s="177">
        <f ca="1">RANK(AZ52,AZ49:AZ56)*AY52</f>
        <v>0</v>
      </c>
      <c r="V52" s="175">
        <f t="shared" ca="1" si="69"/>
        <v>0</v>
      </c>
      <c r="W52" s="151">
        <f t="shared" ca="1" si="70"/>
        <v>0</v>
      </c>
      <c r="X52" s="152" t="str">
        <f t="shared" ca="1" si="66"/>
        <v/>
      </c>
      <c r="Y52" s="153"/>
      <c r="Z52" s="168">
        <v>4</v>
      </c>
      <c r="AA52" s="169" t="str">
        <f ca="1">OFFSET(gr_anchor,Z52,Z48)</f>
        <v/>
      </c>
      <c r="AB52" s="210" t="str">
        <f ca="1">IF(OFFSET(AB49,AB48-1,1+(Z52-1)*2)="","",OFFSET(AB49,AB48-1,1+(Z52-1)*2))</f>
        <v/>
      </c>
      <c r="AC52" s="211" t="str">
        <f ca="1">IF(OFFSET(AB49,AB48-1,(Z52-1)*2)="","",OFFSET(AB49,AB48-1,(Z52-1)*2))</f>
        <v/>
      </c>
      <c r="AD52" s="210" t="str">
        <f ca="1">IF(OFFSET(AB49,AD48-1,1+(Z52-1)*2)="","",OFFSET(AB49,AD48-1,1+(Z52-1)*2))</f>
        <v/>
      </c>
      <c r="AE52" s="211" t="str">
        <f ca="1">IF(OFFSET(AB49,AD48-1,(Z52-1)*2)="","",OFFSET(AB49,AD48-1,(Z52-1)*2))</f>
        <v/>
      </c>
      <c r="AF52" s="210" t="str">
        <f ca="1">IF(OFFSET(AB49,AF48-1,1+(Z52-1)*2)="","",OFFSET(AB49,AF48-1,1+(Z52-1)*2))</f>
        <v/>
      </c>
      <c r="AG52" s="211" t="str">
        <f ca="1">IF(OFFSET(AB49,AF48-1,(Z52-1)*2)="","",OFFSET(AB49,AF48-1,(Z52-1)*2))</f>
        <v/>
      </c>
      <c r="AH52" s="170"/>
      <c r="AI52" s="118"/>
      <c r="AJ52" s="119"/>
      <c r="AK52" s="120"/>
      <c r="AL52" s="150"/>
      <c r="AM52" s="150"/>
      <c r="AN52" s="150"/>
      <c r="AO52" s="150"/>
      <c r="AP52" s="150"/>
      <c r="AQ52" s="174"/>
      <c r="AR52" s="177">
        <f ca="1">COUNTIF(OFFSET(AC49,0,(Z52-1)*2,8),2)*2+COUNTIF(OFFSET(AB49,0,(Z52-1)*2,8),2)</f>
        <v>0</v>
      </c>
      <c r="AS52" s="177">
        <f ca="1">RANK(CC52,CC49:CC56)*CB52</f>
        <v>0</v>
      </c>
      <c r="AT52" s="175">
        <f t="shared" ca="1" si="71"/>
        <v>0</v>
      </c>
      <c r="AU52" s="151">
        <f t="shared" ca="1" si="72"/>
        <v>0</v>
      </c>
      <c r="AV52" s="152" t="str">
        <f t="shared" ca="1" si="73"/>
        <v/>
      </c>
      <c r="AW52" s="153"/>
      <c r="AX52" s="156">
        <f ca="1">COUNTA(C49:C56)-COUNTBLANK(C49:C56)</f>
        <v>0</v>
      </c>
      <c r="AY52" s="156">
        <f t="shared" ca="1" si="67"/>
        <v>0</v>
      </c>
      <c r="AZ52" s="157">
        <f t="shared" ca="1" si="74"/>
        <v>0</v>
      </c>
      <c r="BA52" s="156">
        <f ca="1">IF(T52=OFFSET(T48,BA48,0),1,0)</f>
        <v>1</v>
      </c>
      <c r="BB52" s="156">
        <f ca="1">IF(T52=OFFSET(T48,BB48,0),1,0)</f>
        <v>1</v>
      </c>
      <c r="BC52" s="156">
        <f ca="1">IF(T52=OFFSET(T48,BC48,0),1,0)</f>
        <v>1</v>
      </c>
      <c r="BD52" s="156">
        <f ca="1">IF(T52=OFFSET(T48,BD48,0),1,0)</f>
        <v>1</v>
      </c>
      <c r="BE52" s="156">
        <f ca="1">IF(T52=OFFSET(T48,BE48,0),1,0)</f>
        <v>1</v>
      </c>
      <c r="BF52" s="156">
        <f ca="1">IF(T52=OFFSET(T48,BF48,0),1,0)</f>
        <v>1</v>
      </c>
      <c r="BG52" s="156">
        <f ca="1">IF(T52=OFFSET(T48,BG48,0),1,0)</f>
        <v>1</v>
      </c>
      <c r="BH52" s="156">
        <f ca="1">IF(T52=OFFSET(T48,BH48,0),1,0)</f>
        <v>1</v>
      </c>
      <c r="BI52" s="156" t="str">
        <f ca="1">OFFSET(C52,0,1+(BI48-1)*2)</f>
        <v/>
      </c>
      <c r="BJ52" s="156" t="str">
        <f ca="1">OFFSET(C52,0,1+(BJ48-1)*2)</f>
        <v/>
      </c>
      <c r="BK52" s="156" t="str">
        <f ca="1">OFFSET(C52,0,1+(BK48-1)*2)</f>
        <v/>
      </c>
      <c r="BL52" s="156">
        <f ca="1">OFFSET(C52,0,1+(BL48-1)*2)</f>
        <v>0</v>
      </c>
      <c r="BM52" s="156">
        <f ca="1">OFFSET(C52,0,1+(BM48-1)*2)</f>
        <v>0</v>
      </c>
      <c r="BN52" s="156">
        <f ca="1">OFFSET(C52,0,1+(BN48-1)*2)</f>
        <v>0</v>
      </c>
      <c r="BO52" s="156">
        <f ca="1">OFFSET(C52,0,1+(BO48-1)*2)</f>
        <v>0</v>
      </c>
      <c r="BP52" s="156">
        <f ca="1">OFFSET(C52,0,1+(BP48-1)*2)</f>
        <v>0</v>
      </c>
      <c r="BQ52" s="156" t="str">
        <f t="shared" ca="1" si="75"/>
        <v/>
      </c>
      <c r="BR52" s="156" t="str">
        <f t="shared" ca="1" si="75"/>
        <v/>
      </c>
      <c r="BS52" s="156" t="str">
        <f t="shared" ca="1" si="75"/>
        <v/>
      </c>
      <c r="BT52" s="156">
        <f t="shared" ca="1" si="75"/>
        <v>0</v>
      </c>
      <c r="BU52" s="156">
        <f t="shared" ca="1" si="75"/>
        <v>0</v>
      </c>
      <c r="BV52" s="156">
        <f t="shared" ca="1" si="75"/>
        <v>0</v>
      </c>
      <c r="BW52" s="156">
        <f t="shared" ca="1" si="75"/>
        <v>0</v>
      </c>
      <c r="BX52" s="156">
        <f t="shared" ca="1" si="75"/>
        <v>0</v>
      </c>
      <c r="BY52" s="156">
        <f t="shared" ca="1" si="76"/>
        <v>8</v>
      </c>
      <c r="CA52" s="156">
        <f ca="1">COUNTA(AA49:AA56)-COUNTBLANK(AA49:AA56)</f>
        <v>0</v>
      </c>
      <c r="CB52" s="156">
        <f t="shared" ca="1" si="77"/>
        <v>0</v>
      </c>
      <c r="CC52" s="157">
        <f t="shared" ca="1" si="78"/>
        <v>0</v>
      </c>
      <c r="CD52" s="156">
        <f ca="1">IF(AR52=OFFSET(AR48,CD48,0),1,0)</f>
        <v>1</v>
      </c>
      <c r="CE52" s="156">
        <f ca="1">IF(AR52=OFFSET(AR48,CE48,0),1,0)</f>
        <v>1</v>
      </c>
      <c r="CF52" s="156">
        <f ca="1">IF(AR52=OFFSET(AR48,CF48,0),1,0)</f>
        <v>1</v>
      </c>
      <c r="CG52" s="156">
        <f ca="1">IF(AR52=OFFSET(AR48,CG48,0),1,0)</f>
        <v>1</v>
      </c>
      <c r="CH52" s="156">
        <f ca="1">IF(AR52=OFFSET(AR48,CH48,0),1,0)</f>
        <v>1</v>
      </c>
      <c r="CI52" s="156">
        <f ca="1">IF(AR52=OFFSET(AR48,CI48,0),1,0)</f>
        <v>1</v>
      </c>
      <c r="CJ52" s="156">
        <f ca="1">IF(AR52=OFFSET(AR48,CJ48,0),1,0)</f>
        <v>1</v>
      </c>
      <c r="CK52" s="156">
        <f ca="1">IF(AR52=OFFSET(AR48,CK48,0),1,0)</f>
        <v>1</v>
      </c>
      <c r="CL52" s="156" t="str">
        <f ca="1">OFFSET(AA52,0,1+(CL48-1)*2)</f>
        <v/>
      </c>
      <c r="CM52" s="156" t="str">
        <f ca="1">OFFSET(AA52,0,1+(CM48-1)*2)</f>
        <v/>
      </c>
      <c r="CN52" s="156" t="str">
        <f ca="1">OFFSET(AA52,0,1+(CN48-1)*2)</f>
        <v/>
      </c>
      <c r="CO52" s="156">
        <f ca="1">OFFSET(AA52,0,1+(CO48-1)*2)</f>
        <v>0</v>
      </c>
      <c r="CP52" s="156">
        <f ca="1">OFFSET(AA52,0,1+(CP48-1)*2)</f>
        <v>0</v>
      </c>
      <c r="CQ52" s="156">
        <f ca="1">OFFSET(AA52,0,1+(CQ48-1)*2)</f>
        <v>0</v>
      </c>
      <c r="CR52" s="156">
        <f ca="1">OFFSET(AA52,0,1+(CR48-1)*2)</f>
        <v>0</v>
      </c>
      <c r="CS52" s="156">
        <f ca="1">OFFSET(AA52,0,1+(CS48-1)*2)</f>
        <v>0</v>
      </c>
      <c r="CT52" s="156" t="str">
        <f ca="1">OFFSET(AA52,0,2+(CT48-1)*2)</f>
        <v/>
      </c>
      <c r="CU52" s="156" t="str">
        <f ca="1">OFFSET(AA52,0,2+(CU48-1)*2)</f>
        <v/>
      </c>
      <c r="CV52" s="156" t="str">
        <f ca="1">OFFSET(AA52,0,2+(CV48-1)*2)</f>
        <v/>
      </c>
      <c r="CW52" s="156">
        <f ca="1">OFFSET(AA52,0,2+(CW48-1)*2)</f>
        <v>0</v>
      </c>
      <c r="CX52" s="156">
        <f ca="1">OFFSET(AA52,0,2+(CX48-1)*2)</f>
        <v>0</v>
      </c>
      <c r="CY52" s="156">
        <f ca="1">OFFSET(AA52,0,2+(CY48-1)*2)</f>
        <v>0</v>
      </c>
      <c r="CZ52" s="156">
        <f ca="1">OFFSET(AA52,0,2+(CZ48-1)*2)</f>
        <v>0</v>
      </c>
      <c r="DA52" s="156">
        <f ca="1">OFFSET(AA52,0,2+(DA48-1)*2)</f>
        <v>0</v>
      </c>
      <c r="DB52" s="156">
        <f t="shared" ca="1" si="79"/>
        <v>8</v>
      </c>
      <c r="DE52" s="159"/>
      <c r="DF52" s="159"/>
      <c r="DG52" s="159">
        <v>3</v>
      </c>
      <c r="DH52" s="159">
        <v>7</v>
      </c>
      <c r="DI52" s="123">
        <f t="shared" si="51"/>
        <v>2</v>
      </c>
      <c r="DJ52" s="36" t="str">
        <f ca="1">OFFSET(gr_header,DG52+DE36,1+DF36)</f>
        <v/>
      </c>
      <c r="DK52" s="36" t="str">
        <f ca="1">OFFSET(gr_header,DH52+DE36,1+DF36)</f>
        <v/>
      </c>
      <c r="DL52" s="123">
        <f ca="1">OFFSET(gr_header,DG52+DE36,2*DH52+DF36)</f>
        <v>0</v>
      </c>
      <c r="DM52" s="123">
        <f ca="1">OFFSET(gr_header,DG52+DE36,2*DH52+1+DF36)</f>
        <v>0</v>
      </c>
      <c r="DN52" s="34"/>
      <c r="DO52" s="183">
        <f t="shared" ca="1" si="5"/>
        <v>0</v>
      </c>
      <c r="DP52" s="183">
        <f t="shared" ca="1" si="6"/>
        <v>0</v>
      </c>
      <c r="DQ52" s="183">
        <f t="shared" ca="1" si="7"/>
        <v>0</v>
      </c>
      <c r="DR52" s="183">
        <f t="shared" ca="1" si="8"/>
        <v>0</v>
      </c>
      <c r="DS52" s="182">
        <f t="shared" ca="1" si="9"/>
        <v>0</v>
      </c>
      <c r="DT52" s="182">
        <f t="shared" ca="1" si="10"/>
        <v>0</v>
      </c>
      <c r="DU52" s="182"/>
      <c r="DV52" s="182"/>
      <c r="DW52" s="182"/>
    </row>
    <row r="53" spans="2:127" ht="14.25" thickBot="1">
      <c r="B53" s="171">
        <v>5</v>
      </c>
      <c r="C53" s="172" t="str">
        <f ca="1">OFFSET(gr_anchor,B53,B48)</f>
        <v/>
      </c>
      <c r="D53" s="210" t="str">
        <f ca="1">IF(OFFSET(D49,D48-1,1+(B53-1)*2)="","",OFFSET(D49,D48-1,1+(B53-1)*2))</f>
        <v/>
      </c>
      <c r="E53" s="211" t="str">
        <f ca="1">IF(OFFSET(D49,D48-1,(B53-1)*2)="","",OFFSET(D49,D48-1,(B53-1)*2))</f>
        <v/>
      </c>
      <c r="F53" s="210" t="str">
        <f ca="1">IF(OFFSET(D49,F48-1,1+(B53-1)*2)="","",OFFSET(D49,F48-1,1+(B53-1)*2))</f>
        <v/>
      </c>
      <c r="G53" s="211" t="str">
        <f ca="1">IF(OFFSET(D49,F48-1,(B53-1)*2)="","",OFFSET(D49,F48-1,(B53-1)*2))</f>
        <v/>
      </c>
      <c r="H53" s="210" t="str">
        <f ca="1">IF(OFFSET(D49,H48-1,1+(B53-1)*2)="","",OFFSET(D49,H48-1,1+(B53-1)*2))</f>
        <v/>
      </c>
      <c r="I53" s="211" t="str">
        <f ca="1">IF(OFFSET(D49,H48-1,(B53-1)*2)="","",OFFSET(D49,H48-1,(B53-1)*2))</f>
        <v/>
      </c>
      <c r="J53" s="210" t="str">
        <f ca="1">IF(OFFSET(D49,J48-1,1+(B53-1)*2)="","",OFFSET(D49,J48-1,1+(B53-1)*2))</f>
        <v/>
      </c>
      <c r="K53" s="211" t="str">
        <f ca="1">IF(OFFSET(D49,J48-1,(B53-1)*2)="","",OFFSET(D49,J48-1,(B53-1)*2))</f>
        <v/>
      </c>
      <c r="L53" s="117"/>
      <c r="M53" s="118"/>
      <c r="N53" s="150"/>
      <c r="O53" s="150"/>
      <c r="P53" s="150"/>
      <c r="Q53" s="150"/>
      <c r="R53" s="150"/>
      <c r="S53" s="174"/>
      <c r="T53" s="177">
        <f ca="1">COUNTIF(OFFSET(E49,0,(B53-1)*2,8),2)*2+COUNTIF(OFFSET(D49,0,(B53-1)*2,8),2)</f>
        <v>0</v>
      </c>
      <c r="U53" s="177">
        <f ca="1">RANK(AZ53,AZ49:AZ56)*AY53</f>
        <v>0</v>
      </c>
      <c r="V53" s="175">
        <f t="shared" ca="1" si="69"/>
        <v>0</v>
      </c>
      <c r="W53" s="151">
        <f t="shared" ca="1" si="70"/>
        <v>0</v>
      </c>
      <c r="X53" s="152" t="str">
        <f t="shared" ca="1" si="66"/>
        <v/>
      </c>
      <c r="Y53" s="153"/>
      <c r="Z53" s="171">
        <v>5</v>
      </c>
      <c r="AA53" s="172" t="str">
        <f ca="1">OFFSET(gr_anchor,Z53,Z48)</f>
        <v/>
      </c>
      <c r="AB53" s="210" t="str">
        <f ca="1">IF(OFFSET(AB49,AB48-1,1+(Z53-1)*2)="","",OFFSET(AB49,AB48-1,1+(Z53-1)*2))</f>
        <v/>
      </c>
      <c r="AC53" s="211" t="str">
        <f ca="1">IF(OFFSET(AB49,AB48-1,(Z53-1)*2)="","",OFFSET(AB49,AB48-1,(Z53-1)*2))</f>
        <v/>
      </c>
      <c r="AD53" s="210" t="str">
        <f ca="1">IF(OFFSET(AB49,AD48-1,1+(Z53-1)*2)="","",OFFSET(AB49,AD48-1,1+(Z53-1)*2))</f>
        <v/>
      </c>
      <c r="AE53" s="211" t="str">
        <f ca="1">IF(OFFSET(AB49,AD48-1,(Z53-1)*2)="","",OFFSET(AB49,AD48-1,(Z53-1)*2))</f>
        <v/>
      </c>
      <c r="AF53" s="210" t="str">
        <f ca="1">IF(OFFSET(AB49,AF48-1,1+(Z53-1)*2)="","",OFFSET(AB49,AF48-1,1+(Z53-1)*2))</f>
        <v/>
      </c>
      <c r="AG53" s="211" t="str">
        <f ca="1">IF(OFFSET(AB49,AF48-1,(Z53-1)*2)="","",OFFSET(AB49,AF48-1,(Z53-1)*2))</f>
        <v/>
      </c>
      <c r="AH53" s="210" t="str">
        <f ca="1">IF(OFFSET(AB49,AH48-1,1+(Z53-1)*2)="","",OFFSET(AB49,AH48-1,1+(Z53-1)*2))</f>
        <v/>
      </c>
      <c r="AI53" s="211" t="str">
        <f ca="1">IF(OFFSET(AB49,AH48-1,(Z53-1)*2)="","",OFFSET(AB49,AH48-1,(Z53-1)*2))</f>
        <v/>
      </c>
      <c r="AJ53" s="117"/>
      <c r="AK53" s="118"/>
      <c r="AL53" s="150"/>
      <c r="AM53" s="150"/>
      <c r="AN53" s="150"/>
      <c r="AO53" s="150"/>
      <c r="AP53" s="150"/>
      <c r="AQ53" s="174"/>
      <c r="AR53" s="177">
        <f ca="1">COUNTIF(OFFSET(AC49,0,(Z53-1)*2,8),2)*2+COUNTIF(OFFSET(AB49,0,(Z53-1)*2,8),2)</f>
        <v>0</v>
      </c>
      <c r="AS53" s="177">
        <f ca="1">RANK(CC53,CC49:CC56)*CB53</f>
        <v>0</v>
      </c>
      <c r="AT53" s="175">
        <f t="shared" ca="1" si="71"/>
        <v>0</v>
      </c>
      <c r="AU53" s="151">
        <f t="shared" ca="1" si="72"/>
        <v>0</v>
      </c>
      <c r="AV53" s="152" t="str">
        <f t="shared" ca="1" si="73"/>
        <v/>
      </c>
      <c r="AW53" s="153"/>
      <c r="AX53" s="156">
        <f ca="1">COUNTA(C49:C56)-COUNTBLANK(C49:C56)</f>
        <v>0</v>
      </c>
      <c r="AY53" s="156">
        <f t="shared" ca="1" si="67"/>
        <v>0</v>
      </c>
      <c r="AZ53" s="157">
        <f t="shared" ca="1" si="74"/>
        <v>0</v>
      </c>
      <c r="BA53" s="156">
        <f ca="1">IF(T53=OFFSET(T48,BA48,0),1,0)</f>
        <v>1</v>
      </c>
      <c r="BB53" s="156">
        <f ca="1">IF(T53=OFFSET(T48,BB48,0),1,0)</f>
        <v>1</v>
      </c>
      <c r="BC53" s="156">
        <f ca="1">IF(T53=OFFSET(T48,BC48,0),1,0)</f>
        <v>1</v>
      </c>
      <c r="BD53" s="156">
        <f ca="1">IF(T53=OFFSET(T48,BD48,0),1,0)</f>
        <v>1</v>
      </c>
      <c r="BE53" s="156">
        <f ca="1">IF(T53=OFFSET(T48,BE48,0),1,0)</f>
        <v>1</v>
      </c>
      <c r="BF53" s="156">
        <f ca="1">IF(T53=OFFSET(T48,BF48,0),1,0)</f>
        <v>1</v>
      </c>
      <c r="BG53" s="156">
        <f ca="1">IF(T53=OFFSET(T48,BG48,0),1,0)</f>
        <v>1</v>
      </c>
      <c r="BH53" s="156">
        <f ca="1">IF(T53=OFFSET(T48,BH48,0),1,0)</f>
        <v>1</v>
      </c>
      <c r="BI53" s="156" t="str">
        <f ca="1">OFFSET(C53,0,1+(BI48-1)*2)</f>
        <v/>
      </c>
      <c r="BJ53" s="156" t="str">
        <f ca="1">OFFSET(C53,0,1+(BJ48-1)*2)</f>
        <v/>
      </c>
      <c r="BK53" s="156" t="str">
        <f ca="1">OFFSET(C53,0,1+(BK48-1)*2)</f>
        <v/>
      </c>
      <c r="BL53" s="156" t="str">
        <f ca="1">OFFSET(C53,0,1+(BL48-1)*2)</f>
        <v/>
      </c>
      <c r="BM53" s="156">
        <f ca="1">OFFSET(C53,0,1+(BM48-1)*2)</f>
        <v>0</v>
      </c>
      <c r="BN53" s="156">
        <f ca="1">OFFSET(C53,0,1+(BN48-1)*2)</f>
        <v>0</v>
      </c>
      <c r="BO53" s="156">
        <f ca="1">OFFSET(C53,0,1+(BO48-1)*2)</f>
        <v>0</v>
      </c>
      <c r="BP53" s="156">
        <f ca="1">OFFSET(C53,0,1+(BP48-1)*2)</f>
        <v>0</v>
      </c>
      <c r="BQ53" s="156" t="str">
        <f t="shared" ca="1" si="75"/>
        <v/>
      </c>
      <c r="BR53" s="156" t="str">
        <f t="shared" ca="1" si="75"/>
        <v/>
      </c>
      <c r="BS53" s="156" t="str">
        <f t="shared" ca="1" si="75"/>
        <v/>
      </c>
      <c r="BT53" s="156" t="str">
        <f t="shared" ca="1" si="75"/>
        <v/>
      </c>
      <c r="BU53" s="156">
        <f t="shared" ca="1" si="75"/>
        <v>0</v>
      </c>
      <c r="BV53" s="156">
        <f t="shared" ca="1" si="75"/>
        <v>0</v>
      </c>
      <c r="BW53" s="156">
        <f t="shared" ca="1" si="75"/>
        <v>0</v>
      </c>
      <c r="BX53" s="156">
        <f t="shared" ca="1" si="75"/>
        <v>0</v>
      </c>
      <c r="BY53" s="156">
        <f t="shared" ca="1" si="76"/>
        <v>8</v>
      </c>
      <c r="CA53" s="156">
        <f ca="1">COUNTA(AA49:AA56)-COUNTBLANK(AA49:AA56)</f>
        <v>0</v>
      </c>
      <c r="CB53" s="156">
        <f t="shared" ca="1" si="77"/>
        <v>0</v>
      </c>
      <c r="CC53" s="157">
        <f t="shared" ca="1" si="78"/>
        <v>0</v>
      </c>
      <c r="CD53" s="156">
        <f ca="1">IF(AR53=OFFSET(AR48,CD48,0),1,0)</f>
        <v>1</v>
      </c>
      <c r="CE53" s="156">
        <f ca="1">IF(AR53=OFFSET(AR48,CE48,0),1,0)</f>
        <v>1</v>
      </c>
      <c r="CF53" s="156">
        <f ca="1">IF(AR53=OFFSET(AR48,CF48,0),1,0)</f>
        <v>1</v>
      </c>
      <c r="CG53" s="156">
        <f ca="1">IF(AR53=OFFSET(AR48,CG48,0),1,0)</f>
        <v>1</v>
      </c>
      <c r="CH53" s="156">
        <f ca="1">IF(AR53=OFFSET(AR48,CH48,0),1,0)</f>
        <v>1</v>
      </c>
      <c r="CI53" s="156">
        <f ca="1">IF(AR53=OFFSET(AR48,CI48,0),1,0)</f>
        <v>1</v>
      </c>
      <c r="CJ53" s="156">
        <f ca="1">IF(AR53=OFFSET(AR48,CJ48,0),1,0)</f>
        <v>1</v>
      </c>
      <c r="CK53" s="156">
        <f ca="1">IF(AR53=OFFSET(AR48,CK48,0),1,0)</f>
        <v>1</v>
      </c>
      <c r="CL53" s="156" t="str">
        <f ca="1">OFFSET(AA53,0,1+(CL48-1)*2)</f>
        <v/>
      </c>
      <c r="CM53" s="156" t="str">
        <f ca="1">OFFSET(AA53,0,1+(CM48-1)*2)</f>
        <v/>
      </c>
      <c r="CN53" s="156" t="str">
        <f ca="1">OFFSET(AA53,0,1+(CN48-1)*2)</f>
        <v/>
      </c>
      <c r="CO53" s="156" t="str">
        <f ca="1">OFFSET(AA53,0,1+(CO48-1)*2)</f>
        <v/>
      </c>
      <c r="CP53" s="156">
        <f ca="1">OFFSET(AA53,0,1+(CP48-1)*2)</f>
        <v>0</v>
      </c>
      <c r="CQ53" s="156">
        <f ca="1">OFFSET(AA53,0,1+(CQ48-1)*2)</f>
        <v>0</v>
      </c>
      <c r="CR53" s="156">
        <f ca="1">OFFSET(AA53,0,1+(CR48-1)*2)</f>
        <v>0</v>
      </c>
      <c r="CS53" s="156">
        <f ca="1">OFFSET(AA53,0,1+(CS48-1)*2)</f>
        <v>0</v>
      </c>
      <c r="CT53" s="156" t="str">
        <f ca="1">OFFSET(AA53,0,2+(CT48-1)*2)</f>
        <v/>
      </c>
      <c r="CU53" s="156" t="str">
        <f ca="1">OFFSET(AA53,0,2+(CU48-1)*2)</f>
        <v/>
      </c>
      <c r="CV53" s="156" t="str">
        <f ca="1">OFFSET(AA53,0,2+(CV48-1)*2)</f>
        <v/>
      </c>
      <c r="CW53" s="156" t="str">
        <f ca="1">OFFSET(AA53,0,2+(CW48-1)*2)</f>
        <v/>
      </c>
      <c r="CX53" s="156">
        <f ca="1">OFFSET(AA53,0,2+(CX48-1)*2)</f>
        <v>0</v>
      </c>
      <c r="CY53" s="156">
        <f ca="1">OFFSET(AA53,0,2+(CY48-1)*2)</f>
        <v>0</v>
      </c>
      <c r="CZ53" s="156">
        <f ca="1">OFFSET(AA53,0,2+(CZ48-1)*2)</f>
        <v>0</v>
      </c>
      <c r="DA53" s="156">
        <f ca="1">OFFSET(AA53,0,2+(DA48-1)*2)</f>
        <v>0</v>
      </c>
      <c r="DB53" s="156">
        <f t="shared" ca="1" si="79"/>
        <v>8</v>
      </c>
      <c r="DE53" s="159"/>
      <c r="DF53" s="159"/>
      <c r="DG53" s="159">
        <v>3</v>
      </c>
      <c r="DH53" s="159">
        <v>8</v>
      </c>
      <c r="DI53" s="123">
        <f t="shared" si="51"/>
        <v>2</v>
      </c>
      <c r="DJ53" s="36" t="str">
        <f ca="1">OFFSET(gr_header,DG53+DE36,1+DF36)</f>
        <v/>
      </c>
      <c r="DK53" s="36" t="str">
        <f ca="1">OFFSET(gr_header,DH53+DE36,1+DF36)</f>
        <v/>
      </c>
      <c r="DL53" s="123">
        <f ca="1">OFFSET(gr_header,DG53+DE36,2*DH53+DF36)</f>
        <v>0</v>
      </c>
      <c r="DM53" s="123">
        <f ca="1">OFFSET(gr_header,DG53+DE36,2*DH53+1+DF36)</f>
        <v>0</v>
      </c>
      <c r="DN53" s="34"/>
      <c r="DO53" s="183">
        <f t="shared" ca="1" si="5"/>
        <v>0</v>
      </c>
      <c r="DP53" s="183">
        <f t="shared" ca="1" si="6"/>
        <v>0</v>
      </c>
      <c r="DQ53" s="183">
        <f t="shared" ca="1" si="7"/>
        <v>0</v>
      </c>
      <c r="DR53" s="183">
        <f t="shared" ca="1" si="8"/>
        <v>0</v>
      </c>
      <c r="DS53" s="182">
        <f t="shared" ca="1" si="9"/>
        <v>0</v>
      </c>
      <c r="DT53" s="182">
        <f t="shared" ca="1" si="10"/>
        <v>0</v>
      </c>
      <c r="DU53" s="182"/>
      <c r="DV53" s="182"/>
      <c r="DW53" s="182"/>
    </row>
    <row r="54" spans="2:127" hidden="1" outlineLevel="1">
      <c r="B54" s="148">
        <v>6</v>
      </c>
      <c r="C54" s="154" t="str">
        <f ca="1">OFFSET(gr_anchor,B54,B48)</f>
        <v/>
      </c>
      <c r="D54" s="150" t="str">
        <f ca="1">IF(OFFSET(D49,D48-1,1+(B54-1)*2)="","",OFFSET(D49,D48-1,1+(B54-1)*2))</f>
        <v/>
      </c>
      <c r="E54" s="150" t="str">
        <f ca="1">IF(OFFSET(D49,D48-1,(B54-1)*2)="","",OFFSET(D49,D48-1,(B54-1)*2))</f>
        <v/>
      </c>
      <c r="F54" s="150" t="str">
        <f ca="1">IF(OFFSET(D49,F48-1,1+(B54-1)*2)="","",OFFSET(D49,F48-1,1+(B54-1)*2))</f>
        <v/>
      </c>
      <c r="G54" s="150" t="str">
        <f ca="1">IF(OFFSET(D49,F48-1,(B54-1)*2)="","",OFFSET(D49,F48-1,(B54-1)*2))</f>
        <v/>
      </c>
      <c r="H54" s="150" t="str">
        <f ca="1">IF(OFFSET(D49,H48-1,1+(B54-1)*2)="","",OFFSET(D49,H48-1,1+(B54-1)*2))</f>
        <v/>
      </c>
      <c r="I54" s="150" t="str">
        <f ca="1">IF(OFFSET(D49,H48-1,(B54-1)*2)="","",OFFSET(D49,H48-1,(B54-1)*2))</f>
        <v/>
      </c>
      <c r="J54" s="150" t="str">
        <f ca="1">IF(OFFSET(D49,J48-1,1+(B54-1)*2)="","",OFFSET(D49,J48-1,1+(B54-1)*2))</f>
        <v/>
      </c>
      <c r="K54" s="150" t="str">
        <f ca="1">IF(OFFSET(D49,J48-1,(B54-1)*2)="","",OFFSET(D49,J48-1,(B54-1)*2))</f>
        <v/>
      </c>
      <c r="L54" s="150" t="str">
        <f ca="1">IF(OFFSET(D49,L48-1,1+(B54-1)*2)="","",OFFSET(D49,L48-1,1+(B54-1)*2))</f>
        <v/>
      </c>
      <c r="M54" s="150" t="str">
        <f ca="1">IF(OFFSET(D49,L48-1,(B54-1)*2)="","",OFFSET(D49,L48-1,(B54-1)*2))</f>
        <v/>
      </c>
      <c r="N54" s="155"/>
      <c r="O54" s="149"/>
      <c r="P54" s="150"/>
      <c r="Q54" s="150"/>
      <c r="R54" s="150"/>
      <c r="S54" s="150"/>
      <c r="T54" s="163">
        <f ca="1">COUNTIF(OFFSET(E49,0,(B54-1)*2,8),2)*2+COUNTIF(OFFSET(D49,0,(B54-1)*2,8),2)</f>
        <v>0</v>
      </c>
      <c r="U54" s="163">
        <f ca="1">RANK(AZ54,AZ49:AZ56)*AY54</f>
        <v>0</v>
      </c>
      <c r="V54" s="151">
        <f t="shared" ca="1" si="69"/>
        <v>0</v>
      </c>
      <c r="W54" s="151">
        <f t="shared" ca="1" si="70"/>
        <v>0</v>
      </c>
      <c r="X54" s="152" t="str">
        <f t="shared" ca="1" si="66"/>
        <v/>
      </c>
      <c r="Y54" s="153"/>
      <c r="Z54" s="148">
        <v>6</v>
      </c>
      <c r="AA54" s="154" t="str">
        <f ca="1">OFFSET(gr_anchor,Z54,Z48)</f>
        <v/>
      </c>
      <c r="AB54" s="150" t="str">
        <f ca="1">IF(OFFSET(AB49,AB48-1,1+(Z54-1)*2)="","",OFFSET(AB49,AB48-1,1+(Z54-1)*2))</f>
        <v/>
      </c>
      <c r="AC54" s="150" t="str">
        <f ca="1">IF(OFFSET(AB49,AB48-1,(Z54-1)*2)="","",OFFSET(AB49,AB48-1,(Z54-1)*2))</f>
        <v/>
      </c>
      <c r="AD54" s="150" t="str">
        <f ca="1">IF(OFFSET(AB49,AD48-1,1+(Z54-1)*2)="","",OFFSET(AB49,AD48-1,1+(Z54-1)*2))</f>
        <v/>
      </c>
      <c r="AE54" s="150" t="str">
        <f ca="1">IF(OFFSET(AB49,AD48-1,(Z54-1)*2)="","",OFFSET(AB49,AD48-1,(Z54-1)*2))</f>
        <v/>
      </c>
      <c r="AF54" s="150" t="str">
        <f ca="1">IF(OFFSET(AB49,AF48-1,1+(Z54-1)*2)="","",OFFSET(AB49,AF48-1,1+(Z54-1)*2))</f>
        <v/>
      </c>
      <c r="AG54" s="150" t="str">
        <f ca="1">IF(OFFSET(AB49,AF48-1,(Z54-1)*2)="","",OFFSET(AB49,AF48-1,(Z54-1)*2))</f>
        <v/>
      </c>
      <c r="AH54" s="150" t="str">
        <f ca="1">IF(OFFSET(AB49,AH48-1,1+(Z54-1)*2)="","",OFFSET(AB49,AH48-1,1+(Z54-1)*2))</f>
        <v/>
      </c>
      <c r="AI54" s="150" t="str">
        <f ca="1">IF(OFFSET(AB49,AH48-1,(Z54-1)*2)="","",OFFSET(AB49,AH48-1,(Z54-1)*2))</f>
        <v/>
      </c>
      <c r="AJ54" s="150" t="str">
        <f ca="1">IF(OFFSET(AB49,AJ48-1,1+(Z54-1)*2)="","",OFFSET(AB49,AJ48-1,1+(Z54-1)*2))</f>
        <v/>
      </c>
      <c r="AK54" s="150" t="str">
        <f ca="1">IF(OFFSET(AB49,AJ48-1,(Z54-1)*2)="","",OFFSET(AB49,AJ48-1,(Z54-1)*2))</f>
        <v/>
      </c>
      <c r="AL54" s="155"/>
      <c r="AM54" s="149"/>
      <c r="AN54" s="150"/>
      <c r="AO54" s="150"/>
      <c r="AP54" s="150"/>
      <c r="AQ54" s="150"/>
      <c r="AR54" s="163">
        <f ca="1">COUNTIF(OFFSET(AC49,0,(Z54-1)*2,8),2)*2+COUNTIF(OFFSET(AB49,0,(Z54-1)*2,8),2)</f>
        <v>0</v>
      </c>
      <c r="AS54" s="163">
        <f ca="1">RANK(CC54,CC49:CC56)*CB54</f>
        <v>0</v>
      </c>
      <c r="AT54" s="151">
        <f t="shared" ca="1" si="71"/>
        <v>0</v>
      </c>
      <c r="AU54" s="151">
        <f t="shared" ca="1" si="72"/>
        <v>0</v>
      </c>
      <c r="AV54" s="152" t="str">
        <f t="shared" ca="1" si="73"/>
        <v/>
      </c>
      <c r="AW54" s="153"/>
      <c r="AX54" s="156">
        <f ca="1">COUNTA(C49:C56)-COUNTBLANK(C49:C56)</f>
        <v>0</v>
      </c>
      <c r="AY54" s="156">
        <f t="shared" ca="1" si="67"/>
        <v>0</v>
      </c>
      <c r="AZ54" s="157">
        <f t="shared" ca="1" si="74"/>
        <v>0</v>
      </c>
      <c r="BA54" s="156">
        <f ca="1">IF(T54=OFFSET(T48,BA48,0),1,0)</f>
        <v>1</v>
      </c>
      <c r="BB54" s="156">
        <f ca="1">IF(T54=OFFSET(T48,BB48,0),1,0)</f>
        <v>1</v>
      </c>
      <c r="BC54" s="156">
        <f ca="1">IF(T54=OFFSET(T48,BC48,0),1,0)</f>
        <v>1</v>
      </c>
      <c r="BD54" s="156">
        <f ca="1">IF(T54=OFFSET(T48,BD48,0),1,0)</f>
        <v>1</v>
      </c>
      <c r="BE54" s="156">
        <f ca="1">IF(T54=OFFSET(T48,BE48,0),1,0)</f>
        <v>1</v>
      </c>
      <c r="BF54" s="156">
        <f ca="1">IF(T54=OFFSET(T48,BF48,0),1,0)</f>
        <v>1</v>
      </c>
      <c r="BG54" s="156">
        <f ca="1">IF(T54=OFFSET(T48,BG48,0),1,0)</f>
        <v>1</v>
      </c>
      <c r="BH54" s="156">
        <f ca="1">IF(T54=OFFSET(T48,BH48,0),1,0)</f>
        <v>1</v>
      </c>
      <c r="BI54" s="156" t="str">
        <f ca="1">OFFSET(C54,0,1+(BI48-1)*2)</f>
        <v/>
      </c>
      <c r="BJ54" s="156" t="str">
        <f ca="1">OFFSET(C54,0,1+(BJ48-1)*2)</f>
        <v/>
      </c>
      <c r="BK54" s="156" t="str">
        <f ca="1">OFFSET(C54,0,1+(BK48-1)*2)</f>
        <v/>
      </c>
      <c r="BL54" s="156" t="str">
        <f ca="1">OFFSET(C54,0,1+(BL48-1)*2)</f>
        <v/>
      </c>
      <c r="BM54" s="156" t="str">
        <f ca="1">OFFSET(C54,0,1+(BM48-1)*2)</f>
        <v/>
      </c>
      <c r="BN54" s="156">
        <f ca="1">OFFSET(C54,0,1+(BN48-1)*2)</f>
        <v>0</v>
      </c>
      <c r="BO54" s="156">
        <f ca="1">OFFSET(C54,0,1+(BO48-1)*2)</f>
        <v>0</v>
      </c>
      <c r="BP54" s="156">
        <f ca="1">OFFSET(C54,0,1+(BP48-1)*2)</f>
        <v>0</v>
      </c>
      <c r="BQ54" s="156" t="str">
        <f t="shared" ca="1" si="75"/>
        <v/>
      </c>
      <c r="BR54" s="156" t="str">
        <f t="shared" ca="1" si="75"/>
        <v/>
      </c>
      <c r="BS54" s="156" t="str">
        <f t="shared" ca="1" si="75"/>
        <v/>
      </c>
      <c r="BT54" s="156" t="str">
        <f t="shared" ca="1" si="75"/>
        <v/>
      </c>
      <c r="BU54" s="156" t="str">
        <f t="shared" ca="1" si="75"/>
        <v/>
      </c>
      <c r="BV54" s="156">
        <f t="shared" ca="1" si="75"/>
        <v>0</v>
      </c>
      <c r="BW54" s="156">
        <f t="shared" ca="1" si="75"/>
        <v>0</v>
      </c>
      <c r="BX54" s="156">
        <f t="shared" ca="1" si="75"/>
        <v>0</v>
      </c>
      <c r="BY54" s="156">
        <f t="shared" ca="1" si="76"/>
        <v>8</v>
      </c>
      <c r="CA54" s="156">
        <f ca="1">COUNTA(AA49:AA56)-COUNTBLANK(AA49:AA56)</f>
        <v>0</v>
      </c>
      <c r="CB54" s="156">
        <f t="shared" ca="1" si="77"/>
        <v>0</v>
      </c>
      <c r="CC54" s="157">
        <f t="shared" ca="1" si="78"/>
        <v>0</v>
      </c>
      <c r="CD54" s="156">
        <f ca="1">IF(AR54=OFFSET(AR48,CD48,0),1,0)</f>
        <v>1</v>
      </c>
      <c r="CE54" s="156">
        <f ca="1">IF(AR54=OFFSET(AR48,CE48,0),1,0)</f>
        <v>1</v>
      </c>
      <c r="CF54" s="156">
        <f ca="1">IF(AR54=OFFSET(AR48,CF48,0),1,0)</f>
        <v>1</v>
      </c>
      <c r="CG54" s="156">
        <f ca="1">IF(AR54=OFFSET(AR48,CG48,0),1,0)</f>
        <v>1</v>
      </c>
      <c r="CH54" s="156">
        <f ca="1">IF(AR54=OFFSET(AR48,CH48,0),1,0)</f>
        <v>1</v>
      </c>
      <c r="CI54" s="156">
        <f ca="1">IF(AR54=OFFSET(AR48,CI48,0),1,0)</f>
        <v>1</v>
      </c>
      <c r="CJ54" s="156">
        <f ca="1">IF(AR54=OFFSET(AR48,CJ48,0),1,0)</f>
        <v>1</v>
      </c>
      <c r="CK54" s="156">
        <f ca="1">IF(AR54=OFFSET(AR48,CK48,0),1,0)</f>
        <v>1</v>
      </c>
      <c r="CL54" s="156" t="str">
        <f ca="1">OFFSET(AA54,0,1+(CL48-1)*2)</f>
        <v/>
      </c>
      <c r="CM54" s="156" t="str">
        <f ca="1">OFFSET(AA54,0,1+(CM48-1)*2)</f>
        <v/>
      </c>
      <c r="CN54" s="156" t="str">
        <f ca="1">OFFSET(AA54,0,1+(CN48-1)*2)</f>
        <v/>
      </c>
      <c r="CO54" s="156" t="str">
        <f ca="1">OFFSET(AA54,0,1+(CO48-1)*2)</f>
        <v/>
      </c>
      <c r="CP54" s="156" t="str">
        <f ca="1">OFFSET(AA54,0,1+(CP48-1)*2)</f>
        <v/>
      </c>
      <c r="CQ54" s="156">
        <f ca="1">OFFSET(AA54,0,1+(CQ48-1)*2)</f>
        <v>0</v>
      </c>
      <c r="CR54" s="156">
        <f ca="1">OFFSET(AA54,0,1+(CR48-1)*2)</f>
        <v>0</v>
      </c>
      <c r="CS54" s="156">
        <f ca="1">OFFSET(AA54,0,1+(CS48-1)*2)</f>
        <v>0</v>
      </c>
      <c r="CT54" s="156" t="str">
        <f ca="1">OFFSET(AA54,0,2+(CT48-1)*2)</f>
        <v/>
      </c>
      <c r="CU54" s="156" t="str">
        <f ca="1">OFFSET(AA54,0,2+(CU48-1)*2)</f>
        <v/>
      </c>
      <c r="CV54" s="156" t="str">
        <f ca="1">OFFSET(AA54,0,2+(CV48-1)*2)</f>
        <v/>
      </c>
      <c r="CW54" s="156" t="str">
        <f ca="1">OFFSET(AA54,0,2+(CW48-1)*2)</f>
        <v/>
      </c>
      <c r="CX54" s="156" t="str">
        <f ca="1">OFFSET(AA54,0,2+(CX48-1)*2)</f>
        <v/>
      </c>
      <c r="CY54" s="156">
        <f ca="1">OFFSET(AA54,0,2+(CY48-1)*2)</f>
        <v>0</v>
      </c>
      <c r="CZ54" s="156">
        <f ca="1">OFFSET(AA54,0,2+(CZ48-1)*2)</f>
        <v>0</v>
      </c>
      <c r="DA54" s="156">
        <f ca="1">OFFSET(AA54,0,2+(DA48-1)*2)</f>
        <v>0</v>
      </c>
      <c r="DB54" s="156">
        <f t="shared" ca="1" si="79"/>
        <v>8</v>
      </c>
      <c r="DE54" s="159"/>
      <c r="DF54" s="159"/>
      <c r="DG54" s="159">
        <v>4</v>
      </c>
      <c r="DH54" s="159">
        <v>5</v>
      </c>
      <c r="DI54" s="123">
        <f t="shared" si="51"/>
        <v>2</v>
      </c>
      <c r="DJ54" s="36" t="str">
        <f ca="1">OFFSET(gr_header,DG54+DE36,1+DF36)</f>
        <v/>
      </c>
      <c r="DK54" s="36" t="str">
        <f ca="1">OFFSET(gr_header,DH54+DE36,1+DF36)</f>
        <v/>
      </c>
      <c r="DL54" s="123">
        <f ca="1">OFFSET(gr_header,DG54+DE36,2*DH54+DF36)</f>
        <v>0</v>
      </c>
      <c r="DM54" s="123">
        <f ca="1">OFFSET(gr_header,DG54+DE36,2*DH54+1+DF36)</f>
        <v>0</v>
      </c>
      <c r="DN54" s="34"/>
      <c r="DO54" s="183">
        <f t="shared" ca="1" si="5"/>
        <v>0</v>
      </c>
      <c r="DP54" s="183">
        <f t="shared" ca="1" si="6"/>
        <v>0</v>
      </c>
      <c r="DQ54" s="183">
        <f t="shared" ca="1" si="7"/>
        <v>0</v>
      </c>
      <c r="DR54" s="183">
        <f t="shared" ca="1" si="8"/>
        <v>0</v>
      </c>
      <c r="DS54" s="182">
        <f t="shared" ca="1" si="9"/>
        <v>0</v>
      </c>
      <c r="DT54" s="182">
        <f t="shared" ca="1" si="10"/>
        <v>0</v>
      </c>
      <c r="DU54" s="182"/>
      <c r="DV54" s="182"/>
      <c r="DW54" s="182"/>
    </row>
    <row r="55" spans="2:127" hidden="1" outlineLevel="1">
      <c r="B55" s="148">
        <v>7</v>
      </c>
      <c r="C55" s="154" t="str">
        <f ca="1">OFFSET(gr_anchor,B55,B48)</f>
        <v/>
      </c>
      <c r="D55" s="150" t="str">
        <f ca="1">IF(OFFSET(D49,D48-1,1+(B55-1)*2)="","",OFFSET(D49,D48-1,1+(B55-1)*2))</f>
        <v/>
      </c>
      <c r="E55" s="150" t="str">
        <f ca="1">IF(OFFSET(D49,D48-1,(B55-1)*2)="","",OFFSET(D49,D48-1,(B55-1)*2))</f>
        <v/>
      </c>
      <c r="F55" s="150" t="str">
        <f ca="1">IF(OFFSET(D49,F48-1,1+(B55-1)*2)="","",OFFSET(D49,F48-1,1+(B55-1)*2))</f>
        <v/>
      </c>
      <c r="G55" s="150" t="str">
        <f ca="1">IF(OFFSET(D49,F48-1,(B55-1)*2)="","",OFFSET(D49,F48-1,(B55-1)*2))</f>
        <v/>
      </c>
      <c r="H55" s="150" t="str">
        <f ca="1">IF(OFFSET(D49,H48-1,1+(B55-1)*2)="","",OFFSET(D49,H48-1,1+(B55-1)*2))</f>
        <v/>
      </c>
      <c r="I55" s="150" t="str">
        <f ca="1">IF(OFFSET(D49,H48-1,(B55-1)*2)="","",OFFSET(D49,H48-1,(B55-1)*2))</f>
        <v/>
      </c>
      <c r="J55" s="150" t="str">
        <f ca="1">IF(OFFSET(D49,J48-1,1+(B55-1)*2)="","",OFFSET(D49,J48-1,1+(B55-1)*2))</f>
        <v/>
      </c>
      <c r="K55" s="150" t="str">
        <f ca="1">IF(OFFSET(D49,J48-1,(B55-1)*2)="","",OFFSET(D49,J48-1,(B55-1)*2))</f>
        <v/>
      </c>
      <c r="L55" s="150" t="str">
        <f ca="1">IF(OFFSET(D49,L48-1,1+(B55-1)*2)="","",OFFSET(D49,L48-1,1+(B55-1)*2))</f>
        <v/>
      </c>
      <c r="M55" s="150" t="str">
        <f ca="1">IF(OFFSET(D49,L48-1,(B55-1)*2)="","",OFFSET(D49,L48-1,(B55-1)*2))</f>
        <v/>
      </c>
      <c r="N55" s="150" t="str">
        <f ca="1">IF(OFFSET(D49,N48-1,1+(B55-1)*2)="","",OFFSET(D49,N48-1,1+(B55-1)*2))</f>
        <v/>
      </c>
      <c r="O55" s="150" t="str">
        <f ca="1">IF(OFFSET(D49,N48-1,(B55-1)*2)="","",OFFSET(D49,N48-1,(B55-1)*2))</f>
        <v/>
      </c>
      <c r="P55" s="155"/>
      <c r="Q55" s="149"/>
      <c r="R55" s="150"/>
      <c r="S55" s="150"/>
      <c r="T55" s="151">
        <f ca="1">COUNTIF(OFFSET(E49,0,(B55-1)*2,8),2)*2+COUNTIF(OFFSET(D49,0,(B55-1)*2,8),2)</f>
        <v>0</v>
      </c>
      <c r="U55" s="151">
        <f ca="1">RANK(AZ55,AZ49:AZ56)*AY55</f>
        <v>0</v>
      </c>
      <c r="V55" s="151">
        <f t="shared" ca="1" si="69"/>
        <v>0</v>
      </c>
      <c r="W55" s="151">
        <f t="shared" ca="1" si="70"/>
        <v>0</v>
      </c>
      <c r="X55" s="152" t="str">
        <f t="shared" ca="1" si="66"/>
        <v/>
      </c>
      <c r="Y55" s="153"/>
      <c r="Z55" s="148">
        <v>7</v>
      </c>
      <c r="AA55" s="154" t="str">
        <f ca="1">OFFSET(gr_anchor,Z55,Z48)</f>
        <v/>
      </c>
      <c r="AB55" s="150" t="str">
        <f ca="1">IF(OFFSET(AB49,AB48-1,1+(Z55-1)*2)="","",OFFSET(AB49,AB48-1,1+(Z55-1)*2))</f>
        <v/>
      </c>
      <c r="AC55" s="150" t="str">
        <f ca="1">IF(OFFSET(AB49,AB48-1,(Z55-1)*2)="","",OFFSET(AB49,AB48-1,(Z55-1)*2))</f>
        <v/>
      </c>
      <c r="AD55" s="150" t="str">
        <f ca="1">IF(OFFSET(AB49,AD48-1,1+(Z55-1)*2)="","",OFFSET(AB49,AD48-1,1+(Z55-1)*2))</f>
        <v/>
      </c>
      <c r="AE55" s="150" t="str">
        <f ca="1">IF(OFFSET(AB49,AD48-1,(Z55-1)*2)="","",OFFSET(AB49,AD48-1,(Z55-1)*2))</f>
        <v/>
      </c>
      <c r="AF55" s="150" t="str">
        <f ca="1">IF(OFFSET(AB49,AF48-1,1+(Z55-1)*2)="","",OFFSET(AB49,AF48-1,1+(Z55-1)*2))</f>
        <v/>
      </c>
      <c r="AG55" s="150" t="str">
        <f ca="1">IF(OFFSET(AB49,AF48-1,(Z55-1)*2)="","",OFFSET(AB49,AF48-1,(Z55-1)*2))</f>
        <v/>
      </c>
      <c r="AH55" s="150" t="str">
        <f ca="1">IF(OFFSET(AB49,AH48-1,1+(Z55-1)*2)="","",OFFSET(AB49,AH48-1,1+(Z55-1)*2))</f>
        <v/>
      </c>
      <c r="AI55" s="150" t="str">
        <f ca="1">IF(OFFSET(AB49,AH48-1,(Z55-1)*2)="","",OFFSET(AB49,AH48-1,(Z55-1)*2))</f>
        <v/>
      </c>
      <c r="AJ55" s="150" t="str">
        <f ca="1">IF(OFFSET(AB49,AJ48-1,1+(Z55-1)*2)="","",OFFSET(AB49,AJ48-1,1+(Z55-1)*2))</f>
        <v/>
      </c>
      <c r="AK55" s="150" t="str">
        <f ca="1">IF(OFFSET(AB49,AJ48-1,(Z55-1)*2)="","",OFFSET(AB49,AJ48-1,(Z55-1)*2))</f>
        <v/>
      </c>
      <c r="AL55" s="150" t="str">
        <f ca="1">IF(OFFSET(AB49,AL48-1,1+(Z55-1)*2)="","",OFFSET(AB49,AL48-1,1+(Z55-1)*2))</f>
        <v/>
      </c>
      <c r="AM55" s="150" t="str">
        <f ca="1">IF(OFFSET(AB49,AL48-1,(Z55-1)*2)="","",OFFSET(AB49,AL48-1,(Z55-1)*2))</f>
        <v/>
      </c>
      <c r="AN55" s="155"/>
      <c r="AO55" s="149"/>
      <c r="AP55" s="150"/>
      <c r="AQ55" s="150"/>
      <c r="AR55" s="151">
        <f ca="1">COUNTIF(OFFSET(AC49,0,(Z55-1)*2,8),2)*2+COUNTIF(OFFSET(AB49,0,(Z55-1)*2,8),2)</f>
        <v>0</v>
      </c>
      <c r="AS55" s="151">
        <f ca="1">RANK(CC55,CC49:CC56)*CB55</f>
        <v>0</v>
      </c>
      <c r="AT55" s="151">
        <f t="shared" ca="1" si="71"/>
        <v>0</v>
      </c>
      <c r="AU55" s="151">
        <f t="shared" ca="1" si="72"/>
        <v>0</v>
      </c>
      <c r="AV55" s="152" t="str">
        <f t="shared" ca="1" si="73"/>
        <v/>
      </c>
      <c r="AW55" s="153"/>
      <c r="AX55" s="156">
        <f ca="1">COUNTA(C49:C56)-COUNTBLANK(C49:C56)</f>
        <v>0</v>
      </c>
      <c r="AY55" s="156">
        <f t="shared" ca="1" si="67"/>
        <v>0</v>
      </c>
      <c r="AZ55" s="157">
        <f t="shared" ca="1" si="74"/>
        <v>0</v>
      </c>
      <c r="BA55" s="156">
        <f ca="1">IF(T55=OFFSET(T48,BA48,0),1,0)</f>
        <v>1</v>
      </c>
      <c r="BB55" s="156">
        <f ca="1">IF(T55=OFFSET(T48,BB48,0),1,0)</f>
        <v>1</v>
      </c>
      <c r="BC55" s="156">
        <f ca="1">IF(T55=OFFSET(T48,BC48,0),1,0)</f>
        <v>1</v>
      </c>
      <c r="BD55" s="156">
        <f ca="1">IF(T55=OFFSET(T48,BD48,0),1,0)</f>
        <v>1</v>
      </c>
      <c r="BE55" s="156">
        <f ca="1">IF(T55=OFFSET(T48,BE48,0),1,0)</f>
        <v>1</v>
      </c>
      <c r="BF55" s="156">
        <f ca="1">IF(T55=OFFSET(T48,BF48,0),1,0)</f>
        <v>1</v>
      </c>
      <c r="BG55" s="156">
        <f ca="1">IF(T55=OFFSET(T48,BG48,0),1,0)</f>
        <v>1</v>
      </c>
      <c r="BH55" s="156">
        <f ca="1">IF(T55=OFFSET(T48,BH48,0),1,0)</f>
        <v>1</v>
      </c>
      <c r="BI55" s="156" t="str">
        <f ca="1">OFFSET(C55,0,1+(BI48-1)*2)</f>
        <v/>
      </c>
      <c r="BJ55" s="156" t="str">
        <f ca="1">OFFSET(C55,0,1+(BJ48-1)*2)</f>
        <v/>
      </c>
      <c r="BK55" s="156" t="str">
        <f ca="1">OFFSET(C55,0,1+(BK48-1)*2)</f>
        <v/>
      </c>
      <c r="BL55" s="156" t="str">
        <f ca="1">OFFSET(C55,0,1+(BL48-1)*2)</f>
        <v/>
      </c>
      <c r="BM55" s="156" t="str">
        <f ca="1">OFFSET(C55,0,1+(BM48-1)*2)</f>
        <v/>
      </c>
      <c r="BN55" s="156" t="str">
        <f ca="1">OFFSET(C55,0,1+(BN48-1)*2)</f>
        <v/>
      </c>
      <c r="BO55" s="156">
        <f ca="1">OFFSET(C55,0,1+(BO48-1)*2)</f>
        <v>0</v>
      </c>
      <c r="BP55" s="156">
        <f ca="1">OFFSET(C55,0,1+(BP48-1)*2)</f>
        <v>0</v>
      </c>
      <c r="BQ55" s="156" t="str">
        <f t="shared" ca="1" si="75"/>
        <v/>
      </c>
      <c r="BR55" s="156" t="str">
        <f t="shared" ca="1" si="75"/>
        <v/>
      </c>
      <c r="BS55" s="156" t="str">
        <f t="shared" ca="1" si="75"/>
        <v/>
      </c>
      <c r="BT55" s="156" t="str">
        <f t="shared" ca="1" si="75"/>
        <v/>
      </c>
      <c r="BU55" s="156" t="str">
        <f t="shared" ca="1" si="75"/>
        <v/>
      </c>
      <c r="BV55" s="156" t="str">
        <f t="shared" ca="1" si="75"/>
        <v/>
      </c>
      <c r="BW55" s="156">
        <f t="shared" ca="1" si="75"/>
        <v>0</v>
      </c>
      <c r="BX55" s="156">
        <f t="shared" ca="1" si="75"/>
        <v>0</v>
      </c>
      <c r="BY55" s="156">
        <f t="shared" ca="1" si="76"/>
        <v>8</v>
      </c>
      <c r="CA55" s="156">
        <f ca="1">COUNTA(AA49:AA56)-COUNTBLANK(AA49:AA56)</f>
        <v>0</v>
      </c>
      <c r="CB55" s="156">
        <f t="shared" ca="1" si="77"/>
        <v>0</v>
      </c>
      <c r="CC55" s="157">
        <f t="shared" ca="1" si="78"/>
        <v>0</v>
      </c>
      <c r="CD55" s="156">
        <f ca="1">IF(AR55=OFFSET(AR48,CD48,0),1,0)</f>
        <v>1</v>
      </c>
      <c r="CE55" s="156">
        <f ca="1">IF(AR55=OFFSET(AR48,CE48,0),1,0)</f>
        <v>1</v>
      </c>
      <c r="CF55" s="156">
        <f ca="1">IF(AR55=OFFSET(AR48,CF48,0),1,0)</f>
        <v>1</v>
      </c>
      <c r="CG55" s="156">
        <f ca="1">IF(AR55=OFFSET(AR48,CG48,0),1,0)</f>
        <v>1</v>
      </c>
      <c r="CH55" s="156">
        <f ca="1">IF(AR55=OFFSET(AR48,CH48,0),1,0)</f>
        <v>1</v>
      </c>
      <c r="CI55" s="156">
        <f ca="1">IF(AR55=OFFSET(AR48,CI48,0),1,0)</f>
        <v>1</v>
      </c>
      <c r="CJ55" s="156">
        <f ca="1">IF(AR55=OFFSET(AR48,CJ48,0),1,0)</f>
        <v>1</v>
      </c>
      <c r="CK55" s="156">
        <f ca="1">IF(AR55=OFFSET(AR48,CK48,0),1,0)</f>
        <v>1</v>
      </c>
      <c r="CL55" s="156" t="str">
        <f ca="1">OFFSET(AA55,0,1+(CL48-1)*2)</f>
        <v/>
      </c>
      <c r="CM55" s="156" t="str">
        <f ca="1">OFFSET(AA55,0,1+(CM48-1)*2)</f>
        <v/>
      </c>
      <c r="CN55" s="156" t="str">
        <f ca="1">OFFSET(AA55,0,1+(CN48-1)*2)</f>
        <v/>
      </c>
      <c r="CO55" s="156" t="str">
        <f ca="1">OFFSET(AA55,0,1+(CO48-1)*2)</f>
        <v/>
      </c>
      <c r="CP55" s="156" t="str">
        <f ca="1">OFFSET(AA55,0,1+(CP48-1)*2)</f>
        <v/>
      </c>
      <c r="CQ55" s="156" t="str">
        <f ca="1">OFFSET(AA55,0,1+(CQ48-1)*2)</f>
        <v/>
      </c>
      <c r="CR55" s="156">
        <f ca="1">OFFSET(AA55,0,1+(CR48-1)*2)</f>
        <v>0</v>
      </c>
      <c r="CS55" s="156">
        <f ca="1">OFFSET(AA55,0,1+(CS48-1)*2)</f>
        <v>0</v>
      </c>
      <c r="CT55" s="156" t="str">
        <f ca="1">OFFSET(AA55,0,2+(CT48-1)*2)</f>
        <v/>
      </c>
      <c r="CU55" s="156" t="str">
        <f ca="1">OFFSET(AA55,0,2+(CU48-1)*2)</f>
        <v/>
      </c>
      <c r="CV55" s="156" t="str">
        <f ca="1">OFFSET(AA55,0,2+(CV48-1)*2)</f>
        <v/>
      </c>
      <c r="CW55" s="156" t="str">
        <f ca="1">OFFSET(AA55,0,2+(CW48-1)*2)</f>
        <v/>
      </c>
      <c r="CX55" s="156" t="str">
        <f ca="1">OFFSET(AA55,0,2+(CX48-1)*2)</f>
        <v/>
      </c>
      <c r="CY55" s="156" t="str">
        <f ca="1">OFFSET(AA55,0,2+(CY48-1)*2)</f>
        <v/>
      </c>
      <c r="CZ55" s="156">
        <f ca="1">OFFSET(AA55,0,2+(CZ48-1)*2)</f>
        <v>0</v>
      </c>
      <c r="DA55" s="156">
        <f ca="1">OFFSET(AA55,0,2+(DA48-1)*2)</f>
        <v>0</v>
      </c>
      <c r="DB55" s="156">
        <f t="shared" ca="1" si="79"/>
        <v>8</v>
      </c>
      <c r="DE55" s="159"/>
      <c r="DF55" s="159"/>
      <c r="DG55" s="159">
        <v>4</v>
      </c>
      <c r="DH55" s="159">
        <v>6</v>
      </c>
      <c r="DI55" s="123">
        <f t="shared" si="51"/>
        <v>2</v>
      </c>
      <c r="DJ55" s="36" t="str">
        <f ca="1">OFFSET(gr_header,DG55+DE36,1+DF36)</f>
        <v/>
      </c>
      <c r="DK55" s="36" t="str">
        <f ca="1">OFFSET(gr_header,DH55+DE36,1+DF36)</f>
        <v/>
      </c>
      <c r="DL55" s="123">
        <f ca="1">OFFSET(gr_header,DG55+DE36,2*DH55+DF36)</f>
        <v>0</v>
      </c>
      <c r="DM55" s="123">
        <f ca="1">OFFSET(gr_header,DG55+DE36,2*DH55+1+DF36)</f>
        <v>0</v>
      </c>
      <c r="DN55" s="34"/>
      <c r="DO55" s="183">
        <f t="shared" ca="1" si="5"/>
        <v>0</v>
      </c>
      <c r="DP55" s="183">
        <f t="shared" ca="1" si="6"/>
        <v>0</v>
      </c>
      <c r="DQ55" s="183">
        <f t="shared" ca="1" si="7"/>
        <v>0</v>
      </c>
      <c r="DR55" s="183">
        <f t="shared" ca="1" si="8"/>
        <v>0</v>
      </c>
      <c r="DS55" s="182">
        <f t="shared" ca="1" si="9"/>
        <v>0</v>
      </c>
      <c r="DT55" s="182">
        <f t="shared" ca="1" si="10"/>
        <v>0</v>
      </c>
      <c r="DU55" s="182"/>
      <c r="DV55" s="182"/>
      <c r="DW55" s="182"/>
    </row>
    <row r="56" spans="2:127" hidden="1" outlineLevel="1">
      <c r="B56" s="148">
        <v>8</v>
      </c>
      <c r="C56" s="154" t="str">
        <f ca="1">OFFSET(gr_anchor,B56,B48)</f>
        <v/>
      </c>
      <c r="D56" s="150" t="str">
        <f ca="1">IF(OFFSET(D49,D48-1,1+(B56-1)*2)="","",OFFSET(D49,D48-1,1+(B56-1)*2))</f>
        <v/>
      </c>
      <c r="E56" s="150" t="str">
        <f ca="1">IF(OFFSET(D49,D48-1,(B56-1)*2)="","",OFFSET(D49,D48-1,(B56-1)*2))</f>
        <v/>
      </c>
      <c r="F56" s="150" t="str">
        <f ca="1">IF(OFFSET(D49,F48-1,1+(B56-1)*2)="","",OFFSET(D49,F48-1,1+(B56-1)*2))</f>
        <v/>
      </c>
      <c r="G56" s="150" t="str">
        <f ca="1">IF(OFFSET(D49,F48-1,(B56-1)*2)="","",OFFSET(D49,F48-1,(B56-1)*2))</f>
        <v/>
      </c>
      <c r="H56" s="150" t="str">
        <f ca="1">IF(OFFSET(D49,H48-1,1+(B56-1)*2)="","",OFFSET(D49,H48-1,1+(B56-1)*2))</f>
        <v/>
      </c>
      <c r="I56" s="150" t="str">
        <f ca="1">IF(OFFSET(D49,H48-1,(B56-1)*2)="","",OFFSET(D49,H48-1,(B56-1)*2))</f>
        <v/>
      </c>
      <c r="J56" s="150" t="str">
        <f ca="1">IF(OFFSET(D49,J48-1,1+(B56-1)*2)="","",OFFSET(D49,J48-1,1+(B56-1)*2))</f>
        <v/>
      </c>
      <c r="K56" s="150" t="str">
        <f ca="1">IF(OFFSET(D49,J48-1,(B56-1)*2)="","",OFFSET(D49,J48-1,(B56-1)*2))</f>
        <v/>
      </c>
      <c r="L56" s="150" t="str">
        <f ca="1">IF(OFFSET(D49,L48-1,1+(B56-1)*2)="","",OFFSET(D49,L48-1,1+(B56-1)*2))</f>
        <v/>
      </c>
      <c r="M56" s="150" t="str">
        <f ca="1">IF(OFFSET(D49,L48-1,(B56-1)*2)="","",OFFSET(D49,L48-1,(B56-1)*2))</f>
        <v/>
      </c>
      <c r="N56" s="150" t="str">
        <f ca="1">IF(OFFSET(D49,N48-1,1+(B56-1)*2)="","",OFFSET(D49,N48-1,1+(B56-1)*2))</f>
        <v/>
      </c>
      <c r="O56" s="150" t="str">
        <f ca="1">IF(OFFSET(D49,N48-1,(B56-1)*2)="","",OFFSET(D49,N48-1,(B56-1)*2))</f>
        <v/>
      </c>
      <c r="P56" s="150" t="str">
        <f ca="1">IF(OFFSET(D49,P48-1,1+(B56-1)*2)="","",OFFSET(D49,P48-1,1+(B56-1)*2))</f>
        <v/>
      </c>
      <c r="Q56" s="150" t="str">
        <f ca="1">IF(OFFSET(D49,P48-1,(B56-1)*2)="","",OFFSET(D49,P48-1,(B56-1)*2))</f>
        <v/>
      </c>
      <c r="R56" s="155"/>
      <c r="S56" s="149"/>
      <c r="T56" s="151">
        <f ca="1">COUNTIF(OFFSET(E49,0,(B56-1)*2,8),2)*2+COUNTIF(OFFSET(D49,0,(B56-1)*2,8),2)</f>
        <v>0</v>
      </c>
      <c r="U56" s="151">
        <f ca="1">RANK(AZ56,AZ49:AZ56)*AY56</f>
        <v>0</v>
      </c>
      <c r="V56" s="151">
        <f t="shared" ca="1" si="69"/>
        <v>0</v>
      </c>
      <c r="W56" s="151">
        <f t="shared" ca="1" si="70"/>
        <v>0</v>
      </c>
      <c r="X56" s="152" t="str">
        <f t="shared" ca="1" si="66"/>
        <v/>
      </c>
      <c r="Y56" s="153"/>
      <c r="Z56" s="148">
        <v>8</v>
      </c>
      <c r="AA56" s="154" t="str">
        <f ca="1">OFFSET(gr_anchor,Z56,Z48)</f>
        <v/>
      </c>
      <c r="AB56" s="150" t="str">
        <f ca="1">IF(OFFSET(AB49,AB48-1,1+(Z56-1)*2)="","",OFFSET(AB49,AB48-1,1+(Z56-1)*2))</f>
        <v/>
      </c>
      <c r="AC56" s="150" t="str">
        <f ca="1">IF(OFFSET(AB49,AB48-1,(Z56-1)*2)="","",OFFSET(AB49,AB48-1,(Z56-1)*2))</f>
        <v/>
      </c>
      <c r="AD56" s="150" t="str">
        <f ca="1">IF(OFFSET(AB49,AD48-1,1+(Z56-1)*2)="","",OFFSET(AB49,AD48-1,1+(Z56-1)*2))</f>
        <v/>
      </c>
      <c r="AE56" s="150" t="str">
        <f ca="1">IF(OFFSET(AB49,AD48-1,(Z56-1)*2)="","",OFFSET(AB49,AD48-1,(Z56-1)*2))</f>
        <v/>
      </c>
      <c r="AF56" s="150" t="str">
        <f ca="1">IF(OFFSET(AB49,AF48-1,1+(Z56-1)*2)="","",OFFSET(AB49,AF48-1,1+(Z56-1)*2))</f>
        <v/>
      </c>
      <c r="AG56" s="150" t="str">
        <f ca="1">IF(OFFSET(AB49,AF48-1,(Z56-1)*2)="","",OFFSET(AB49,AF48-1,(Z56-1)*2))</f>
        <v/>
      </c>
      <c r="AH56" s="150" t="str">
        <f ca="1">IF(OFFSET(AB49,AH48-1,1+(Z56-1)*2)="","",OFFSET(AB49,AH48-1,1+(Z56-1)*2))</f>
        <v/>
      </c>
      <c r="AI56" s="150" t="str">
        <f ca="1">IF(OFFSET(AB49,AH48-1,(Z56-1)*2)="","",OFFSET(AB49,AH48-1,(Z56-1)*2))</f>
        <v/>
      </c>
      <c r="AJ56" s="150" t="str">
        <f ca="1">IF(OFFSET(AB49,AJ48-1,1+(Z56-1)*2)="","",OFFSET(AB49,AJ48-1,1+(Z56-1)*2))</f>
        <v/>
      </c>
      <c r="AK56" s="150" t="str">
        <f ca="1">IF(OFFSET(AB49,AJ48-1,(Z56-1)*2)="","",OFFSET(AB49,AJ48-1,(Z56-1)*2))</f>
        <v/>
      </c>
      <c r="AL56" s="150" t="str">
        <f ca="1">IF(OFFSET(AB49,AL48-1,1+(Z56-1)*2)="","",OFFSET(AB49,AL48-1,1+(Z56-1)*2))</f>
        <v/>
      </c>
      <c r="AM56" s="150" t="str">
        <f ca="1">IF(OFFSET(AB49,AL48-1,(Z56-1)*2)="","",OFFSET(AB49,AL48-1,(Z56-1)*2))</f>
        <v/>
      </c>
      <c r="AN56" s="150" t="str">
        <f ca="1">IF(OFFSET(AB49,AN48-1,1+(Z56-1)*2)="","",OFFSET(AB49,AN48-1,1+(Z56-1)*2))</f>
        <v/>
      </c>
      <c r="AO56" s="150" t="str">
        <f ca="1">IF(OFFSET(AB49,AN48-1,(Z56-1)*2)="","",OFFSET(AB49,AN48-1,(Z56-1)*2))</f>
        <v/>
      </c>
      <c r="AP56" s="155"/>
      <c r="AQ56" s="149"/>
      <c r="AR56" s="151">
        <f ca="1">COUNTIF(OFFSET(AC49,0,(Z56-1)*2,8),2)*2+COUNTIF(OFFSET(AB49,0,(Z56-1)*2,8),2)</f>
        <v>0</v>
      </c>
      <c r="AS56" s="151">
        <f ca="1">RANK(CC56,CC49:CC56)*CB56</f>
        <v>0</v>
      </c>
      <c r="AT56" s="151">
        <f t="shared" ca="1" si="71"/>
        <v>0</v>
      </c>
      <c r="AU56" s="151">
        <f t="shared" ca="1" si="72"/>
        <v>0</v>
      </c>
      <c r="AV56" s="152" t="str">
        <f t="shared" ca="1" si="73"/>
        <v/>
      </c>
      <c r="AW56" s="153"/>
      <c r="AX56" s="156">
        <f ca="1">COUNTA(C49:C56)-COUNTBLANK(C49:C56)</f>
        <v>0</v>
      </c>
      <c r="AY56" s="156">
        <f t="shared" ca="1" si="67"/>
        <v>0</v>
      </c>
      <c r="AZ56" s="157">
        <f t="shared" ca="1" si="74"/>
        <v>0</v>
      </c>
      <c r="BA56" s="156">
        <f ca="1">IF(T56=OFFSET(T48,BA48,0),1,0)</f>
        <v>1</v>
      </c>
      <c r="BB56" s="156">
        <f ca="1">IF(T56=OFFSET(T48,BB48,0),1,0)</f>
        <v>1</v>
      </c>
      <c r="BC56" s="156">
        <f ca="1">IF(T56=OFFSET(T48,BC48,0),1,0)</f>
        <v>1</v>
      </c>
      <c r="BD56" s="156">
        <f ca="1">IF(T56=OFFSET(T48,BD48,0),1,0)</f>
        <v>1</v>
      </c>
      <c r="BE56" s="156">
        <f ca="1">IF(T56=OFFSET(T48,BE48,0),1,0)</f>
        <v>1</v>
      </c>
      <c r="BF56" s="156">
        <f ca="1">IF(T56=OFFSET(T48,BF48,0),1,0)</f>
        <v>1</v>
      </c>
      <c r="BG56" s="156">
        <f ca="1">IF(T56=OFFSET(T48,BG48,0),1,0)</f>
        <v>1</v>
      </c>
      <c r="BH56" s="156">
        <f ca="1">IF(T56=OFFSET(T48,BH48,0),1,0)</f>
        <v>1</v>
      </c>
      <c r="BI56" s="156" t="str">
        <f ca="1">OFFSET(C56,0,1+(BI48-1)*2)</f>
        <v/>
      </c>
      <c r="BJ56" s="156" t="str">
        <f ca="1">OFFSET(C56,0,1+(BJ48-1)*2)</f>
        <v/>
      </c>
      <c r="BK56" s="156" t="str">
        <f ca="1">OFFSET(C56,0,1+(BK48-1)*2)</f>
        <v/>
      </c>
      <c r="BL56" s="156" t="str">
        <f ca="1">OFFSET(C56,0,1+(BL48-1)*2)</f>
        <v/>
      </c>
      <c r="BM56" s="156" t="str">
        <f ca="1">OFFSET(C56,0,1+(BM48-1)*2)</f>
        <v/>
      </c>
      <c r="BN56" s="156" t="str">
        <f ca="1">OFFSET(C56,0,1+(BN48-1)*2)</f>
        <v/>
      </c>
      <c r="BO56" s="156" t="str">
        <f ca="1">OFFSET(C56,0,1+(BO48-1)*2)</f>
        <v/>
      </c>
      <c r="BP56" s="156">
        <f ca="1">OFFSET(C56,0,1+(BP48-1)*2)</f>
        <v>0</v>
      </c>
      <c r="BQ56" s="156" t="str">
        <f t="shared" ca="1" si="75"/>
        <v/>
      </c>
      <c r="BR56" s="156" t="str">
        <f t="shared" ca="1" si="75"/>
        <v/>
      </c>
      <c r="BS56" s="156" t="str">
        <f t="shared" ca="1" si="75"/>
        <v/>
      </c>
      <c r="BT56" s="156" t="str">
        <f t="shared" ca="1" si="75"/>
        <v/>
      </c>
      <c r="BU56" s="156" t="str">
        <f t="shared" ca="1" si="75"/>
        <v/>
      </c>
      <c r="BV56" s="156" t="str">
        <f t="shared" ca="1" si="75"/>
        <v/>
      </c>
      <c r="BW56" s="156" t="str">
        <f t="shared" ca="1" si="75"/>
        <v/>
      </c>
      <c r="BX56" s="156">
        <f t="shared" ca="1" si="75"/>
        <v>0</v>
      </c>
      <c r="BY56" s="156">
        <f t="shared" ca="1" si="76"/>
        <v>8</v>
      </c>
      <c r="CA56" s="156">
        <f ca="1">COUNTA(AA49:AA56)-COUNTBLANK(AA49:AA56)</f>
        <v>0</v>
      </c>
      <c r="CB56" s="156">
        <f t="shared" ca="1" si="77"/>
        <v>0</v>
      </c>
      <c r="CC56" s="157">
        <f t="shared" ca="1" si="78"/>
        <v>0</v>
      </c>
      <c r="CD56" s="156">
        <f ca="1">IF(AR56=OFFSET(AR48,CD48,0),1,0)</f>
        <v>1</v>
      </c>
      <c r="CE56" s="156">
        <f ca="1">IF(AR56=OFFSET(AR48,CE48,0),1,0)</f>
        <v>1</v>
      </c>
      <c r="CF56" s="156">
        <f ca="1">IF(AR56=OFFSET(AR48,CF48,0),1,0)</f>
        <v>1</v>
      </c>
      <c r="CG56" s="156">
        <f ca="1">IF(AR56=OFFSET(AR48,CG48,0),1,0)</f>
        <v>1</v>
      </c>
      <c r="CH56" s="156">
        <f ca="1">IF(AR56=OFFSET(AR48,CH48,0),1,0)</f>
        <v>1</v>
      </c>
      <c r="CI56" s="156">
        <f ca="1">IF(AR56=OFFSET(AR48,CI48,0),1,0)</f>
        <v>1</v>
      </c>
      <c r="CJ56" s="156">
        <f ca="1">IF(AR56=OFFSET(AR48,CJ48,0),1,0)</f>
        <v>1</v>
      </c>
      <c r="CK56" s="156">
        <f ca="1">IF(AR56=OFFSET(AR48,CK48,0),1,0)</f>
        <v>1</v>
      </c>
      <c r="CL56" s="156" t="str">
        <f ca="1">OFFSET(AA56,0,1+(CL48-1)*2)</f>
        <v/>
      </c>
      <c r="CM56" s="156" t="str">
        <f ca="1">OFFSET(AA56,0,1+(CM48-1)*2)</f>
        <v/>
      </c>
      <c r="CN56" s="156" t="str">
        <f ca="1">OFFSET(AA56,0,1+(CN48-1)*2)</f>
        <v/>
      </c>
      <c r="CO56" s="156" t="str">
        <f ca="1">OFFSET(AA56,0,1+(CO48-1)*2)</f>
        <v/>
      </c>
      <c r="CP56" s="156" t="str">
        <f ca="1">OFFSET(AA56,0,1+(CP48-1)*2)</f>
        <v/>
      </c>
      <c r="CQ56" s="156" t="str">
        <f ca="1">OFFSET(AA56,0,1+(CQ48-1)*2)</f>
        <v/>
      </c>
      <c r="CR56" s="156" t="str">
        <f ca="1">OFFSET(AA56,0,1+(CR48-1)*2)</f>
        <v/>
      </c>
      <c r="CS56" s="156">
        <f ca="1">OFFSET(AA56,0,1+(CS48-1)*2)</f>
        <v>0</v>
      </c>
      <c r="CT56" s="156" t="str">
        <f ca="1">OFFSET(AA56,0,2+(CT48-1)*2)</f>
        <v/>
      </c>
      <c r="CU56" s="156" t="str">
        <f ca="1">OFFSET(AA56,0,2+(CU48-1)*2)</f>
        <v/>
      </c>
      <c r="CV56" s="156" t="str">
        <f ca="1">OFFSET(AA56,0,2+(CV48-1)*2)</f>
        <v/>
      </c>
      <c r="CW56" s="156" t="str">
        <f ca="1">OFFSET(AA56,0,2+(CW48-1)*2)</f>
        <v/>
      </c>
      <c r="CX56" s="156" t="str">
        <f ca="1">OFFSET(AA56,0,2+(CX48-1)*2)</f>
        <v/>
      </c>
      <c r="CY56" s="156" t="str">
        <f ca="1">OFFSET(AA56,0,2+(CY48-1)*2)</f>
        <v/>
      </c>
      <c r="CZ56" s="156" t="str">
        <f ca="1">OFFSET(AA56,0,2+(CZ48-1)*2)</f>
        <v/>
      </c>
      <c r="DA56" s="156">
        <f ca="1">OFFSET(AA56,0,2+(DA48-1)*2)</f>
        <v>0</v>
      </c>
      <c r="DB56" s="156">
        <f t="shared" ca="1" si="79"/>
        <v>8</v>
      </c>
      <c r="DE56" s="159"/>
      <c r="DF56" s="159"/>
      <c r="DG56" s="159">
        <v>4</v>
      </c>
      <c r="DH56" s="159">
        <v>7</v>
      </c>
      <c r="DI56" s="123">
        <f t="shared" si="51"/>
        <v>2</v>
      </c>
      <c r="DJ56" s="36" t="str">
        <f ca="1">OFFSET(gr_header,DG56+DE36,1+DF36)</f>
        <v/>
      </c>
      <c r="DK56" s="36" t="str">
        <f ca="1">OFFSET(gr_header,DH56+DE36,1+DF36)</f>
        <v/>
      </c>
      <c r="DL56" s="123">
        <f ca="1">OFFSET(gr_header,DG56+DE36,2*DH56+DF36)</f>
        <v>0</v>
      </c>
      <c r="DM56" s="123">
        <f ca="1">OFFSET(gr_header,DG56+DE36,2*DH56+1+DF36)</f>
        <v>0</v>
      </c>
      <c r="DN56" s="34"/>
      <c r="DO56" s="183">
        <f t="shared" ca="1" si="5"/>
        <v>0</v>
      </c>
      <c r="DP56" s="183">
        <f t="shared" ca="1" si="6"/>
        <v>0</v>
      </c>
      <c r="DQ56" s="183">
        <f t="shared" ca="1" si="7"/>
        <v>0</v>
      </c>
      <c r="DR56" s="183">
        <f t="shared" ca="1" si="8"/>
        <v>0</v>
      </c>
      <c r="DS56" s="182">
        <f t="shared" ca="1" si="9"/>
        <v>0</v>
      </c>
      <c r="DT56" s="182">
        <f t="shared" ca="1" si="10"/>
        <v>0</v>
      </c>
      <c r="DU56" s="182"/>
      <c r="DV56" s="182"/>
      <c r="DW56" s="182"/>
    </row>
    <row r="57" spans="2:127" ht="14.25" collapsed="1" thickBot="1">
      <c r="DE57" s="159"/>
      <c r="DF57" s="159"/>
      <c r="DG57" s="159">
        <v>4</v>
      </c>
      <c r="DH57" s="159">
        <v>8</v>
      </c>
      <c r="DI57" s="123">
        <f t="shared" si="51"/>
        <v>2</v>
      </c>
      <c r="DJ57" s="36" t="str">
        <f ca="1">OFFSET(gr_header,DG57+DE36,1+DF36)</f>
        <v/>
      </c>
      <c r="DK57" s="36" t="str">
        <f ca="1">OFFSET(gr_header,DH57+DE36,1+DF36)</f>
        <v/>
      </c>
      <c r="DL57" s="123">
        <f ca="1">OFFSET(gr_header,DG57+DE36,2*DH57+DF36)</f>
        <v>0</v>
      </c>
      <c r="DM57" s="123">
        <f ca="1">OFFSET(gr_header,DG57+DE36,2*DH57+1+DF36)</f>
        <v>0</v>
      </c>
      <c r="DN57" s="34"/>
      <c r="DO57" s="183">
        <f t="shared" ca="1" si="5"/>
        <v>0</v>
      </c>
      <c r="DP57" s="183">
        <f t="shared" ca="1" si="6"/>
        <v>0</v>
      </c>
      <c r="DQ57" s="183">
        <f t="shared" ca="1" si="7"/>
        <v>0</v>
      </c>
      <c r="DR57" s="183">
        <f t="shared" ca="1" si="8"/>
        <v>0</v>
      </c>
      <c r="DS57" s="182">
        <f t="shared" ca="1" si="9"/>
        <v>0</v>
      </c>
      <c r="DT57" s="182">
        <f t="shared" ca="1" si="10"/>
        <v>0</v>
      </c>
      <c r="DU57" s="182"/>
      <c r="DV57" s="182"/>
      <c r="DW57" s="182"/>
    </row>
    <row r="58" spans="2:127" ht="12" customHeight="1" thickBot="1">
      <c r="B58" s="164">
        <f>B48+2</f>
        <v>11</v>
      </c>
      <c r="C58" s="165" t="s">
        <v>38</v>
      </c>
      <c r="D58" s="205">
        <v>1</v>
      </c>
      <c r="E58" s="204"/>
      <c r="F58" s="203">
        <v>2</v>
      </c>
      <c r="G58" s="204"/>
      <c r="H58" s="203">
        <v>3</v>
      </c>
      <c r="I58" s="204"/>
      <c r="J58" s="203">
        <v>4</v>
      </c>
      <c r="K58" s="204"/>
      <c r="L58" s="203">
        <v>5</v>
      </c>
      <c r="M58" s="204"/>
      <c r="N58" s="200">
        <v>6</v>
      </c>
      <c r="O58" s="201"/>
      <c r="P58" s="200">
        <v>7</v>
      </c>
      <c r="Q58" s="201"/>
      <c r="R58" s="200">
        <v>8</v>
      </c>
      <c r="S58" s="202"/>
      <c r="T58" s="178" t="s">
        <v>88</v>
      </c>
      <c r="U58" s="178" t="s">
        <v>89</v>
      </c>
      <c r="V58" s="198" t="s">
        <v>5</v>
      </c>
      <c r="W58" s="198"/>
      <c r="X58" s="141" t="s">
        <v>6</v>
      </c>
      <c r="Y58" s="142"/>
      <c r="Z58" s="164">
        <f>Z48+2</f>
        <v>12</v>
      </c>
      <c r="AA58" s="165" t="s">
        <v>38</v>
      </c>
      <c r="AB58" s="205">
        <v>1</v>
      </c>
      <c r="AC58" s="204"/>
      <c r="AD58" s="203">
        <v>2</v>
      </c>
      <c r="AE58" s="204"/>
      <c r="AF58" s="203">
        <v>3</v>
      </c>
      <c r="AG58" s="204"/>
      <c r="AH58" s="203">
        <v>4</v>
      </c>
      <c r="AI58" s="204"/>
      <c r="AJ58" s="203">
        <v>5</v>
      </c>
      <c r="AK58" s="204"/>
      <c r="AL58" s="200">
        <v>6</v>
      </c>
      <c r="AM58" s="201"/>
      <c r="AN58" s="200">
        <v>7</v>
      </c>
      <c r="AO58" s="201"/>
      <c r="AP58" s="200">
        <v>8</v>
      </c>
      <c r="AQ58" s="202"/>
      <c r="AR58" s="178" t="s">
        <v>88</v>
      </c>
      <c r="AS58" s="178" t="s">
        <v>89</v>
      </c>
      <c r="AT58" s="198" t="s">
        <v>5</v>
      </c>
      <c r="AU58" s="198"/>
      <c r="AV58" s="141" t="s">
        <v>6</v>
      </c>
      <c r="AW58" s="142"/>
      <c r="AX58" s="143" t="s">
        <v>7</v>
      </c>
      <c r="AY58" s="143" t="s">
        <v>8</v>
      </c>
      <c r="AZ58" s="143" t="s">
        <v>9</v>
      </c>
      <c r="BA58" s="144">
        <v>1</v>
      </c>
      <c r="BB58" s="144">
        <v>2</v>
      </c>
      <c r="BC58" s="144">
        <v>3</v>
      </c>
      <c r="BD58" s="144">
        <v>4</v>
      </c>
      <c r="BE58" s="144">
        <v>5</v>
      </c>
      <c r="BF58" s="144">
        <v>6</v>
      </c>
      <c r="BG58" s="144">
        <v>7</v>
      </c>
      <c r="BH58" s="144">
        <v>8</v>
      </c>
      <c r="BI58" s="145">
        <v>1</v>
      </c>
      <c r="BJ58" s="145">
        <v>2</v>
      </c>
      <c r="BK58" s="145">
        <v>3</v>
      </c>
      <c r="BL58" s="145">
        <v>4</v>
      </c>
      <c r="BM58" s="145">
        <v>5</v>
      </c>
      <c r="BN58" s="145">
        <v>6</v>
      </c>
      <c r="BO58" s="145">
        <v>7</v>
      </c>
      <c r="BP58" s="145">
        <v>8</v>
      </c>
      <c r="BQ58" s="144">
        <v>1</v>
      </c>
      <c r="BR58" s="144">
        <v>2</v>
      </c>
      <c r="BS58" s="144">
        <v>3</v>
      </c>
      <c r="BT58" s="144">
        <v>4</v>
      </c>
      <c r="BU58" s="144">
        <v>5</v>
      </c>
      <c r="BV58" s="144">
        <v>6</v>
      </c>
      <c r="BW58" s="144">
        <v>7</v>
      </c>
      <c r="BX58" s="144">
        <v>8</v>
      </c>
      <c r="BY58" s="146"/>
      <c r="CA58" s="143" t="s">
        <v>7</v>
      </c>
      <c r="CB58" s="143" t="s">
        <v>8</v>
      </c>
      <c r="CC58" s="143" t="s">
        <v>9</v>
      </c>
      <c r="CD58" s="144">
        <v>1</v>
      </c>
      <c r="CE58" s="144">
        <v>2</v>
      </c>
      <c r="CF58" s="144">
        <v>3</v>
      </c>
      <c r="CG58" s="144">
        <v>4</v>
      </c>
      <c r="CH58" s="144">
        <v>5</v>
      </c>
      <c r="CI58" s="144">
        <v>6</v>
      </c>
      <c r="CJ58" s="144">
        <v>7</v>
      </c>
      <c r="CK58" s="144">
        <v>8</v>
      </c>
      <c r="CL58" s="145">
        <v>1</v>
      </c>
      <c r="CM58" s="145">
        <v>2</v>
      </c>
      <c r="CN58" s="145">
        <v>3</v>
      </c>
      <c r="CO58" s="145">
        <v>4</v>
      </c>
      <c r="CP58" s="145">
        <v>5</v>
      </c>
      <c r="CQ58" s="145">
        <v>6</v>
      </c>
      <c r="CR58" s="145">
        <v>7</v>
      </c>
      <c r="CS58" s="145">
        <v>8</v>
      </c>
      <c r="CT58" s="144">
        <v>1</v>
      </c>
      <c r="CU58" s="144">
        <v>2</v>
      </c>
      <c r="CV58" s="144">
        <v>3</v>
      </c>
      <c r="CW58" s="144">
        <v>4</v>
      </c>
      <c r="CX58" s="144">
        <v>5</v>
      </c>
      <c r="CY58" s="144">
        <v>6</v>
      </c>
      <c r="CZ58" s="144">
        <v>7</v>
      </c>
      <c r="DA58" s="144">
        <v>8</v>
      </c>
      <c r="DB58" s="146"/>
      <c r="DE58" s="159"/>
      <c r="DF58" s="159"/>
      <c r="DG58" s="159">
        <v>5</v>
      </c>
      <c r="DH58" s="159">
        <v>6</v>
      </c>
      <c r="DI58" s="123">
        <f t="shared" si="51"/>
        <v>2</v>
      </c>
      <c r="DJ58" s="36" t="str">
        <f ca="1">OFFSET(gr_header,DG58+DE36,1+DF36)</f>
        <v/>
      </c>
      <c r="DK58" s="36" t="str">
        <f ca="1">OFFSET(gr_header,DH58+DE36,1+DF36)</f>
        <v/>
      </c>
      <c r="DL58" s="123">
        <f ca="1">OFFSET(gr_header,DG58+DE36,2*DH58+DF36)</f>
        <v>0</v>
      </c>
      <c r="DM58" s="123">
        <f ca="1">OFFSET(gr_header,DG58+DE36,2*DH58+1+DF36)</f>
        <v>0</v>
      </c>
      <c r="DN58" s="34"/>
      <c r="DO58" s="183">
        <f t="shared" ca="1" si="5"/>
        <v>0</v>
      </c>
      <c r="DP58" s="183">
        <f t="shared" ca="1" si="6"/>
        <v>0</v>
      </c>
      <c r="DQ58" s="183">
        <f t="shared" ca="1" si="7"/>
        <v>0</v>
      </c>
      <c r="DR58" s="183">
        <f t="shared" ca="1" si="8"/>
        <v>0</v>
      </c>
      <c r="DS58" s="182">
        <f t="shared" ca="1" si="9"/>
        <v>0</v>
      </c>
      <c r="DT58" s="182">
        <f t="shared" ca="1" si="10"/>
        <v>0</v>
      </c>
      <c r="DU58" s="182"/>
      <c r="DV58" s="182"/>
      <c r="DW58" s="182"/>
    </row>
    <row r="59" spans="2:127" ht="14.25" thickBot="1">
      <c r="B59" s="166">
        <v>1</v>
      </c>
      <c r="C59" s="167" t="str">
        <f ca="1">OFFSET(gr_anchor,B59,B58)</f>
        <v/>
      </c>
      <c r="D59" s="117"/>
      <c r="E59" s="118"/>
      <c r="F59" s="115"/>
      <c r="G59" s="116"/>
      <c r="H59" s="115"/>
      <c r="I59" s="116"/>
      <c r="J59" s="115"/>
      <c r="K59" s="116"/>
      <c r="L59" s="115"/>
      <c r="M59" s="116"/>
      <c r="N59" s="150"/>
      <c r="O59" s="150"/>
      <c r="P59" s="150"/>
      <c r="Q59" s="150"/>
      <c r="R59" s="150"/>
      <c r="S59" s="174"/>
      <c r="T59" s="177">
        <f ca="1">COUNTIF(OFFSET(E59,0,(B59-1)*2,8),3)*2+COUNTIF(OFFSET(D59,0,(B59-1)*2,8),3)</f>
        <v>0</v>
      </c>
      <c r="U59" s="177">
        <f ca="1">RANK(AZ59,AZ59:AZ66)*AY59</f>
        <v>0</v>
      </c>
      <c r="V59" s="175">
        <f ca="1">SUMPRODUCT(BA59:BH59,BI59:BP59)</f>
        <v>0</v>
      </c>
      <c r="W59" s="151">
        <f ca="1">SUMPRODUCT(BA59:BH59,BQ59:BX59)</f>
        <v>0</v>
      </c>
      <c r="X59" s="152" t="str">
        <f t="shared" ref="X59:X66" ca="1" si="80">IF(BY59=2,IF(W59=0,3,V59/W59),IF(V59=0,"",V59/W59))</f>
        <v/>
      </c>
      <c r="Y59" s="153"/>
      <c r="Z59" s="166">
        <v>1</v>
      </c>
      <c r="AA59" s="167" t="str">
        <f ca="1">OFFSET(gr_anchor,Z59,Z58)</f>
        <v/>
      </c>
      <c r="AB59" s="117"/>
      <c r="AC59" s="118"/>
      <c r="AD59" s="115"/>
      <c r="AE59" s="116"/>
      <c r="AF59" s="115"/>
      <c r="AG59" s="116"/>
      <c r="AH59" s="115"/>
      <c r="AI59" s="116"/>
      <c r="AJ59" s="115"/>
      <c r="AK59" s="116"/>
      <c r="AL59" s="150"/>
      <c r="AM59" s="150"/>
      <c r="AN59" s="150"/>
      <c r="AO59" s="150"/>
      <c r="AP59" s="150"/>
      <c r="AQ59" s="174"/>
      <c r="AR59" s="177">
        <f ca="1">COUNTIF(OFFSET(AC59,0,(Z59-1)*2,8),3)*2+COUNTIF(OFFSET(AB59,0,(Z59-1)*2,8),3)</f>
        <v>0</v>
      </c>
      <c r="AS59" s="177">
        <f ca="1">RANK(CC59,CC59:CC66)*CB59</f>
        <v>0</v>
      </c>
      <c r="AT59" s="175">
        <f ca="1">SUMPRODUCT(CD59:CK59,CL59:CS59)</f>
        <v>0</v>
      </c>
      <c r="AU59" s="151">
        <f ca="1">SUMPRODUCT(CD59:CK59,CT59:DA59)</f>
        <v>0</v>
      </c>
      <c r="AV59" s="152" t="str">
        <f ca="1">IF(DB59=2,IF(AU59=0,3,AT59/AU59),IF(AT59=0,"",AT59/AU59))</f>
        <v/>
      </c>
      <c r="AW59" s="153"/>
      <c r="AX59" s="156">
        <f ca="1">COUNTA(C59:C66)-COUNTBLANK(C59:C66)</f>
        <v>0</v>
      </c>
      <c r="AY59" s="156">
        <f t="shared" ref="AY59:AY66" ca="1" si="81">IF(AX59&lt;B59,0,1)</f>
        <v>0</v>
      </c>
      <c r="AZ59" s="157">
        <f ca="1">T59+IF(X59="",0,X59/100)</f>
        <v>0</v>
      </c>
      <c r="BA59" s="156">
        <f ca="1">IF(T59=OFFSET(T58,BA58,0),1,0)</f>
        <v>1</v>
      </c>
      <c r="BB59" s="156">
        <f ca="1">IF(T59=OFFSET(T58,BB58,0),1,0)</f>
        <v>1</v>
      </c>
      <c r="BC59" s="156">
        <f ca="1">IF(T59=OFFSET(T58,BC58,0),1,0)</f>
        <v>1</v>
      </c>
      <c r="BD59" s="156">
        <f ca="1">IF(T59=OFFSET(T58,BD58,0),1,0)</f>
        <v>1</v>
      </c>
      <c r="BE59" s="156">
        <f ca="1">IF(T59=OFFSET(T58,BE58,0),1,0)</f>
        <v>1</v>
      </c>
      <c r="BF59" s="156">
        <f ca="1">IF(T59=OFFSET(T58,BF58,0),1,0)</f>
        <v>1</v>
      </c>
      <c r="BG59" s="156">
        <f ca="1">IF(T59=OFFSET(T58,BG58,0),1,0)</f>
        <v>1</v>
      </c>
      <c r="BH59" s="156">
        <f ca="1">IF(T59=OFFSET(T58,BH58,0),1,0)</f>
        <v>1</v>
      </c>
      <c r="BI59" s="156">
        <f ca="1">OFFSET(C59,0,1+(BI58-1)*2)</f>
        <v>0</v>
      </c>
      <c r="BJ59" s="156">
        <f ca="1">OFFSET(C59,0,1+(BJ58-1)*2)</f>
        <v>0</v>
      </c>
      <c r="BK59" s="156">
        <f ca="1">OFFSET(C59,0,1+(BK58-1)*2)</f>
        <v>0</v>
      </c>
      <c r="BL59" s="156">
        <f ca="1">OFFSET(C59,0,1+(BL58-1)*2)</f>
        <v>0</v>
      </c>
      <c r="BM59" s="156">
        <f ca="1">OFFSET(C59,0,1+(BM58-1)*2)</f>
        <v>0</v>
      </c>
      <c r="BN59" s="156">
        <f ca="1">OFFSET(C59,0,1+(BN58-1)*2)</f>
        <v>0</v>
      </c>
      <c r="BO59" s="156">
        <f ca="1">OFFSET(C59,0,1+(BO58-1)*2)</f>
        <v>0</v>
      </c>
      <c r="BP59" s="156">
        <f ca="1">OFFSET(C59,0,1+(BP58-1)*2)</f>
        <v>0</v>
      </c>
      <c r="BQ59" s="156">
        <f t="shared" ref="BQ59:BX59" ca="1" si="82">OFFSET($C59,0,2+(BQ$8-1)*2)</f>
        <v>0</v>
      </c>
      <c r="BR59" s="156">
        <f t="shared" ca="1" si="82"/>
        <v>0</v>
      </c>
      <c r="BS59" s="156">
        <f t="shared" ca="1" si="82"/>
        <v>0</v>
      </c>
      <c r="BT59" s="156">
        <f t="shared" ca="1" si="82"/>
        <v>0</v>
      </c>
      <c r="BU59" s="156">
        <f t="shared" ca="1" si="82"/>
        <v>0</v>
      </c>
      <c r="BV59" s="156">
        <f t="shared" ca="1" si="82"/>
        <v>0</v>
      </c>
      <c r="BW59" s="156">
        <f t="shared" ca="1" si="82"/>
        <v>0</v>
      </c>
      <c r="BX59" s="156">
        <f t="shared" ca="1" si="82"/>
        <v>0</v>
      </c>
      <c r="BY59" s="156">
        <f ca="1">SUM(BA59:BH59)</f>
        <v>8</v>
      </c>
      <c r="CA59" s="156">
        <f ca="1">COUNTA(AA59:AA66)-COUNTBLANK(AA59:AA66)</f>
        <v>0</v>
      </c>
      <c r="CB59" s="156">
        <f ca="1">IF(CA59&lt;Z59,0,1)</f>
        <v>0</v>
      </c>
      <c r="CC59" s="157">
        <f ca="1">AR59+IF(AV59="",0,AV59/100)</f>
        <v>0</v>
      </c>
      <c r="CD59" s="156">
        <f ca="1">IF(AR59=OFFSET(AR58,CD58,0),1,0)</f>
        <v>1</v>
      </c>
      <c r="CE59" s="156">
        <f ca="1">IF(AR59=OFFSET(AR58,CE58,0),1,0)</f>
        <v>1</v>
      </c>
      <c r="CF59" s="156">
        <f ca="1">IF(AR59=OFFSET(AR58,CF58,0),1,0)</f>
        <v>1</v>
      </c>
      <c r="CG59" s="156">
        <f ca="1">IF(AR59=OFFSET(AR58,CG58,0),1,0)</f>
        <v>1</v>
      </c>
      <c r="CH59" s="156">
        <f ca="1">IF(AR59=OFFSET(AR58,CH58,0),1,0)</f>
        <v>1</v>
      </c>
      <c r="CI59" s="156">
        <f ca="1">IF(AR59=OFFSET(AR58,CI58,0),1,0)</f>
        <v>1</v>
      </c>
      <c r="CJ59" s="156">
        <f ca="1">IF(AR59=OFFSET(AR58,CJ58,0),1,0)</f>
        <v>1</v>
      </c>
      <c r="CK59" s="156">
        <f ca="1">IF(AR59=OFFSET(AR58,CK58,0),1,0)</f>
        <v>1</v>
      </c>
      <c r="CL59" s="156">
        <f ca="1">OFFSET(AA59,0,1+(CL58-1)*2)</f>
        <v>0</v>
      </c>
      <c r="CM59" s="156">
        <f ca="1">OFFSET(AA59,0,1+(CM58-1)*2)</f>
        <v>0</v>
      </c>
      <c r="CN59" s="156">
        <f ca="1">OFFSET(AA59,0,1+(CN58-1)*2)</f>
        <v>0</v>
      </c>
      <c r="CO59" s="156">
        <f ca="1">OFFSET(AA59,0,1+(CO58-1)*2)</f>
        <v>0</v>
      </c>
      <c r="CP59" s="156">
        <f ca="1">OFFSET(AA59,0,1+(CP58-1)*2)</f>
        <v>0</v>
      </c>
      <c r="CQ59" s="156">
        <f ca="1">OFFSET(AA59,0,1+(CQ58-1)*2)</f>
        <v>0</v>
      </c>
      <c r="CR59" s="156">
        <f ca="1">OFFSET(AA59,0,1+(CR58-1)*2)</f>
        <v>0</v>
      </c>
      <c r="CS59" s="156">
        <f ca="1">OFFSET(AA59,0,1+(CS58-1)*2)</f>
        <v>0</v>
      </c>
      <c r="CT59" s="156">
        <f ca="1">OFFSET(AA59,0,2+(CT58-1)*2)</f>
        <v>0</v>
      </c>
      <c r="CU59" s="156">
        <f ca="1">OFFSET(AA59,0,2+(CU58-1)*2)</f>
        <v>0</v>
      </c>
      <c r="CV59" s="156">
        <f ca="1">OFFSET(AA59,0,2+(CV58-1)*2)</f>
        <v>0</v>
      </c>
      <c r="CW59" s="156">
        <f ca="1">OFFSET(AA59,0,2+(CW58-1)*2)</f>
        <v>0</v>
      </c>
      <c r="CX59" s="156">
        <f ca="1">OFFSET(AA59,0,2+(CX58-1)*2)</f>
        <v>0</v>
      </c>
      <c r="CY59" s="156">
        <f ca="1">OFFSET(AA59,0,2+(CY58-1)*2)</f>
        <v>0</v>
      </c>
      <c r="CZ59" s="156">
        <f ca="1">OFFSET(AA59,0,2+(CZ58-1)*2)</f>
        <v>0</v>
      </c>
      <c r="DA59" s="156">
        <f ca="1">OFFSET(AA59,0,2+(DA58-1)*2)</f>
        <v>0</v>
      </c>
      <c r="DB59" s="156">
        <f ca="1">SUM(CD59:CK59)</f>
        <v>8</v>
      </c>
      <c r="DE59" s="159"/>
      <c r="DF59" s="159"/>
      <c r="DG59" s="159">
        <v>5</v>
      </c>
      <c r="DH59" s="159">
        <v>7</v>
      </c>
      <c r="DI59" s="123">
        <f t="shared" si="51"/>
        <v>2</v>
      </c>
      <c r="DJ59" s="36" t="str">
        <f ca="1">OFFSET(gr_header,DG59+DE36,1+DF36)</f>
        <v/>
      </c>
      <c r="DK59" s="36" t="str">
        <f ca="1">OFFSET(gr_header,DH59+DE36,1+DF36)</f>
        <v/>
      </c>
      <c r="DL59" s="123">
        <f ca="1">OFFSET(gr_header,DG59+DE36,2*DH59+DF36)</f>
        <v>0</v>
      </c>
      <c r="DM59" s="123">
        <f ca="1">OFFSET(gr_header,DG59+DE36,2*DH59+1+DF36)</f>
        <v>0</v>
      </c>
      <c r="DN59" s="34"/>
      <c r="DO59" s="183">
        <f t="shared" ca="1" si="5"/>
        <v>0</v>
      </c>
      <c r="DP59" s="183">
        <f t="shared" ca="1" si="6"/>
        <v>0</v>
      </c>
      <c r="DQ59" s="183">
        <f t="shared" ca="1" si="7"/>
        <v>0</v>
      </c>
      <c r="DR59" s="183">
        <f t="shared" ca="1" si="8"/>
        <v>0</v>
      </c>
      <c r="DS59" s="182">
        <f t="shared" ca="1" si="9"/>
        <v>0</v>
      </c>
      <c r="DT59" s="182">
        <f t="shared" ca="1" si="10"/>
        <v>0</v>
      </c>
      <c r="DU59" s="182"/>
      <c r="DV59" s="182"/>
      <c r="DW59" s="182"/>
    </row>
    <row r="60" spans="2:127" ht="14.25" thickBot="1">
      <c r="B60" s="168">
        <v>2</v>
      </c>
      <c r="C60" s="169" t="str">
        <f ca="1">OFFSET(gr_anchor,B60,B58)</f>
        <v/>
      </c>
      <c r="D60" s="210" t="str">
        <f ca="1">IF(OFFSET(D59,D58-1,1+(B60-1)*2)="","",OFFSET(D59,D58-1,1+(B60-1)*2))</f>
        <v/>
      </c>
      <c r="E60" s="211" t="str">
        <f ca="1">IF(OFFSET(D59,D58-1,(B60-1)*2)="","",OFFSET(D59,D58-1,(B60-1)*2))</f>
        <v/>
      </c>
      <c r="F60" s="117"/>
      <c r="G60" s="118"/>
      <c r="H60" s="119"/>
      <c r="I60" s="120"/>
      <c r="J60" s="119"/>
      <c r="K60" s="120"/>
      <c r="L60" s="119"/>
      <c r="M60" s="120"/>
      <c r="N60" s="150"/>
      <c r="O60" s="150"/>
      <c r="P60" s="150"/>
      <c r="Q60" s="150"/>
      <c r="R60" s="150"/>
      <c r="S60" s="174"/>
      <c r="T60" s="177">
        <f ca="1">COUNTIF(OFFSET(E59,0,(B60-1)*2,8),3)*2+COUNTIF(OFFSET(D59,0,(B60-1)*2,8),3)</f>
        <v>0</v>
      </c>
      <c r="U60" s="177">
        <f ca="1">RANK(AZ60,AZ59:AZ66)*AY60</f>
        <v>0</v>
      </c>
      <c r="V60" s="175">
        <f t="shared" ref="V60:V66" ca="1" si="83">SUMPRODUCT(BA60:BH60,BI60:BP60)</f>
        <v>0</v>
      </c>
      <c r="W60" s="151">
        <f t="shared" ref="W60:W66" ca="1" si="84">SUMPRODUCT(BA60:BH60,BQ60:BX60)</f>
        <v>0</v>
      </c>
      <c r="X60" s="152" t="str">
        <f t="shared" ca="1" si="80"/>
        <v/>
      </c>
      <c r="Y60" s="153"/>
      <c r="Z60" s="168">
        <v>2</v>
      </c>
      <c r="AA60" s="169" t="str">
        <f ca="1">OFFSET(gr_anchor,Z60,Z58)</f>
        <v/>
      </c>
      <c r="AB60" s="210" t="str">
        <f ca="1">IF(OFFSET(AB59,AB58-1,1+(Z60-1)*2)="","",OFFSET(AB59,AB58-1,1+(Z60-1)*2))</f>
        <v/>
      </c>
      <c r="AC60" s="211" t="str">
        <f ca="1">IF(OFFSET(AB59,AB58-1,(Z60-1)*2)="","",OFFSET(AB59,AB58-1,(Z60-1)*2))</f>
        <v/>
      </c>
      <c r="AD60" s="117"/>
      <c r="AE60" s="118"/>
      <c r="AF60" s="119"/>
      <c r="AG60" s="120"/>
      <c r="AH60" s="119"/>
      <c r="AI60" s="120"/>
      <c r="AJ60" s="119"/>
      <c r="AK60" s="120"/>
      <c r="AL60" s="150"/>
      <c r="AM60" s="150"/>
      <c r="AN60" s="150"/>
      <c r="AO60" s="150"/>
      <c r="AP60" s="150"/>
      <c r="AQ60" s="174"/>
      <c r="AR60" s="177">
        <f ca="1">COUNTIF(OFFSET(AC59,0,(Z60-1)*2,8),3)*2+COUNTIF(OFFSET(AB59,0,(Z60-1)*2,8),3)</f>
        <v>0</v>
      </c>
      <c r="AS60" s="177">
        <f ca="1">RANK(CC60,CC59:CC66)*CB60</f>
        <v>0</v>
      </c>
      <c r="AT60" s="175">
        <f t="shared" ref="AT60:AT66" ca="1" si="85">SUMPRODUCT(CD60:CK60,CL60:CS60)</f>
        <v>0</v>
      </c>
      <c r="AU60" s="151">
        <f t="shared" ref="AU60:AU66" ca="1" si="86">SUMPRODUCT(CD60:CK60,CT60:DA60)</f>
        <v>0</v>
      </c>
      <c r="AV60" s="152" t="str">
        <f t="shared" ref="AV60:AV66" ca="1" si="87">IF(DB60=2,IF(AU60=0,3,AT60/AU60),IF(AT60=0,"",AT60/AU60))</f>
        <v/>
      </c>
      <c r="AW60" s="153"/>
      <c r="AX60" s="156">
        <f ca="1">COUNTA(C59:C66)-COUNTBLANK(C59:C66)</f>
        <v>0</v>
      </c>
      <c r="AY60" s="156">
        <f t="shared" ca="1" si="81"/>
        <v>0</v>
      </c>
      <c r="AZ60" s="157">
        <f t="shared" ref="AZ60:AZ66" ca="1" si="88">T60+IF(X60="",0,X60/100)</f>
        <v>0</v>
      </c>
      <c r="BA60" s="156">
        <f ca="1">IF(T60=OFFSET(T58,BA58,0),1,0)</f>
        <v>1</v>
      </c>
      <c r="BB60" s="156">
        <f ca="1">IF(T60=OFFSET(T58,BB58,0),1,0)</f>
        <v>1</v>
      </c>
      <c r="BC60" s="156">
        <f ca="1">IF(T60=OFFSET(T58,BC58,0),1,0)</f>
        <v>1</v>
      </c>
      <c r="BD60" s="156">
        <f ca="1">IF(T60=OFFSET(T58,BD58,0),1,0)</f>
        <v>1</v>
      </c>
      <c r="BE60" s="156">
        <f ca="1">IF(T60=OFFSET(T58,BE58,0),1,0)</f>
        <v>1</v>
      </c>
      <c r="BF60" s="156">
        <f ca="1">IF(T60=OFFSET(T58,BF58,0),1,0)</f>
        <v>1</v>
      </c>
      <c r="BG60" s="156">
        <f ca="1">IF(T60=OFFSET(T58,BG58,0),1,0)</f>
        <v>1</v>
      </c>
      <c r="BH60" s="156">
        <f ca="1">IF(T60=OFFSET(T58,BH58,0),1,0)</f>
        <v>1</v>
      </c>
      <c r="BI60" s="156" t="str">
        <f ca="1">OFFSET(C60,0,1+(BI58-1)*2)</f>
        <v/>
      </c>
      <c r="BJ60" s="156">
        <f ca="1">OFFSET(C60,0,1+(BJ58-1)*2)</f>
        <v>0</v>
      </c>
      <c r="BK60" s="156">
        <f ca="1">OFFSET(C60,0,1+(BK58-1)*2)</f>
        <v>0</v>
      </c>
      <c r="BL60" s="156">
        <f ca="1">OFFSET(C60,0,1+(BL58-1)*2)</f>
        <v>0</v>
      </c>
      <c r="BM60" s="156">
        <f ca="1">OFFSET(C60,0,1+(BM58-1)*2)</f>
        <v>0</v>
      </c>
      <c r="BN60" s="156">
        <f ca="1">OFFSET(C60,0,1+(BN58-1)*2)</f>
        <v>0</v>
      </c>
      <c r="BO60" s="156">
        <f ca="1">OFFSET(C60,0,1+(BO58-1)*2)</f>
        <v>0</v>
      </c>
      <c r="BP60" s="156">
        <f ca="1">OFFSET(C60,0,1+(BP58-1)*2)</f>
        <v>0</v>
      </c>
      <c r="BQ60" s="156" t="str">
        <f t="shared" ref="BQ60:BX66" ca="1" si="89">OFFSET($C60,0,2+(BQ$8-1)*2)</f>
        <v/>
      </c>
      <c r="BR60" s="156">
        <f t="shared" ca="1" si="89"/>
        <v>0</v>
      </c>
      <c r="BS60" s="156">
        <f t="shared" ca="1" si="89"/>
        <v>0</v>
      </c>
      <c r="BT60" s="156">
        <f t="shared" ca="1" si="89"/>
        <v>0</v>
      </c>
      <c r="BU60" s="156">
        <f t="shared" ca="1" si="89"/>
        <v>0</v>
      </c>
      <c r="BV60" s="156">
        <f t="shared" ca="1" si="89"/>
        <v>0</v>
      </c>
      <c r="BW60" s="156">
        <f t="shared" ca="1" si="89"/>
        <v>0</v>
      </c>
      <c r="BX60" s="156">
        <f t="shared" ca="1" si="89"/>
        <v>0</v>
      </c>
      <c r="BY60" s="156">
        <f t="shared" ref="BY60:BY66" ca="1" si="90">SUM(BA60:BH60)</f>
        <v>8</v>
      </c>
      <c r="CA60" s="156">
        <f ca="1">COUNTA(AA59:AA66)-COUNTBLANK(AA59:AA66)</f>
        <v>0</v>
      </c>
      <c r="CB60" s="156">
        <f t="shared" ref="CB60:CB66" ca="1" si="91">IF(CA60&lt;Z60,0,1)</f>
        <v>0</v>
      </c>
      <c r="CC60" s="157">
        <f t="shared" ref="CC60:CC66" ca="1" si="92">AR60+IF(AV60="",0,AV60/100)</f>
        <v>0</v>
      </c>
      <c r="CD60" s="156">
        <f ca="1">IF(AR60=OFFSET(AR58,CD58,0),1,0)</f>
        <v>1</v>
      </c>
      <c r="CE60" s="156">
        <f ca="1">IF(AR60=OFFSET(AR58,CE58,0),1,0)</f>
        <v>1</v>
      </c>
      <c r="CF60" s="156">
        <f ca="1">IF(AR60=OFFSET(AR58,CF58,0),1,0)</f>
        <v>1</v>
      </c>
      <c r="CG60" s="156">
        <f ca="1">IF(AR60=OFFSET(AR58,CG58,0),1,0)</f>
        <v>1</v>
      </c>
      <c r="CH60" s="156">
        <f ca="1">IF(AR60=OFFSET(AR58,CH58,0),1,0)</f>
        <v>1</v>
      </c>
      <c r="CI60" s="156">
        <f ca="1">IF(AR60=OFFSET(AR58,CI58,0),1,0)</f>
        <v>1</v>
      </c>
      <c r="CJ60" s="156">
        <f ca="1">IF(AR60=OFFSET(AR58,CJ58,0),1,0)</f>
        <v>1</v>
      </c>
      <c r="CK60" s="156">
        <f ca="1">IF(AR60=OFFSET(AR58,CK58,0),1,0)</f>
        <v>1</v>
      </c>
      <c r="CL60" s="156" t="str">
        <f ca="1">OFFSET(AA60,0,1+(CL58-1)*2)</f>
        <v/>
      </c>
      <c r="CM60" s="156">
        <f ca="1">OFFSET(AA60,0,1+(CM58-1)*2)</f>
        <v>0</v>
      </c>
      <c r="CN60" s="156">
        <f ca="1">OFFSET(AA60,0,1+(CN58-1)*2)</f>
        <v>0</v>
      </c>
      <c r="CO60" s="156">
        <f ca="1">OFFSET(AA60,0,1+(CO58-1)*2)</f>
        <v>0</v>
      </c>
      <c r="CP60" s="156">
        <f ca="1">OFFSET(AA60,0,1+(CP58-1)*2)</f>
        <v>0</v>
      </c>
      <c r="CQ60" s="156">
        <f ca="1">OFFSET(AA60,0,1+(CQ58-1)*2)</f>
        <v>0</v>
      </c>
      <c r="CR60" s="156">
        <f ca="1">OFFSET(AA60,0,1+(CR58-1)*2)</f>
        <v>0</v>
      </c>
      <c r="CS60" s="156">
        <f ca="1">OFFSET(AA60,0,1+(CS58-1)*2)</f>
        <v>0</v>
      </c>
      <c r="CT60" s="156" t="str">
        <f ca="1">OFFSET(AA60,0,2+(CT58-1)*2)</f>
        <v/>
      </c>
      <c r="CU60" s="156">
        <f ca="1">OFFSET(AA60,0,2+(CU58-1)*2)</f>
        <v>0</v>
      </c>
      <c r="CV60" s="156">
        <f ca="1">OFFSET(AA60,0,2+(CV58-1)*2)</f>
        <v>0</v>
      </c>
      <c r="CW60" s="156">
        <f ca="1">OFFSET(AA60,0,2+(CW58-1)*2)</f>
        <v>0</v>
      </c>
      <c r="CX60" s="156">
        <f ca="1">OFFSET(AA60,0,2+(CX58-1)*2)</f>
        <v>0</v>
      </c>
      <c r="CY60" s="156">
        <f ca="1">OFFSET(AA60,0,2+(CY58-1)*2)</f>
        <v>0</v>
      </c>
      <c r="CZ60" s="156">
        <f ca="1">OFFSET(AA60,0,2+(CZ58-1)*2)</f>
        <v>0</v>
      </c>
      <c r="DA60" s="156">
        <f ca="1">OFFSET(AA60,0,2+(DA58-1)*2)</f>
        <v>0</v>
      </c>
      <c r="DB60" s="156">
        <f t="shared" ref="DB60:DB66" ca="1" si="93">SUM(CD60:CK60)</f>
        <v>8</v>
      </c>
      <c r="DE60" s="159"/>
      <c r="DF60" s="159"/>
      <c r="DG60" s="159">
        <v>5</v>
      </c>
      <c r="DH60" s="159">
        <v>8</v>
      </c>
      <c r="DI60" s="123">
        <f t="shared" si="51"/>
        <v>2</v>
      </c>
      <c r="DJ60" s="36" t="str">
        <f ca="1">OFFSET(gr_header,DG60+DE36,1+DF36)</f>
        <v/>
      </c>
      <c r="DK60" s="36" t="str">
        <f ca="1">OFFSET(gr_header,DH60+DE36,1+DF36)</f>
        <v/>
      </c>
      <c r="DL60" s="123">
        <f ca="1">OFFSET(gr_header,DG60+DE36,2*DH60+DF36)</f>
        <v>0</v>
      </c>
      <c r="DM60" s="123">
        <f ca="1">OFFSET(gr_header,DG60+DE36,2*DH60+1+DF36)</f>
        <v>0</v>
      </c>
      <c r="DN60" s="34"/>
      <c r="DO60" s="183">
        <f t="shared" ca="1" si="5"/>
        <v>0</v>
      </c>
      <c r="DP60" s="183">
        <f t="shared" ca="1" si="6"/>
        <v>0</v>
      </c>
      <c r="DQ60" s="183">
        <f t="shared" ca="1" si="7"/>
        <v>0</v>
      </c>
      <c r="DR60" s="183">
        <f t="shared" ca="1" si="8"/>
        <v>0</v>
      </c>
      <c r="DS60" s="182">
        <f t="shared" ca="1" si="9"/>
        <v>0</v>
      </c>
      <c r="DT60" s="182">
        <f t="shared" ca="1" si="10"/>
        <v>0</v>
      </c>
      <c r="DU60" s="182"/>
      <c r="DV60" s="182"/>
      <c r="DW60" s="182"/>
    </row>
    <row r="61" spans="2:127" ht="14.25" thickBot="1">
      <c r="B61" s="168">
        <v>3</v>
      </c>
      <c r="C61" s="169" t="str">
        <f ca="1">OFFSET(gr_anchor,B61,B58)</f>
        <v/>
      </c>
      <c r="D61" s="210" t="str">
        <f ca="1">IF(OFFSET(D59,D58-1,1+(B61-1)*2)="","",OFFSET(D59,D58-1,1+(B61-1)*2))</f>
        <v/>
      </c>
      <c r="E61" s="211" t="str">
        <f ca="1">IF(OFFSET(D59,D58-1,(B61-1)*2)="","",OFFSET(D59,D58-1,(B61-1)*2))</f>
        <v/>
      </c>
      <c r="F61" s="210" t="str">
        <f ca="1">IF(OFFSET(D59,F58-1,1+(B61-1)*2)="","",OFFSET(D59,F58-1,1+(B61-1)*2))</f>
        <v/>
      </c>
      <c r="G61" s="211" t="str">
        <f ca="1">IF(OFFSET(D59,F58-1,(B61-1)*2)="","",OFFSET(D59,F58-1,(B61-1)*2))</f>
        <v/>
      </c>
      <c r="H61" s="170"/>
      <c r="I61" s="118"/>
      <c r="J61" s="119"/>
      <c r="K61" s="120"/>
      <c r="L61" s="119"/>
      <c r="M61" s="120"/>
      <c r="N61" s="150"/>
      <c r="O61" s="150"/>
      <c r="P61" s="150"/>
      <c r="Q61" s="150"/>
      <c r="R61" s="150"/>
      <c r="S61" s="174"/>
      <c r="T61" s="177">
        <f ca="1">COUNTIF(OFFSET(E59,0,(B61-1)*2,8),3)*2+COUNTIF(OFFSET(D59,0,(B61-1)*2,8),3)</f>
        <v>0</v>
      </c>
      <c r="U61" s="177">
        <f ca="1">RANK(AZ61,AZ59:AZ66)*AY61</f>
        <v>0</v>
      </c>
      <c r="V61" s="175">
        <f t="shared" ca="1" si="83"/>
        <v>0</v>
      </c>
      <c r="W61" s="151">
        <f t="shared" ca="1" si="84"/>
        <v>0</v>
      </c>
      <c r="X61" s="152" t="str">
        <f t="shared" ca="1" si="80"/>
        <v/>
      </c>
      <c r="Y61" s="153"/>
      <c r="Z61" s="168">
        <v>3</v>
      </c>
      <c r="AA61" s="169" t="str">
        <f ca="1">OFFSET(gr_anchor,Z61,Z58)</f>
        <v/>
      </c>
      <c r="AB61" s="210" t="str">
        <f ca="1">IF(OFFSET(AB59,AB58-1,1+(Z61-1)*2)="","",OFFSET(AB59,AB58-1,1+(Z61-1)*2))</f>
        <v/>
      </c>
      <c r="AC61" s="211" t="str">
        <f ca="1">IF(OFFSET(AB59,AB58-1,(Z61-1)*2)="","",OFFSET(AB59,AB58-1,(Z61-1)*2))</f>
        <v/>
      </c>
      <c r="AD61" s="210" t="str">
        <f ca="1">IF(OFFSET(AB59,AD58-1,1+(Z61-1)*2)="","",OFFSET(AB59,AD58-1,1+(Z61-1)*2))</f>
        <v/>
      </c>
      <c r="AE61" s="211" t="str">
        <f ca="1">IF(OFFSET(AB59,AD58-1,(Z61-1)*2)="","",OFFSET(AB59,AD58-1,(Z61-1)*2))</f>
        <v/>
      </c>
      <c r="AF61" s="170"/>
      <c r="AG61" s="118"/>
      <c r="AH61" s="119"/>
      <c r="AI61" s="120"/>
      <c r="AJ61" s="119"/>
      <c r="AK61" s="120"/>
      <c r="AL61" s="150"/>
      <c r="AM61" s="150"/>
      <c r="AN61" s="150"/>
      <c r="AO61" s="150"/>
      <c r="AP61" s="150"/>
      <c r="AQ61" s="174"/>
      <c r="AR61" s="177">
        <f ca="1">COUNTIF(OFFSET(AC59,0,(Z61-1)*2,8),3)*2+COUNTIF(OFFSET(AB59,0,(Z61-1)*2,8),3)</f>
        <v>0</v>
      </c>
      <c r="AS61" s="177">
        <f ca="1">RANK(CC61,CC59:CC66)*CB61</f>
        <v>0</v>
      </c>
      <c r="AT61" s="175">
        <f t="shared" ca="1" si="85"/>
        <v>0</v>
      </c>
      <c r="AU61" s="151">
        <f t="shared" ca="1" si="86"/>
        <v>0</v>
      </c>
      <c r="AV61" s="152" t="str">
        <f t="shared" ca="1" si="87"/>
        <v/>
      </c>
      <c r="AW61" s="153"/>
      <c r="AX61" s="156">
        <f ca="1">COUNTA(C59:C66)-COUNTBLANK(C59:C66)</f>
        <v>0</v>
      </c>
      <c r="AY61" s="156">
        <f t="shared" ca="1" si="81"/>
        <v>0</v>
      </c>
      <c r="AZ61" s="157">
        <f t="shared" ca="1" si="88"/>
        <v>0</v>
      </c>
      <c r="BA61" s="156">
        <f ca="1">IF(T61=OFFSET(T58,BA58,0),1,0)</f>
        <v>1</v>
      </c>
      <c r="BB61" s="156">
        <f ca="1">IF(T61=OFFSET(T58,BB58,0),1,0)</f>
        <v>1</v>
      </c>
      <c r="BC61" s="156">
        <f ca="1">IF(T61=OFFSET(T58,BC58,0),1,0)</f>
        <v>1</v>
      </c>
      <c r="BD61" s="156">
        <f ca="1">IF(T61=OFFSET(T58,BD58,0),1,0)</f>
        <v>1</v>
      </c>
      <c r="BE61" s="156">
        <f ca="1">IF(T61=OFFSET(T58,BE58,0),1,0)</f>
        <v>1</v>
      </c>
      <c r="BF61" s="156">
        <f ca="1">IF(T61=OFFSET(T58,BF58,0),1,0)</f>
        <v>1</v>
      </c>
      <c r="BG61" s="156">
        <f ca="1">IF(T61=OFFSET(T58,BG58,0),1,0)</f>
        <v>1</v>
      </c>
      <c r="BH61" s="156">
        <f ca="1">IF(T61=OFFSET(T58,BH58,0),1,0)</f>
        <v>1</v>
      </c>
      <c r="BI61" s="156" t="str">
        <f ca="1">OFFSET(C61,0,1+(BI58-1)*2)</f>
        <v/>
      </c>
      <c r="BJ61" s="156" t="str">
        <f ca="1">OFFSET(C61,0,1+(BJ58-1)*2)</f>
        <v/>
      </c>
      <c r="BK61" s="156">
        <f ca="1">OFFSET(C61,0,1+(BK58-1)*2)</f>
        <v>0</v>
      </c>
      <c r="BL61" s="156">
        <f ca="1">OFFSET(C61,0,1+(BL58-1)*2)</f>
        <v>0</v>
      </c>
      <c r="BM61" s="156">
        <f ca="1">OFFSET(C61,0,1+(BM58-1)*2)</f>
        <v>0</v>
      </c>
      <c r="BN61" s="156">
        <f ca="1">OFFSET(C61,0,1+(BN58-1)*2)</f>
        <v>0</v>
      </c>
      <c r="BO61" s="156">
        <f ca="1">OFFSET(C61,0,1+(BO58-1)*2)</f>
        <v>0</v>
      </c>
      <c r="BP61" s="156">
        <f ca="1">OFFSET(C61,0,1+(BP58-1)*2)</f>
        <v>0</v>
      </c>
      <c r="BQ61" s="156" t="str">
        <f t="shared" ca="1" si="89"/>
        <v/>
      </c>
      <c r="BR61" s="156" t="str">
        <f t="shared" ca="1" si="89"/>
        <v/>
      </c>
      <c r="BS61" s="156">
        <f t="shared" ca="1" si="89"/>
        <v>0</v>
      </c>
      <c r="BT61" s="156">
        <f t="shared" ca="1" si="89"/>
        <v>0</v>
      </c>
      <c r="BU61" s="156">
        <f t="shared" ca="1" si="89"/>
        <v>0</v>
      </c>
      <c r="BV61" s="156">
        <f t="shared" ca="1" si="89"/>
        <v>0</v>
      </c>
      <c r="BW61" s="156">
        <f t="shared" ca="1" si="89"/>
        <v>0</v>
      </c>
      <c r="BX61" s="156">
        <f t="shared" ca="1" si="89"/>
        <v>0</v>
      </c>
      <c r="BY61" s="156">
        <f t="shared" ca="1" si="90"/>
        <v>8</v>
      </c>
      <c r="CA61" s="156">
        <f ca="1">COUNTA(AA59:AA66)-COUNTBLANK(AA59:AA66)</f>
        <v>0</v>
      </c>
      <c r="CB61" s="156">
        <f t="shared" ca="1" si="91"/>
        <v>0</v>
      </c>
      <c r="CC61" s="157">
        <f t="shared" ca="1" si="92"/>
        <v>0</v>
      </c>
      <c r="CD61" s="156">
        <f ca="1">IF(AR61=OFFSET(AR58,CD58,0),1,0)</f>
        <v>1</v>
      </c>
      <c r="CE61" s="156">
        <f ca="1">IF(AR61=OFFSET(AR58,CE58,0),1,0)</f>
        <v>1</v>
      </c>
      <c r="CF61" s="156">
        <f ca="1">IF(AR61=OFFSET(AR58,CF58,0),1,0)</f>
        <v>1</v>
      </c>
      <c r="CG61" s="156">
        <f ca="1">IF(AR61=OFFSET(AR58,CG58,0),1,0)</f>
        <v>1</v>
      </c>
      <c r="CH61" s="156">
        <f ca="1">IF(AR61=OFFSET(AR58,CH58,0),1,0)</f>
        <v>1</v>
      </c>
      <c r="CI61" s="156">
        <f ca="1">IF(AR61=OFFSET(AR58,CI58,0),1,0)</f>
        <v>1</v>
      </c>
      <c r="CJ61" s="156">
        <f ca="1">IF(AR61=OFFSET(AR58,CJ58,0),1,0)</f>
        <v>1</v>
      </c>
      <c r="CK61" s="156">
        <f ca="1">IF(AR61=OFFSET(AR58,CK58,0),1,0)</f>
        <v>1</v>
      </c>
      <c r="CL61" s="156" t="str">
        <f ca="1">OFFSET(AA61,0,1+(CL58-1)*2)</f>
        <v/>
      </c>
      <c r="CM61" s="156" t="str">
        <f ca="1">OFFSET(AA61,0,1+(CM58-1)*2)</f>
        <v/>
      </c>
      <c r="CN61" s="156">
        <f ca="1">OFFSET(AA61,0,1+(CN58-1)*2)</f>
        <v>0</v>
      </c>
      <c r="CO61" s="156">
        <f ca="1">OFFSET(AA61,0,1+(CO58-1)*2)</f>
        <v>0</v>
      </c>
      <c r="CP61" s="156">
        <f ca="1">OFFSET(AA61,0,1+(CP58-1)*2)</f>
        <v>0</v>
      </c>
      <c r="CQ61" s="156">
        <f ca="1">OFFSET(AA61,0,1+(CQ58-1)*2)</f>
        <v>0</v>
      </c>
      <c r="CR61" s="156">
        <f ca="1">OFFSET(AA61,0,1+(CR58-1)*2)</f>
        <v>0</v>
      </c>
      <c r="CS61" s="156">
        <f ca="1">OFFSET(AA61,0,1+(CS58-1)*2)</f>
        <v>0</v>
      </c>
      <c r="CT61" s="156" t="str">
        <f ca="1">OFFSET(AA61,0,2+(CT58-1)*2)</f>
        <v/>
      </c>
      <c r="CU61" s="156" t="str">
        <f ca="1">OFFSET(AA61,0,2+(CU58-1)*2)</f>
        <v/>
      </c>
      <c r="CV61" s="156">
        <f ca="1">OFFSET(AA61,0,2+(CV58-1)*2)</f>
        <v>0</v>
      </c>
      <c r="CW61" s="156">
        <f ca="1">OFFSET(AA61,0,2+(CW58-1)*2)</f>
        <v>0</v>
      </c>
      <c r="CX61" s="156">
        <f ca="1">OFFSET(AA61,0,2+(CX58-1)*2)</f>
        <v>0</v>
      </c>
      <c r="CY61" s="156">
        <f ca="1">OFFSET(AA61,0,2+(CY58-1)*2)</f>
        <v>0</v>
      </c>
      <c r="CZ61" s="156">
        <f ca="1">OFFSET(AA61,0,2+(CZ58-1)*2)</f>
        <v>0</v>
      </c>
      <c r="DA61" s="156">
        <f ca="1">OFFSET(AA61,0,2+(DA58-1)*2)</f>
        <v>0</v>
      </c>
      <c r="DB61" s="156">
        <f t="shared" ca="1" si="93"/>
        <v>8</v>
      </c>
      <c r="DE61" s="159"/>
      <c r="DF61" s="159"/>
      <c r="DG61" s="159">
        <v>6</v>
      </c>
      <c r="DH61" s="159">
        <v>7</v>
      </c>
      <c r="DI61" s="123">
        <f t="shared" si="51"/>
        <v>2</v>
      </c>
      <c r="DJ61" s="36" t="str">
        <f ca="1">OFFSET(gr_header,DG61+DE36,1+DF36)</f>
        <v/>
      </c>
      <c r="DK61" s="36" t="str">
        <f ca="1">OFFSET(gr_header,DH61+DE36,1+DF36)</f>
        <v/>
      </c>
      <c r="DL61" s="123">
        <f ca="1">OFFSET(gr_header,DG61+DE36,2*DH61+DF36)</f>
        <v>0</v>
      </c>
      <c r="DM61" s="123">
        <f ca="1">OFFSET(gr_header,DG61+DE36,2*DH61+1+DF36)</f>
        <v>0</v>
      </c>
      <c r="DN61" s="34"/>
      <c r="DO61" s="183">
        <f t="shared" ca="1" si="5"/>
        <v>0</v>
      </c>
      <c r="DP61" s="183">
        <f t="shared" ca="1" si="6"/>
        <v>0</v>
      </c>
      <c r="DQ61" s="183">
        <f t="shared" ca="1" si="7"/>
        <v>0</v>
      </c>
      <c r="DR61" s="183">
        <f t="shared" ca="1" si="8"/>
        <v>0</v>
      </c>
      <c r="DS61" s="182">
        <f t="shared" ca="1" si="9"/>
        <v>0</v>
      </c>
      <c r="DT61" s="182">
        <f t="shared" ca="1" si="10"/>
        <v>0</v>
      </c>
      <c r="DU61" s="182"/>
      <c r="DV61" s="182"/>
      <c r="DW61" s="182"/>
    </row>
    <row r="62" spans="2:127" ht="14.25" thickBot="1">
      <c r="B62" s="168">
        <v>4</v>
      </c>
      <c r="C62" s="169" t="str">
        <f ca="1">OFFSET(gr_anchor,B62,B58)</f>
        <v/>
      </c>
      <c r="D62" s="210" t="str">
        <f ca="1">IF(OFFSET(D59,D58-1,1+(B62-1)*2)="","",OFFSET(D59,D58-1,1+(B62-1)*2))</f>
        <v/>
      </c>
      <c r="E62" s="211" t="str">
        <f ca="1">IF(OFFSET(D59,D58-1,(B62-1)*2)="","",OFFSET(D59,D58-1,(B62-1)*2))</f>
        <v/>
      </c>
      <c r="F62" s="210" t="str">
        <f ca="1">IF(OFFSET(D59,F58-1,1+(B62-1)*2)="","",OFFSET(D59,F58-1,1+(B62-1)*2))</f>
        <v/>
      </c>
      <c r="G62" s="211" t="str">
        <f ca="1">IF(OFFSET(D59,F58-1,(B62-1)*2)="","",OFFSET(D59,F58-1,(B62-1)*2))</f>
        <v/>
      </c>
      <c r="H62" s="210" t="str">
        <f ca="1">IF(OFFSET(D59,H58-1,1+(B62-1)*2)="","",OFFSET(D59,H58-1,1+(B62-1)*2))</f>
        <v/>
      </c>
      <c r="I62" s="211" t="str">
        <f ca="1">IF(OFFSET(D59,H58-1,(B62-1)*2)="","",OFFSET(D59,H58-1,(B62-1)*2))</f>
        <v/>
      </c>
      <c r="J62" s="170"/>
      <c r="K62" s="118"/>
      <c r="L62" s="119"/>
      <c r="M62" s="120"/>
      <c r="N62" s="150"/>
      <c r="O62" s="150"/>
      <c r="P62" s="150"/>
      <c r="Q62" s="150"/>
      <c r="R62" s="150"/>
      <c r="S62" s="174"/>
      <c r="T62" s="177">
        <f ca="1">COUNTIF(OFFSET(E59,0,(B62-1)*2,8),3)*2+COUNTIF(OFFSET(D59,0,(B62-1)*2,8),3)</f>
        <v>0</v>
      </c>
      <c r="U62" s="177">
        <f ca="1">RANK(AZ62,AZ59:AZ66)*AY62</f>
        <v>0</v>
      </c>
      <c r="V62" s="175">
        <f t="shared" ca="1" si="83"/>
        <v>0</v>
      </c>
      <c r="W62" s="151">
        <f t="shared" ca="1" si="84"/>
        <v>0</v>
      </c>
      <c r="X62" s="152" t="str">
        <f t="shared" ca="1" si="80"/>
        <v/>
      </c>
      <c r="Y62" s="153"/>
      <c r="Z62" s="168">
        <v>4</v>
      </c>
      <c r="AA62" s="169" t="str">
        <f ca="1">OFFSET(gr_anchor,Z62,Z58)</f>
        <v/>
      </c>
      <c r="AB62" s="210" t="str">
        <f ca="1">IF(OFFSET(AB59,AB58-1,1+(Z62-1)*2)="","",OFFSET(AB59,AB58-1,1+(Z62-1)*2))</f>
        <v/>
      </c>
      <c r="AC62" s="211" t="str">
        <f ca="1">IF(OFFSET(AB59,AB58-1,(Z62-1)*2)="","",OFFSET(AB59,AB58-1,(Z62-1)*2))</f>
        <v/>
      </c>
      <c r="AD62" s="210" t="str">
        <f ca="1">IF(OFFSET(AB59,AD58-1,1+(Z62-1)*2)="","",OFFSET(AB59,AD58-1,1+(Z62-1)*2))</f>
        <v/>
      </c>
      <c r="AE62" s="211" t="str">
        <f ca="1">IF(OFFSET(AB59,AD58-1,(Z62-1)*2)="","",OFFSET(AB59,AD58-1,(Z62-1)*2))</f>
        <v/>
      </c>
      <c r="AF62" s="210" t="str">
        <f ca="1">IF(OFFSET(AB59,AF58-1,1+(Z62-1)*2)="","",OFFSET(AB59,AF58-1,1+(Z62-1)*2))</f>
        <v/>
      </c>
      <c r="AG62" s="211" t="str">
        <f ca="1">IF(OFFSET(AB59,AF58-1,(Z62-1)*2)="","",OFFSET(AB59,AF58-1,(Z62-1)*2))</f>
        <v/>
      </c>
      <c r="AH62" s="170"/>
      <c r="AI62" s="118"/>
      <c r="AJ62" s="119"/>
      <c r="AK62" s="120"/>
      <c r="AL62" s="150"/>
      <c r="AM62" s="150"/>
      <c r="AN62" s="150"/>
      <c r="AO62" s="150"/>
      <c r="AP62" s="150"/>
      <c r="AQ62" s="174"/>
      <c r="AR62" s="177">
        <f ca="1">COUNTIF(OFFSET(AC59,0,(Z62-1)*2,8),3)*2+COUNTIF(OFFSET(AB59,0,(Z62-1)*2,8),3)</f>
        <v>0</v>
      </c>
      <c r="AS62" s="177">
        <f ca="1">RANK(CC62,CC59:CC66)*CB62</f>
        <v>0</v>
      </c>
      <c r="AT62" s="175">
        <f t="shared" ca="1" si="85"/>
        <v>0</v>
      </c>
      <c r="AU62" s="151">
        <f t="shared" ca="1" si="86"/>
        <v>0</v>
      </c>
      <c r="AV62" s="152" t="str">
        <f t="shared" ca="1" si="87"/>
        <v/>
      </c>
      <c r="AW62" s="153"/>
      <c r="AX62" s="156">
        <f ca="1">COUNTA(C59:C66)-COUNTBLANK(C59:C66)</f>
        <v>0</v>
      </c>
      <c r="AY62" s="156">
        <f t="shared" ca="1" si="81"/>
        <v>0</v>
      </c>
      <c r="AZ62" s="157">
        <f t="shared" ca="1" si="88"/>
        <v>0</v>
      </c>
      <c r="BA62" s="156">
        <f ca="1">IF(T62=OFFSET(T58,BA58,0),1,0)</f>
        <v>1</v>
      </c>
      <c r="BB62" s="156">
        <f ca="1">IF(T62=OFFSET(T58,BB58,0),1,0)</f>
        <v>1</v>
      </c>
      <c r="BC62" s="156">
        <f ca="1">IF(T62=OFFSET(T58,BC58,0),1,0)</f>
        <v>1</v>
      </c>
      <c r="BD62" s="156">
        <f ca="1">IF(T62=OFFSET(T58,BD58,0),1,0)</f>
        <v>1</v>
      </c>
      <c r="BE62" s="156">
        <f ca="1">IF(T62=OFFSET(T58,BE58,0),1,0)</f>
        <v>1</v>
      </c>
      <c r="BF62" s="156">
        <f ca="1">IF(T62=OFFSET(T58,BF58,0),1,0)</f>
        <v>1</v>
      </c>
      <c r="BG62" s="156">
        <f ca="1">IF(T62=OFFSET(T58,BG58,0),1,0)</f>
        <v>1</v>
      </c>
      <c r="BH62" s="156">
        <f ca="1">IF(T62=OFFSET(T58,BH58,0),1,0)</f>
        <v>1</v>
      </c>
      <c r="BI62" s="156" t="str">
        <f ca="1">OFFSET(C62,0,1+(BI58-1)*2)</f>
        <v/>
      </c>
      <c r="BJ62" s="156" t="str">
        <f ca="1">OFFSET(C62,0,1+(BJ58-1)*2)</f>
        <v/>
      </c>
      <c r="BK62" s="156" t="str">
        <f ca="1">OFFSET(C62,0,1+(BK58-1)*2)</f>
        <v/>
      </c>
      <c r="BL62" s="156">
        <f ca="1">OFFSET(C62,0,1+(BL58-1)*2)</f>
        <v>0</v>
      </c>
      <c r="BM62" s="156">
        <f ca="1">OFFSET(C62,0,1+(BM58-1)*2)</f>
        <v>0</v>
      </c>
      <c r="BN62" s="156">
        <f ca="1">OFFSET(C62,0,1+(BN58-1)*2)</f>
        <v>0</v>
      </c>
      <c r="BO62" s="156">
        <f ca="1">OFFSET(C62,0,1+(BO58-1)*2)</f>
        <v>0</v>
      </c>
      <c r="BP62" s="156">
        <f ca="1">OFFSET(C62,0,1+(BP58-1)*2)</f>
        <v>0</v>
      </c>
      <c r="BQ62" s="156" t="str">
        <f t="shared" ca="1" si="89"/>
        <v/>
      </c>
      <c r="BR62" s="156" t="str">
        <f t="shared" ca="1" si="89"/>
        <v/>
      </c>
      <c r="BS62" s="156" t="str">
        <f t="shared" ca="1" si="89"/>
        <v/>
      </c>
      <c r="BT62" s="156">
        <f t="shared" ca="1" si="89"/>
        <v>0</v>
      </c>
      <c r="BU62" s="156">
        <f t="shared" ca="1" si="89"/>
        <v>0</v>
      </c>
      <c r="BV62" s="156">
        <f t="shared" ca="1" si="89"/>
        <v>0</v>
      </c>
      <c r="BW62" s="156">
        <f t="shared" ca="1" si="89"/>
        <v>0</v>
      </c>
      <c r="BX62" s="156">
        <f t="shared" ca="1" si="89"/>
        <v>0</v>
      </c>
      <c r="BY62" s="156">
        <f t="shared" ca="1" si="90"/>
        <v>8</v>
      </c>
      <c r="CA62" s="156">
        <f ca="1">COUNTA(AA59:AA66)-COUNTBLANK(AA59:AA66)</f>
        <v>0</v>
      </c>
      <c r="CB62" s="156">
        <f t="shared" ca="1" si="91"/>
        <v>0</v>
      </c>
      <c r="CC62" s="157">
        <f t="shared" ca="1" si="92"/>
        <v>0</v>
      </c>
      <c r="CD62" s="156">
        <f ca="1">IF(AR62=OFFSET(AR58,CD58,0),1,0)</f>
        <v>1</v>
      </c>
      <c r="CE62" s="156">
        <f ca="1">IF(AR62=OFFSET(AR58,CE58,0),1,0)</f>
        <v>1</v>
      </c>
      <c r="CF62" s="156">
        <f ca="1">IF(AR62=OFFSET(AR58,CF58,0),1,0)</f>
        <v>1</v>
      </c>
      <c r="CG62" s="156">
        <f ca="1">IF(AR62=OFFSET(AR58,CG58,0),1,0)</f>
        <v>1</v>
      </c>
      <c r="CH62" s="156">
        <f ca="1">IF(AR62=OFFSET(AR58,CH58,0),1,0)</f>
        <v>1</v>
      </c>
      <c r="CI62" s="156">
        <f ca="1">IF(AR62=OFFSET(AR58,CI58,0),1,0)</f>
        <v>1</v>
      </c>
      <c r="CJ62" s="156">
        <f ca="1">IF(AR62=OFFSET(AR58,CJ58,0),1,0)</f>
        <v>1</v>
      </c>
      <c r="CK62" s="156">
        <f ca="1">IF(AR62=OFFSET(AR58,CK58,0),1,0)</f>
        <v>1</v>
      </c>
      <c r="CL62" s="156" t="str">
        <f ca="1">OFFSET(AA62,0,1+(CL58-1)*2)</f>
        <v/>
      </c>
      <c r="CM62" s="156" t="str">
        <f ca="1">OFFSET(AA62,0,1+(CM58-1)*2)</f>
        <v/>
      </c>
      <c r="CN62" s="156" t="str">
        <f ca="1">OFFSET(AA62,0,1+(CN58-1)*2)</f>
        <v/>
      </c>
      <c r="CO62" s="156">
        <f ca="1">OFFSET(AA62,0,1+(CO58-1)*2)</f>
        <v>0</v>
      </c>
      <c r="CP62" s="156">
        <f ca="1">OFFSET(AA62,0,1+(CP58-1)*2)</f>
        <v>0</v>
      </c>
      <c r="CQ62" s="156">
        <f ca="1">OFFSET(AA62,0,1+(CQ58-1)*2)</f>
        <v>0</v>
      </c>
      <c r="CR62" s="156">
        <f ca="1">OFFSET(AA62,0,1+(CR58-1)*2)</f>
        <v>0</v>
      </c>
      <c r="CS62" s="156">
        <f ca="1">OFFSET(AA62,0,1+(CS58-1)*2)</f>
        <v>0</v>
      </c>
      <c r="CT62" s="156" t="str">
        <f ca="1">OFFSET(AA62,0,2+(CT58-1)*2)</f>
        <v/>
      </c>
      <c r="CU62" s="156" t="str">
        <f ca="1">OFFSET(AA62,0,2+(CU58-1)*2)</f>
        <v/>
      </c>
      <c r="CV62" s="156" t="str">
        <f ca="1">OFFSET(AA62,0,2+(CV58-1)*2)</f>
        <v/>
      </c>
      <c r="CW62" s="156">
        <f ca="1">OFFSET(AA62,0,2+(CW58-1)*2)</f>
        <v>0</v>
      </c>
      <c r="CX62" s="156">
        <f ca="1">OFFSET(AA62,0,2+(CX58-1)*2)</f>
        <v>0</v>
      </c>
      <c r="CY62" s="156">
        <f ca="1">OFFSET(AA62,0,2+(CY58-1)*2)</f>
        <v>0</v>
      </c>
      <c r="CZ62" s="156">
        <f ca="1">OFFSET(AA62,0,2+(CZ58-1)*2)</f>
        <v>0</v>
      </c>
      <c r="DA62" s="156">
        <f ca="1">OFFSET(AA62,0,2+(DA58-1)*2)</f>
        <v>0</v>
      </c>
      <c r="DB62" s="156">
        <f t="shared" ca="1" si="93"/>
        <v>8</v>
      </c>
      <c r="DE62" s="159"/>
      <c r="DF62" s="159"/>
      <c r="DG62" s="159">
        <v>6</v>
      </c>
      <c r="DH62" s="159">
        <v>8</v>
      </c>
      <c r="DI62" s="123">
        <f t="shared" si="51"/>
        <v>2</v>
      </c>
      <c r="DJ62" s="36" t="str">
        <f ca="1">OFFSET(gr_header,DG62+DE36,1+DF36)</f>
        <v/>
      </c>
      <c r="DK62" s="36" t="str">
        <f ca="1">OFFSET(gr_header,DH62+DE36,1+DF36)</f>
        <v/>
      </c>
      <c r="DL62" s="123">
        <f ca="1">OFFSET(gr_header,DG62+DE36,2*DH62+DF36)</f>
        <v>0</v>
      </c>
      <c r="DM62" s="123">
        <f ca="1">OFFSET(gr_header,DG62+DE36,2*DH62+1+DF36)</f>
        <v>0</v>
      </c>
      <c r="DN62" s="34"/>
      <c r="DO62" s="183">
        <f t="shared" ca="1" si="5"/>
        <v>0</v>
      </c>
      <c r="DP62" s="183">
        <f t="shared" ca="1" si="6"/>
        <v>0</v>
      </c>
      <c r="DQ62" s="183">
        <f t="shared" ca="1" si="7"/>
        <v>0</v>
      </c>
      <c r="DR62" s="183">
        <f t="shared" ca="1" si="8"/>
        <v>0</v>
      </c>
      <c r="DS62" s="182">
        <f t="shared" ca="1" si="9"/>
        <v>0</v>
      </c>
      <c r="DT62" s="182">
        <f t="shared" ca="1" si="10"/>
        <v>0</v>
      </c>
      <c r="DU62" s="182"/>
      <c r="DV62" s="182"/>
      <c r="DW62" s="182"/>
    </row>
    <row r="63" spans="2:127" ht="14.25" thickBot="1">
      <c r="B63" s="171">
        <v>5</v>
      </c>
      <c r="C63" s="172" t="str">
        <f ca="1">OFFSET(gr_anchor,B63,B58)</f>
        <v/>
      </c>
      <c r="D63" s="210" t="str">
        <f ca="1">IF(OFFSET(D59,D58-1,1+(B63-1)*2)="","",OFFSET(D59,D58-1,1+(B63-1)*2))</f>
        <v/>
      </c>
      <c r="E63" s="211" t="str">
        <f ca="1">IF(OFFSET(D59,D58-1,(B63-1)*2)="","",OFFSET(D59,D58-1,(B63-1)*2))</f>
        <v/>
      </c>
      <c r="F63" s="210" t="str">
        <f ca="1">IF(OFFSET(D59,F58-1,1+(B63-1)*2)="","",OFFSET(D59,F58-1,1+(B63-1)*2))</f>
        <v/>
      </c>
      <c r="G63" s="211" t="str">
        <f ca="1">IF(OFFSET(D59,F58-1,(B63-1)*2)="","",OFFSET(D59,F58-1,(B63-1)*2))</f>
        <v/>
      </c>
      <c r="H63" s="210" t="str">
        <f ca="1">IF(OFFSET(D59,H58-1,1+(B63-1)*2)="","",OFFSET(D59,H58-1,1+(B63-1)*2))</f>
        <v/>
      </c>
      <c r="I63" s="211" t="str">
        <f ca="1">IF(OFFSET(D59,H58-1,(B63-1)*2)="","",OFFSET(D59,H58-1,(B63-1)*2))</f>
        <v/>
      </c>
      <c r="J63" s="210" t="str">
        <f ca="1">IF(OFFSET(D59,J58-1,1+(B63-1)*2)="","",OFFSET(D59,J58-1,1+(B63-1)*2))</f>
        <v/>
      </c>
      <c r="K63" s="211" t="str">
        <f ca="1">IF(OFFSET(D59,J58-1,(B63-1)*2)="","",OFFSET(D59,J58-1,(B63-1)*2))</f>
        <v/>
      </c>
      <c r="L63" s="117"/>
      <c r="M63" s="118"/>
      <c r="N63" s="150"/>
      <c r="O63" s="150"/>
      <c r="P63" s="150"/>
      <c r="Q63" s="150"/>
      <c r="R63" s="150"/>
      <c r="S63" s="174"/>
      <c r="T63" s="177">
        <f ca="1">COUNTIF(OFFSET(E59,0,(B63-1)*2,8),3)*2+COUNTIF(OFFSET(D59,0,(B63-1)*2,8),3)</f>
        <v>0</v>
      </c>
      <c r="U63" s="177">
        <f ca="1">RANK(AZ63,AZ59:AZ66)*AY63</f>
        <v>0</v>
      </c>
      <c r="V63" s="175">
        <f t="shared" ca="1" si="83"/>
        <v>0</v>
      </c>
      <c r="W63" s="151">
        <f t="shared" ca="1" si="84"/>
        <v>0</v>
      </c>
      <c r="X63" s="152" t="str">
        <f t="shared" ca="1" si="80"/>
        <v/>
      </c>
      <c r="Y63" s="153"/>
      <c r="Z63" s="171">
        <v>5</v>
      </c>
      <c r="AA63" s="172" t="str">
        <f ca="1">OFFSET(gr_anchor,Z63,Z58)</f>
        <v/>
      </c>
      <c r="AB63" s="210" t="str">
        <f ca="1">IF(OFFSET(AB59,AB58-1,1+(Z63-1)*2)="","",OFFSET(AB59,AB58-1,1+(Z63-1)*2))</f>
        <v/>
      </c>
      <c r="AC63" s="211" t="str">
        <f ca="1">IF(OFFSET(AB59,AB58-1,(Z63-1)*2)="","",OFFSET(AB59,AB58-1,(Z63-1)*2))</f>
        <v/>
      </c>
      <c r="AD63" s="210" t="str">
        <f ca="1">IF(OFFSET(AB59,AD58-1,1+(Z63-1)*2)="","",OFFSET(AB59,AD58-1,1+(Z63-1)*2))</f>
        <v/>
      </c>
      <c r="AE63" s="211" t="str">
        <f ca="1">IF(OFFSET(AB59,AD58-1,(Z63-1)*2)="","",OFFSET(AB59,AD58-1,(Z63-1)*2))</f>
        <v/>
      </c>
      <c r="AF63" s="210" t="str">
        <f ca="1">IF(OFFSET(AB59,AF58-1,1+(Z63-1)*2)="","",OFFSET(AB59,AF58-1,1+(Z63-1)*2))</f>
        <v/>
      </c>
      <c r="AG63" s="211" t="str">
        <f ca="1">IF(OFFSET(AB59,AF58-1,(Z63-1)*2)="","",OFFSET(AB59,AF58-1,(Z63-1)*2))</f>
        <v/>
      </c>
      <c r="AH63" s="210" t="str">
        <f ca="1">IF(OFFSET(AB59,AH58-1,1+(Z63-1)*2)="","",OFFSET(AB59,AH58-1,1+(Z63-1)*2))</f>
        <v/>
      </c>
      <c r="AI63" s="211" t="str">
        <f ca="1">IF(OFFSET(AB59,AH58-1,(Z63-1)*2)="","",OFFSET(AB59,AH58-1,(Z63-1)*2))</f>
        <v/>
      </c>
      <c r="AJ63" s="117"/>
      <c r="AK63" s="118"/>
      <c r="AL63" s="150"/>
      <c r="AM63" s="150"/>
      <c r="AN63" s="150"/>
      <c r="AO63" s="150"/>
      <c r="AP63" s="150"/>
      <c r="AQ63" s="174"/>
      <c r="AR63" s="177">
        <f ca="1">COUNTIF(OFFSET(AC59,0,(Z63-1)*2,8),3)*2+COUNTIF(OFFSET(AB59,0,(Z63-1)*2,8),3)</f>
        <v>0</v>
      </c>
      <c r="AS63" s="177">
        <f ca="1">RANK(CC63,CC59:CC66)*CB63</f>
        <v>0</v>
      </c>
      <c r="AT63" s="175">
        <f t="shared" ca="1" si="85"/>
        <v>0</v>
      </c>
      <c r="AU63" s="151">
        <f t="shared" ca="1" si="86"/>
        <v>0</v>
      </c>
      <c r="AV63" s="152" t="str">
        <f t="shared" ca="1" si="87"/>
        <v/>
      </c>
      <c r="AW63" s="153"/>
      <c r="AX63" s="156">
        <f ca="1">COUNTA(C59:C66)-COUNTBLANK(C59:C66)</f>
        <v>0</v>
      </c>
      <c r="AY63" s="156">
        <f t="shared" ca="1" si="81"/>
        <v>0</v>
      </c>
      <c r="AZ63" s="157">
        <f t="shared" ca="1" si="88"/>
        <v>0</v>
      </c>
      <c r="BA63" s="156">
        <f ca="1">IF(T63=OFFSET(T58,BA58,0),1,0)</f>
        <v>1</v>
      </c>
      <c r="BB63" s="156">
        <f ca="1">IF(T63=OFFSET(T58,BB58,0),1,0)</f>
        <v>1</v>
      </c>
      <c r="BC63" s="156">
        <f ca="1">IF(T63=OFFSET(T58,BC58,0),1,0)</f>
        <v>1</v>
      </c>
      <c r="BD63" s="156">
        <f ca="1">IF(T63=OFFSET(T58,BD58,0),1,0)</f>
        <v>1</v>
      </c>
      <c r="BE63" s="156">
        <f ca="1">IF(T63=OFFSET(T58,BE58,0),1,0)</f>
        <v>1</v>
      </c>
      <c r="BF63" s="156">
        <f ca="1">IF(T63=OFFSET(T58,BF58,0),1,0)</f>
        <v>1</v>
      </c>
      <c r="BG63" s="156">
        <f ca="1">IF(T63=OFFSET(T58,BG58,0),1,0)</f>
        <v>1</v>
      </c>
      <c r="BH63" s="156">
        <f ca="1">IF(T63=OFFSET(T58,BH58,0),1,0)</f>
        <v>1</v>
      </c>
      <c r="BI63" s="156" t="str">
        <f ca="1">OFFSET(C63,0,1+(BI58-1)*2)</f>
        <v/>
      </c>
      <c r="BJ63" s="156" t="str">
        <f ca="1">OFFSET(C63,0,1+(BJ58-1)*2)</f>
        <v/>
      </c>
      <c r="BK63" s="156" t="str">
        <f ca="1">OFFSET(C63,0,1+(BK58-1)*2)</f>
        <v/>
      </c>
      <c r="BL63" s="156" t="str">
        <f ca="1">OFFSET(C63,0,1+(BL58-1)*2)</f>
        <v/>
      </c>
      <c r="BM63" s="156">
        <f ca="1">OFFSET(C63,0,1+(BM58-1)*2)</f>
        <v>0</v>
      </c>
      <c r="BN63" s="156">
        <f ca="1">OFFSET(C63,0,1+(BN58-1)*2)</f>
        <v>0</v>
      </c>
      <c r="BO63" s="156">
        <f ca="1">OFFSET(C63,0,1+(BO58-1)*2)</f>
        <v>0</v>
      </c>
      <c r="BP63" s="156">
        <f ca="1">OFFSET(C63,0,1+(BP58-1)*2)</f>
        <v>0</v>
      </c>
      <c r="BQ63" s="156" t="str">
        <f t="shared" ca="1" si="89"/>
        <v/>
      </c>
      <c r="BR63" s="156" t="str">
        <f t="shared" ca="1" si="89"/>
        <v/>
      </c>
      <c r="BS63" s="156" t="str">
        <f t="shared" ca="1" si="89"/>
        <v/>
      </c>
      <c r="BT63" s="156" t="str">
        <f t="shared" ca="1" si="89"/>
        <v/>
      </c>
      <c r="BU63" s="156">
        <f t="shared" ca="1" si="89"/>
        <v>0</v>
      </c>
      <c r="BV63" s="156">
        <f t="shared" ca="1" si="89"/>
        <v>0</v>
      </c>
      <c r="BW63" s="156">
        <f t="shared" ca="1" si="89"/>
        <v>0</v>
      </c>
      <c r="BX63" s="156">
        <f t="shared" ca="1" si="89"/>
        <v>0</v>
      </c>
      <c r="BY63" s="156">
        <f t="shared" ca="1" si="90"/>
        <v>8</v>
      </c>
      <c r="CA63" s="156">
        <f ca="1">COUNTA(AA59:AA66)-COUNTBLANK(AA59:AA66)</f>
        <v>0</v>
      </c>
      <c r="CB63" s="156">
        <f t="shared" ca="1" si="91"/>
        <v>0</v>
      </c>
      <c r="CC63" s="157">
        <f t="shared" ca="1" si="92"/>
        <v>0</v>
      </c>
      <c r="CD63" s="156">
        <f ca="1">IF(AR63=OFFSET(AR58,CD58,0),1,0)</f>
        <v>1</v>
      </c>
      <c r="CE63" s="156">
        <f ca="1">IF(AR63=OFFSET(AR58,CE58,0),1,0)</f>
        <v>1</v>
      </c>
      <c r="CF63" s="156">
        <f ca="1">IF(AR63=OFFSET(AR58,CF58,0),1,0)</f>
        <v>1</v>
      </c>
      <c r="CG63" s="156">
        <f ca="1">IF(AR63=OFFSET(AR58,CG58,0),1,0)</f>
        <v>1</v>
      </c>
      <c r="CH63" s="156">
        <f ca="1">IF(AR63=OFFSET(AR58,CH58,0),1,0)</f>
        <v>1</v>
      </c>
      <c r="CI63" s="156">
        <f ca="1">IF(AR63=OFFSET(AR58,CI58,0),1,0)</f>
        <v>1</v>
      </c>
      <c r="CJ63" s="156">
        <f ca="1">IF(AR63=OFFSET(AR58,CJ58,0),1,0)</f>
        <v>1</v>
      </c>
      <c r="CK63" s="156">
        <f ca="1">IF(AR63=OFFSET(AR58,CK58,0),1,0)</f>
        <v>1</v>
      </c>
      <c r="CL63" s="156" t="str">
        <f ca="1">OFFSET(AA63,0,1+(CL58-1)*2)</f>
        <v/>
      </c>
      <c r="CM63" s="156" t="str">
        <f ca="1">OFFSET(AA63,0,1+(CM58-1)*2)</f>
        <v/>
      </c>
      <c r="CN63" s="156" t="str">
        <f ca="1">OFFSET(AA63,0,1+(CN58-1)*2)</f>
        <v/>
      </c>
      <c r="CO63" s="156" t="str">
        <f ca="1">OFFSET(AA63,0,1+(CO58-1)*2)</f>
        <v/>
      </c>
      <c r="CP63" s="156">
        <f ca="1">OFFSET(AA63,0,1+(CP58-1)*2)</f>
        <v>0</v>
      </c>
      <c r="CQ63" s="156">
        <f ca="1">OFFSET(AA63,0,1+(CQ58-1)*2)</f>
        <v>0</v>
      </c>
      <c r="CR63" s="156">
        <f ca="1">OFFSET(AA63,0,1+(CR58-1)*2)</f>
        <v>0</v>
      </c>
      <c r="CS63" s="156">
        <f ca="1">OFFSET(AA63,0,1+(CS58-1)*2)</f>
        <v>0</v>
      </c>
      <c r="CT63" s="156" t="str">
        <f ca="1">OFFSET(AA63,0,2+(CT58-1)*2)</f>
        <v/>
      </c>
      <c r="CU63" s="156" t="str">
        <f ca="1">OFFSET(AA63,0,2+(CU58-1)*2)</f>
        <v/>
      </c>
      <c r="CV63" s="156" t="str">
        <f ca="1">OFFSET(AA63,0,2+(CV58-1)*2)</f>
        <v/>
      </c>
      <c r="CW63" s="156" t="str">
        <f ca="1">OFFSET(AA63,0,2+(CW58-1)*2)</f>
        <v/>
      </c>
      <c r="CX63" s="156">
        <f ca="1">OFFSET(AA63,0,2+(CX58-1)*2)</f>
        <v>0</v>
      </c>
      <c r="CY63" s="156">
        <f ca="1">OFFSET(AA63,0,2+(CY58-1)*2)</f>
        <v>0</v>
      </c>
      <c r="CZ63" s="156">
        <f ca="1">OFFSET(AA63,0,2+(CZ58-1)*2)</f>
        <v>0</v>
      </c>
      <c r="DA63" s="156">
        <f ca="1">OFFSET(AA63,0,2+(DA58-1)*2)</f>
        <v>0</v>
      </c>
      <c r="DB63" s="156">
        <f t="shared" ca="1" si="93"/>
        <v>8</v>
      </c>
      <c r="DE63" s="159"/>
      <c r="DF63" s="159"/>
      <c r="DG63" s="159">
        <v>7</v>
      </c>
      <c r="DH63" s="159">
        <v>8</v>
      </c>
      <c r="DI63" s="123">
        <f t="shared" si="51"/>
        <v>2</v>
      </c>
      <c r="DJ63" s="36" t="str">
        <f ca="1">OFFSET(gr_header,DG63+DE36,1+DF36)</f>
        <v/>
      </c>
      <c r="DK63" s="36" t="str">
        <f ca="1">OFFSET(gr_header,DH63+DE36,1+DF36)</f>
        <v/>
      </c>
      <c r="DL63" s="123">
        <f ca="1">OFFSET(gr_header,DG63+DE36,2*DH63+DF36)</f>
        <v>0</v>
      </c>
      <c r="DM63" s="123">
        <f ca="1">OFFSET(gr_header,DG63+DE63,2*DH63+1+DF63)</f>
        <v>0</v>
      </c>
      <c r="DN63" s="34"/>
      <c r="DO63" s="183">
        <f t="shared" ca="1" si="5"/>
        <v>0</v>
      </c>
      <c r="DP63" s="183">
        <f t="shared" ca="1" si="6"/>
        <v>0</v>
      </c>
      <c r="DQ63" s="183">
        <f t="shared" ca="1" si="7"/>
        <v>0</v>
      </c>
      <c r="DR63" s="183">
        <f t="shared" ca="1" si="8"/>
        <v>0</v>
      </c>
      <c r="DS63" s="182">
        <f t="shared" ca="1" si="9"/>
        <v>0</v>
      </c>
      <c r="DT63" s="182">
        <f t="shared" ca="1" si="10"/>
        <v>0</v>
      </c>
      <c r="DU63" s="182"/>
      <c r="DV63" s="182"/>
      <c r="DW63" s="182"/>
    </row>
    <row r="64" spans="2:127" hidden="1" outlineLevel="1">
      <c r="B64" s="148">
        <v>6</v>
      </c>
      <c r="C64" s="154" t="str">
        <f ca="1">OFFSET(gr_anchor,B64,B58)</f>
        <v/>
      </c>
      <c r="D64" s="150" t="str">
        <f ca="1">IF(OFFSET(D59,D58-1,1+(B64-1)*2)="","",OFFSET(D59,D58-1,1+(B64-1)*2))</f>
        <v/>
      </c>
      <c r="E64" s="150" t="str">
        <f ca="1">IF(OFFSET(D59,D58-1,(B64-1)*2)="","",OFFSET(D59,D58-1,(B64-1)*2))</f>
        <v/>
      </c>
      <c r="F64" s="150" t="str">
        <f ca="1">IF(OFFSET(D59,F58-1,1+(B64-1)*2)="","",OFFSET(D59,F58-1,1+(B64-1)*2))</f>
        <v/>
      </c>
      <c r="G64" s="150" t="str">
        <f ca="1">IF(OFFSET(D59,F58-1,(B64-1)*2)="","",OFFSET(D59,F58-1,(B64-1)*2))</f>
        <v/>
      </c>
      <c r="H64" s="150" t="str">
        <f ca="1">IF(OFFSET(D59,H58-1,1+(B64-1)*2)="","",OFFSET(D59,H58-1,1+(B64-1)*2))</f>
        <v/>
      </c>
      <c r="I64" s="150" t="str">
        <f ca="1">IF(OFFSET(D59,H58-1,(B64-1)*2)="","",OFFSET(D59,H58-1,(B64-1)*2))</f>
        <v/>
      </c>
      <c r="J64" s="150" t="str">
        <f ca="1">IF(OFFSET(D59,J58-1,1+(B64-1)*2)="","",OFFSET(D59,J58-1,1+(B64-1)*2))</f>
        <v/>
      </c>
      <c r="K64" s="150" t="str">
        <f ca="1">IF(OFFSET(D59,J58-1,(B64-1)*2)="","",OFFSET(D59,J58-1,(B64-1)*2))</f>
        <v/>
      </c>
      <c r="L64" s="150" t="str">
        <f ca="1">IF(OFFSET(D59,L58-1,1+(B64-1)*2)="","",OFFSET(D59,L58-1,1+(B64-1)*2))</f>
        <v/>
      </c>
      <c r="M64" s="150" t="str">
        <f ca="1">IF(OFFSET(D59,L58-1,(B64-1)*2)="","",OFFSET(D59,L58-1,(B64-1)*2))</f>
        <v/>
      </c>
      <c r="N64" s="155"/>
      <c r="O64" s="149"/>
      <c r="P64" s="150"/>
      <c r="Q64" s="150"/>
      <c r="R64" s="150"/>
      <c r="S64" s="150"/>
      <c r="T64" s="163">
        <f ca="1">COUNTIF(OFFSET(E59,0,(B64-1)*2,8),3)*2+COUNTIF(OFFSET(D59,0,(B64-1)*2,8),3)</f>
        <v>0</v>
      </c>
      <c r="U64" s="163">
        <f ca="1">RANK(AZ64,AZ59:AZ66)*AY64</f>
        <v>0</v>
      </c>
      <c r="V64" s="151">
        <f t="shared" ca="1" si="83"/>
        <v>0</v>
      </c>
      <c r="W64" s="151">
        <f t="shared" ca="1" si="84"/>
        <v>0</v>
      </c>
      <c r="X64" s="152" t="str">
        <f t="shared" ca="1" si="80"/>
        <v/>
      </c>
      <c r="Y64" s="153"/>
      <c r="Z64" s="148">
        <v>6</v>
      </c>
      <c r="AA64" s="154" t="str">
        <f ca="1">OFFSET(gr_anchor,Z64,Z58)</f>
        <v/>
      </c>
      <c r="AB64" s="150" t="str">
        <f ca="1">IF(OFFSET(AB59,AB58-1,1+(Z64-1)*2)="","",OFFSET(AB59,AB58-1,1+(Z64-1)*2))</f>
        <v/>
      </c>
      <c r="AC64" s="150" t="str">
        <f ca="1">IF(OFFSET(AB59,AB58-1,(Z64-1)*2)="","",OFFSET(AB59,AB58-1,(Z64-1)*2))</f>
        <v/>
      </c>
      <c r="AD64" s="150" t="str">
        <f ca="1">IF(OFFSET(AB59,AD58-1,1+(Z64-1)*2)="","",OFFSET(AB59,AD58-1,1+(Z64-1)*2))</f>
        <v/>
      </c>
      <c r="AE64" s="150" t="str">
        <f ca="1">IF(OFFSET(AB59,AD58-1,(Z64-1)*2)="","",OFFSET(AB59,AD58-1,(Z64-1)*2))</f>
        <v/>
      </c>
      <c r="AF64" s="150" t="str">
        <f ca="1">IF(OFFSET(AB59,AF58-1,1+(Z64-1)*2)="","",OFFSET(AB59,AF58-1,1+(Z64-1)*2))</f>
        <v/>
      </c>
      <c r="AG64" s="150" t="str">
        <f ca="1">IF(OFFSET(AB59,AF58-1,(Z64-1)*2)="","",OFFSET(AB59,AF58-1,(Z64-1)*2))</f>
        <v/>
      </c>
      <c r="AH64" s="150" t="str">
        <f ca="1">IF(OFFSET(AB59,AH58-1,1+(Z64-1)*2)="","",OFFSET(AB59,AH58-1,1+(Z64-1)*2))</f>
        <v/>
      </c>
      <c r="AI64" s="150" t="str">
        <f ca="1">IF(OFFSET(AB59,AH58-1,(Z64-1)*2)="","",OFFSET(AB59,AH58-1,(Z64-1)*2))</f>
        <v/>
      </c>
      <c r="AJ64" s="150" t="str">
        <f ca="1">IF(OFFSET(AB59,AJ58-1,1+(Z64-1)*2)="","",OFFSET(AB59,AJ58-1,1+(Z64-1)*2))</f>
        <v/>
      </c>
      <c r="AK64" s="150" t="str">
        <f ca="1">IF(OFFSET(AB59,AJ58-1,(Z64-1)*2)="","",OFFSET(AB59,AJ58-1,(Z64-1)*2))</f>
        <v/>
      </c>
      <c r="AL64" s="155"/>
      <c r="AM64" s="149"/>
      <c r="AN64" s="150"/>
      <c r="AO64" s="150"/>
      <c r="AP64" s="150"/>
      <c r="AQ64" s="150"/>
      <c r="AR64" s="163">
        <f ca="1">COUNTIF(OFFSET(AC59,0,(Z64-1)*2,8),3)*2+COUNTIF(OFFSET(AB59,0,(Z64-1)*2,8),3)</f>
        <v>0</v>
      </c>
      <c r="AS64" s="163">
        <f ca="1">RANK(CC64,CC59:CC66)*CB64</f>
        <v>0</v>
      </c>
      <c r="AT64" s="151">
        <f t="shared" ca="1" si="85"/>
        <v>0</v>
      </c>
      <c r="AU64" s="151">
        <f t="shared" ca="1" si="86"/>
        <v>0</v>
      </c>
      <c r="AV64" s="152" t="str">
        <f t="shared" ca="1" si="87"/>
        <v/>
      </c>
      <c r="AW64" s="153"/>
      <c r="AX64" s="156">
        <f ca="1">COUNTA(C59:C66)-COUNTBLANK(C59:C66)</f>
        <v>0</v>
      </c>
      <c r="AY64" s="156">
        <f t="shared" ca="1" si="81"/>
        <v>0</v>
      </c>
      <c r="AZ64" s="157">
        <f t="shared" ca="1" si="88"/>
        <v>0</v>
      </c>
      <c r="BA64" s="156">
        <f ca="1">IF(T64=OFFSET(T58,BA58,0),1,0)</f>
        <v>1</v>
      </c>
      <c r="BB64" s="156">
        <f ca="1">IF(T64=OFFSET(T58,BB58,0),1,0)</f>
        <v>1</v>
      </c>
      <c r="BC64" s="156">
        <f ca="1">IF(T64=OFFSET(T58,BC58,0),1,0)</f>
        <v>1</v>
      </c>
      <c r="BD64" s="156">
        <f ca="1">IF(T64=OFFSET(T58,BD58,0),1,0)</f>
        <v>1</v>
      </c>
      <c r="BE64" s="156">
        <f ca="1">IF(T64=OFFSET(T58,BE58,0),1,0)</f>
        <v>1</v>
      </c>
      <c r="BF64" s="156">
        <f ca="1">IF(T64=OFFSET(T58,BF58,0),1,0)</f>
        <v>1</v>
      </c>
      <c r="BG64" s="156">
        <f ca="1">IF(T64=OFFSET(T58,BG58,0),1,0)</f>
        <v>1</v>
      </c>
      <c r="BH64" s="156">
        <f ca="1">IF(T64=OFFSET(T58,BH58,0),1,0)</f>
        <v>1</v>
      </c>
      <c r="BI64" s="156" t="str">
        <f ca="1">OFFSET(C64,0,1+(BI58-1)*2)</f>
        <v/>
      </c>
      <c r="BJ64" s="156" t="str">
        <f ca="1">OFFSET(C64,0,1+(BJ58-1)*2)</f>
        <v/>
      </c>
      <c r="BK64" s="156" t="str">
        <f ca="1">OFFSET(C64,0,1+(BK58-1)*2)</f>
        <v/>
      </c>
      <c r="BL64" s="156" t="str">
        <f ca="1">OFFSET(C64,0,1+(BL58-1)*2)</f>
        <v/>
      </c>
      <c r="BM64" s="156" t="str">
        <f ca="1">OFFSET(C64,0,1+(BM58-1)*2)</f>
        <v/>
      </c>
      <c r="BN64" s="156">
        <f ca="1">OFFSET(C64,0,1+(BN58-1)*2)</f>
        <v>0</v>
      </c>
      <c r="BO64" s="156">
        <f ca="1">OFFSET(C64,0,1+(BO58-1)*2)</f>
        <v>0</v>
      </c>
      <c r="BP64" s="156">
        <f ca="1">OFFSET(C64,0,1+(BP58-1)*2)</f>
        <v>0</v>
      </c>
      <c r="BQ64" s="156" t="str">
        <f t="shared" ca="1" si="89"/>
        <v/>
      </c>
      <c r="BR64" s="156" t="str">
        <f t="shared" ca="1" si="89"/>
        <v/>
      </c>
      <c r="BS64" s="156" t="str">
        <f t="shared" ca="1" si="89"/>
        <v/>
      </c>
      <c r="BT64" s="156" t="str">
        <f t="shared" ca="1" si="89"/>
        <v/>
      </c>
      <c r="BU64" s="156" t="str">
        <f t="shared" ca="1" si="89"/>
        <v/>
      </c>
      <c r="BV64" s="156">
        <f t="shared" ca="1" si="89"/>
        <v>0</v>
      </c>
      <c r="BW64" s="156">
        <f t="shared" ca="1" si="89"/>
        <v>0</v>
      </c>
      <c r="BX64" s="156">
        <f t="shared" ca="1" si="89"/>
        <v>0</v>
      </c>
      <c r="BY64" s="156">
        <f t="shared" ca="1" si="90"/>
        <v>8</v>
      </c>
      <c r="CA64" s="156">
        <f ca="1">COUNTA(AA59:AA66)-COUNTBLANK(AA59:AA66)</f>
        <v>0</v>
      </c>
      <c r="CB64" s="156">
        <f t="shared" ca="1" si="91"/>
        <v>0</v>
      </c>
      <c r="CC64" s="157">
        <f t="shared" ca="1" si="92"/>
        <v>0</v>
      </c>
      <c r="CD64" s="156">
        <f ca="1">IF(AR64=OFFSET(AR58,CD58,0),1,0)</f>
        <v>1</v>
      </c>
      <c r="CE64" s="156">
        <f ca="1">IF(AR64=OFFSET(AR58,CE58,0),1,0)</f>
        <v>1</v>
      </c>
      <c r="CF64" s="156">
        <f ca="1">IF(AR64=OFFSET(AR58,CF58,0),1,0)</f>
        <v>1</v>
      </c>
      <c r="CG64" s="156">
        <f ca="1">IF(AR64=OFFSET(AR58,CG58,0),1,0)</f>
        <v>1</v>
      </c>
      <c r="CH64" s="156">
        <f ca="1">IF(AR64=OFFSET(AR58,CH58,0),1,0)</f>
        <v>1</v>
      </c>
      <c r="CI64" s="156">
        <f ca="1">IF(AR64=OFFSET(AR58,CI58,0),1,0)</f>
        <v>1</v>
      </c>
      <c r="CJ64" s="156">
        <f ca="1">IF(AR64=OFFSET(AR58,CJ58,0),1,0)</f>
        <v>1</v>
      </c>
      <c r="CK64" s="156">
        <f ca="1">IF(AR64=OFFSET(AR58,CK58,0),1,0)</f>
        <v>1</v>
      </c>
      <c r="CL64" s="156" t="str">
        <f ca="1">OFFSET(AA64,0,1+(CL58-1)*2)</f>
        <v/>
      </c>
      <c r="CM64" s="156" t="str">
        <f ca="1">OFFSET(AA64,0,1+(CM58-1)*2)</f>
        <v/>
      </c>
      <c r="CN64" s="156" t="str">
        <f ca="1">OFFSET(AA64,0,1+(CN58-1)*2)</f>
        <v/>
      </c>
      <c r="CO64" s="156" t="str">
        <f ca="1">OFFSET(AA64,0,1+(CO58-1)*2)</f>
        <v/>
      </c>
      <c r="CP64" s="156" t="str">
        <f ca="1">OFFSET(AA64,0,1+(CP58-1)*2)</f>
        <v/>
      </c>
      <c r="CQ64" s="156">
        <f ca="1">OFFSET(AA64,0,1+(CQ58-1)*2)</f>
        <v>0</v>
      </c>
      <c r="CR64" s="156">
        <f ca="1">OFFSET(AA64,0,1+(CR58-1)*2)</f>
        <v>0</v>
      </c>
      <c r="CS64" s="156">
        <f ca="1">OFFSET(AA64,0,1+(CS58-1)*2)</f>
        <v>0</v>
      </c>
      <c r="CT64" s="156" t="str">
        <f ca="1">OFFSET(AA64,0,2+(CT58-1)*2)</f>
        <v/>
      </c>
      <c r="CU64" s="156" t="str">
        <f ca="1">OFFSET(AA64,0,2+(CU58-1)*2)</f>
        <v/>
      </c>
      <c r="CV64" s="156" t="str">
        <f ca="1">OFFSET(AA64,0,2+(CV58-1)*2)</f>
        <v/>
      </c>
      <c r="CW64" s="156" t="str">
        <f ca="1">OFFSET(AA64,0,2+(CW58-1)*2)</f>
        <v/>
      </c>
      <c r="CX64" s="156" t="str">
        <f ca="1">OFFSET(AA64,0,2+(CX58-1)*2)</f>
        <v/>
      </c>
      <c r="CY64" s="156">
        <f ca="1">OFFSET(AA64,0,2+(CY58-1)*2)</f>
        <v>0</v>
      </c>
      <c r="CZ64" s="156">
        <f ca="1">OFFSET(AA64,0,2+(CZ58-1)*2)</f>
        <v>0</v>
      </c>
      <c r="DA64" s="156">
        <f ca="1">OFFSET(AA64,0,2+(DA58-1)*2)</f>
        <v>0</v>
      </c>
      <c r="DB64" s="156">
        <f t="shared" ca="1" si="93"/>
        <v>8</v>
      </c>
      <c r="DE64" s="123">
        <f>DE65*shift1</f>
        <v>10</v>
      </c>
      <c r="DF64" s="123">
        <f>DF65*shift2</f>
        <v>0</v>
      </c>
      <c r="DG64" s="123">
        <v>1</v>
      </c>
      <c r="DH64" s="123">
        <v>2</v>
      </c>
      <c r="DI64" s="147">
        <f>DI36+1</f>
        <v>3</v>
      </c>
      <c r="DJ64" s="36" t="str">
        <f ca="1">OFFSET(gr_header,DG64+DE64,1+DF64)</f>
        <v/>
      </c>
      <c r="DK64" s="36" t="str">
        <f ca="1">OFFSET(gr_header,DH64+DE64,1+DF64)</f>
        <v/>
      </c>
      <c r="DL64" s="123">
        <f ca="1">OFFSET(gr_header,DG64+DE64,2*DH64+DF64)</f>
        <v>0</v>
      </c>
      <c r="DM64" s="123">
        <f ca="1">OFFSET(gr_header,DG64+DE64,2*DH64+1+DF64)</f>
        <v>0</v>
      </c>
      <c r="DN64" s="34"/>
      <c r="DO64" s="183">
        <f t="shared" ca="1" si="5"/>
        <v>0</v>
      </c>
      <c r="DP64" s="183">
        <f t="shared" ca="1" si="6"/>
        <v>0</v>
      </c>
      <c r="DQ64" s="183">
        <f t="shared" ca="1" si="7"/>
        <v>0</v>
      </c>
      <c r="DR64" s="183">
        <f t="shared" ca="1" si="8"/>
        <v>0</v>
      </c>
      <c r="DS64" s="182">
        <f t="shared" ca="1" si="9"/>
        <v>0</v>
      </c>
      <c r="DT64" s="182">
        <f t="shared" ca="1" si="10"/>
        <v>0</v>
      </c>
      <c r="DU64" s="182"/>
      <c r="DV64" s="182"/>
      <c r="DW64" s="182"/>
    </row>
    <row r="65" spans="2:127" hidden="1" outlineLevel="1">
      <c r="B65" s="148">
        <v>7</v>
      </c>
      <c r="C65" s="154" t="str">
        <f ca="1">OFFSET(gr_anchor,B65,B58)</f>
        <v/>
      </c>
      <c r="D65" s="150" t="str">
        <f ca="1">IF(OFFSET(D59,D58-1,1+(B65-1)*2)="","",OFFSET(D59,D58-1,1+(B65-1)*2))</f>
        <v/>
      </c>
      <c r="E65" s="150" t="str">
        <f ca="1">IF(OFFSET(D59,D58-1,(B65-1)*2)="","",OFFSET(D59,D58-1,(B65-1)*2))</f>
        <v/>
      </c>
      <c r="F65" s="150" t="str">
        <f ca="1">IF(OFFSET(D59,F58-1,1+(B65-1)*2)="","",OFFSET(D59,F58-1,1+(B65-1)*2))</f>
        <v/>
      </c>
      <c r="G65" s="150" t="str">
        <f ca="1">IF(OFFSET(D59,F58-1,(B65-1)*2)="","",OFFSET(D59,F58-1,(B65-1)*2))</f>
        <v/>
      </c>
      <c r="H65" s="150" t="str">
        <f ca="1">IF(OFFSET(D59,H58-1,1+(B65-1)*2)="","",OFFSET(D59,H58-1,1+(B65-1)*2))</f>
        <v/>
      </c>
      <c r="I65" s="150" t="str">
        <f ca="1">IF(OFFSET(D59,H58-1,(B65-1)*2)="","",OFFSET(D59,H58-1,(B65-1)*2))</f>
        <v/>
      </c>
      <c r="J65" s="150" t="str">
        <f ca="1">IF(OFFSET(D59,J58-1,1+(B65-1)*2)="","",OFFSET(D59,J58-1,1+(B65-1)*2))</f>
        <v/>
      </c>
      <c r="K65" s="150" t="str">
        <f ca="1">IF(OFFSET(D59,J58-1,(B65-1)*2)="","",OFFSET(D59,J58-1,(B65-1)*2))</f>
        <v/>
      </c>
      <c r="L65" s="150" t="str">
        <f ca="1">IF(OFFSET(D59,L58-1,1+(B65-1)*2)="","",OFFSET(D59,L58-1,1+(B65-1)*2))</f>
        <v/>
      </c>
      <c r="M65" s="150" t="str">
        <f ca="1">IF(OFFSET(D59,L58-1,(B65-1)*2)="","",OFFSET(D59,L58-1,(B65-1)*2))</f>
        <v/>
      </c>
      <c r="N65" s="150" t="str">
        <f ca="1">IF(OFFSET(D59,N58-1,1+(B65-1)*2)="","",OFFSET(D59,N58-1,1+(B65-1)*2))</f>
        <v/>
      </c>
      <c r="O65" s="150" t="str">
        <f ca="1">IF(OFFSET(D59,N58-1,(B65-1)*2)="","",OFFSET(D59,N58-1,(B65-1)*2))</f>
        <v/>
      </c>
      <c r="P65" s="155"/>
      <c r="Q65" s="149"/>
      <c r="R65" s="150"/>
      <c r="S65" s="150"/>
      <c r="T65" s="151">
        <f ca="1">COUNTIF(OFFSET(E59,0,(B65-1)*2,8),3)*2+COUNTIF(OFFSET(D59,0,(B65-1)*2,8),3)</f>
        <v>0</v>
      </c>
      <c r="U65" s="151">
        <f ca="1">RANK(AZ65,AZ59:AZ66)*AY65</f>
        <v>0</v>
      </c>
      <c r="V65" s="151">
        <f t="shared" ca="1" si="83"/>
        <v>0</v>
      </c>
      <c r="W65" s="151">
        <f t="shared" ca="1" si="84"/>
        <v>0</v>
      </c>
      <c r="X65" s="152" t="str">
        <f t="shared" ca="1" si="80"/>
        <v/>
      </c>
      <c r="Y65" s="153"/>
      <c r="Z65" s="148">
        <v>7</v>
      </c>
      <c r="AA65" s="154" t="str">
        <f ca="1">OFFSET(gr_anchor,Z65,Z58)</f>
        <v/>
      </c>
      <c r="AB65" s="150" t="str">
        <f ca="1">IF(OFFSET(AB59,AB58-1,1+(Z65-1)*2)="","",OFFSET(AB59,AB58-1,1+(Z65-1)*2))</f>
        <v/>
      </c>
      <c r="AC65" s="150" t="str">
        <f ca="1">IF(OFFSET(AB59,AB58-1,(Z65-1)*2)="","",OFFSET(AB59,AB58-1,(Z65-1)*2))</f>
        <v/>
      </c>
      <c r="AD65" s="150" t="str">
        <f ca="1">IF(OFFSET(AB59,AD58-1,1+(Z65-1)*2)="","",OFFSET(AB59,AD58-1,1+(Z65-1)*2))</f>
        <v/>
      </c>
      <c r="AE65" s="150" t="str">
        <f ca="1">IF(OFFSET(AB59,AD58-1,(Z65-1)*2)="","",OFFSET(AB59,AD58-1,(Z65-1)*2))</f>
        <v/>
      </c>
      <c r="AF65" s="150" t="str">
        <f ca="1">IF(OFFSET(AB59,AF58-1,1+(Z65-1)*2)="","",OFFSET(AB59,AF58-1,1+(Z65-1)*2))</f>
        <v/>
      </c>
      <c r="AG65" s="150" t="str">
        <f ca="1">IF(OFFSET(AB59,AF58-1,(Z65-1)*2)="","",OFFSET(AB59,AF58-1,(Z65-1)*2))</f>
        <v/>
      </c>
      <c r="AH65" s="150" t="str">
        <f ca="1">IF(OFFSET(AB59,AH58-1,1+(Z65-1)*2)="","",OFFSET(AB59,AH58-1,1+(Z65-1)*2))</f>
        <v/>
      </c>
      <c r="AI65" s="150" t="str">
        <f ca="1">IF(OFFSET(AB59,AH58-1,(Z65-1)*2)="","",OFFSET(AB59,AH58-1,(Z65-1)*2))</f>
        <v/>
      </c>
      <c r="AJ65" s="150" t="str">
        <f ca="1">IF(OFFSET(AB59,AJ58-1,1+(Z65-1)*2)="","",OFFSET(AB59,AJ58-1,1+(Z65-1)*2))</f>
        <v/>
      </c>
      <c r="AK65" s="150" t="str">
        <f ca="1">IF(OFFSET(AB59,AJ58-1,(Z65-1)*2)="","",OFFSET(AB59,AJ58-1,(Z65-1)*2))</f>
        <v/>
      </c>
      <c r="AL65" s="150" t="str">
        <f ca="1">IF(OFFSET(AB59,AL58-1,1+(Z65-1)*2)="","",OFFSET(AB59,AL58-1,1+(Z65-1)*2))</f>
        <v/>
      </c>
      <c r="AM65" s="150" t="str">
        <f ca="1">IF(OFFSET(AB59,AL58-1,(Z65-1)*2)="","",OFFSET(AB59,AL58-1,(Z65-1)*2))</f>
        <v/>
      </c>
      <c r="AN65" s="155"/>
      <c r="AO65" s="149"/>
      <c r="AP65" s="150"/>
      <c r="AQ65" s="150"/>
      <c r="AR65" s="151">
        <f ca="1">COUNTIF(OFFSET(AC59,0,(Z65-1)*2,8),3)*2+COUNTIF(OFFSET(AB59,0,(Z65-1)*2,8),3)</f>
        <v>0</v>
      </c>
      <c r="AS65" s="151">
        <f ca="1">RANK(CC65,CC59:CC66)*CB65</f>
        <v>0</v>
      </c>
      <c r="AT65" s="151">
        <f t="shared" ca="1" si="85"/>
        <v>0</v>
      </c>
      <c r="AU65" s="151">
        <f t="shared" ca="1" si="86"/>
        <v>0</v>
      </c>
      <c r="AV65" s="152" t="str">
        <f t="shared" ca="1" si="87"/>
        <v/>
      </c>
      <c r="AW65" s="153"/>
      <c r="AX65" s="156">
        <f ca="1">COUNTA(C59:C66)-COUNTBLANK(C59:C66)</f>
        <v>0</v>
      </c>
      <c r="AY65" s="156">
        <f t="shared" ca="1" si="81"/>
        <v>0</v>
      </c>
      <c r="AZ65" s="157">
        <f t="shared" ca="1" si="88"/>
        <v>0</v>
      </c>
      <c r="BA65" s="156">
        <f ca="1">IF(T65=OFFSET(T58,BA58,0),1,0)</f>
        <v>1</v>
      </c>
      <c r="BB65" s="156">
        <f ca="1">IF(T65=OFFSET(T58,BB58,0),1,0)</f>
        <v>1</v>
      </c>
      <c r="BC65" s="156">
        <f ca="1">IF(T65=OFFSET(T58,BC58,0),1,0)</f>
        <v>1</v>
      </c>
      <c r="BD65" s="156">
        <f ca="1">IF(T65=OFFSET(T58,BD58,0),1,0)</f>
        <v>1</v>
      </c>
      <c r="BE65" s="156">
        <f ca="1">IF(T65=OFFSET(T58,BE58,0),1,0)</f>
        <v>1</v>
      </c>
      <c r="BF65" s="156">
        <f ca="1">IF(T65=OFFSET(T58,BF58,0),1,0)</f>
        <v>1</v>
      </c>
      <c r="BG65" s="156">
        <f ca="1">IF(T65=OFFSET(T58,BG58,0),1,0)</f>
        <v>1</v>
      </c>
      <c r="BH65" s="156">
        <f ca="1">IF(T65=OFFSET(T58,BH58,0),1,0)</f>
        <v>1</v>
      </c>
      <c r="BI65" s="156" t="str">
        <f ca="1">OFFSET(C65,0,1+(BI58-1)*2)</f>
        <v/>
      </c>
      <c r="BJ65" s="156" t="str">
        <f ca="1">OFFSET(C65,0,1+(BJ58-1)*2)</f>
        <v/>
      </c>
      <c r="BK65" s="156" t="str">
        <f ca="1">OFFSET(C65,0,1+(BK58-1)*2)</f>
        <v/>
      </c>
      <c r="BL65" s="156" t="str">
        <f ca="1">OFFSET(C65,0,1+(BL58-1)*2)</f>
        <v/>
      </c>
      <c r="BM65" s="156" t="str">
        <f ca="1">OFFSET(C65,0,1+(BM58-1)*2)</f>
        <v/>
      </c>
      <c r="BN65" s="156" t="str">
        <f ca="1">OFFSET(C65,0,1+(BN58-1)*2)</f>
        <v/>
      </c>
      <c r="BO65" s="156">
        <f ca="1">OFFSET(C65,0,1+(BO58-1)*2)</f>
        <v>0</v>
      </c>
      <c r="BP65" s="156">
        <f ca="1">OFFSET(C65,0,1+(BP58-1)*2)</f>
        <v>0</v>
      </c>
      <c r="BQ65" s="156" t="str">
        <f t="shared" ca="1" si="89"/>
        <v/>
      </c>
      <c r="BR65" s="156" t="str">
        <f t="shared" ca="1" si="89"/>
        <v/>
      </c>
      <c r="BS65" s="156" t="str">
        <f t="shared" ca="1" si="89"/>
        <v/>
      </c>
      <c r="BT65" s="156" t="str">
        <f t="shared" ca="1" si="89"/>
        <v/>
      </c>
      <c r="BU65" s="156" t="str">
        <f t="shared" ca="1" si="89"/>
        <v/>
      </c>
      <c r="BV65" s="156" t="str">
        <f t="shared" ca="1" si="89"/>
        <v/>
      </c>
      <c r="BW65" s="156">
        <f t="shared" ca="1" si="89"/>
        <v>0</v>
      </c>
      <c r="BX65" s="156">
        <f t="shared" ca="1" si="89"/>
        <v>0</v>
      </c>
      <c r="BY65" s="156">
        <f t="shared" ca="1" si="90"/>
        <v>8</v>
      </c>
      <c r="CA65" s="156">
        <f ca="1">COUNTA(AA59:AA66)-COUNTBLANK(AA59:AA66)</f>
        <v>0</v>
      </c>
      <c r="CB65" s="156">
        <f t="shared" ca="1" si="91"/>
        <v>0</v>
      </c>
      <c r="CC65" s="157">
        <f t="shared" ca="1" si="92"/>
        <v>0</v>
      </c>
      <c r="CD65" s="156">
        <f ca="1">IF(AR65=OFFSET(AR58,CD58,0),1,0)</f>
        <v>1</v>
      </c>
      <c r="CE65" s="156">
        <f ca="1">IF(AR65=OFFSET(AR58,CE58,0),1,0)</f>
        <v>1</v>
      </c>
      <c r="CF65" s="156">
        <f ca="1">IF(AR65=OFFSET(AR58,CF58,0),1,0)</f>
        <v>1</v>
      </c>
      <c r="CG65" s="156">
        <f ca="1">IF(AR65=OFFSET(AR58,CG58,0),1,0)</f>
        <v>1</v>
      </c>
      <c r="CH65" s="156">
        <f ca="1">IF(AR65=OFFSET(AR58,CH58,0),1,0)</f>
        <v>1</v>
      </c>
      <c r="CI65" s="156">
        <f ca="1">IF(AR65=OFFSET(AR58,CI58,0),1,0)</f>
        <v>1</v>
      </c>
      <c r="CJ65" s="156">
        <f ca="1">IF(AR65=OFFSET(AR58,CJ58,0),1,0)</f>
        <v>1</v>
      </c>
      <c r="CK65" s="156">
        <f ca="1">IF(AR65=OFFSET(AR58,CK58,0),1,0)</f>
        <v>1</v>
      </c>
      <c r="CL65" s="156" t="str">
        <f ca="1">OFFSET(AA65,0,1+(CL58-1)*2)</f>
        <v/>
      </c>
      <c r="CM65" s="156" t="str">
        <f ca="1">OFFSET(AA65,0,1+(CM58-1)*2)</f>
        <v/>
      </c>
      <c r="CN65" s="156" t="str">
        <f ca="1">OFFSET(AA65,0,1+(CN58-1)*2)</f>
        <v/>
      </c>
      <c r="CO65" s="156" t="str">
        <f ca="1">OFFSET(AA65,0,1+(CO58-1)*2)</f>
        <v/>
      </c>
      <c r="CP65" s="156" t="str">
        <f ca="1">OFFSET(AA65,0,1+(CP58-1)*2)</f>
        <v/>
      </c>
      <c r="CQ65" s="156" t="str">
        <f ca="1">OFFSET(AA65,0,1+(CQ58-1)*2)</f>
        <v/>
      </c>
      <c r="CR65" s="156">
        <f ca="1">OFFSET(AA65,0,1+(CR58-1)*2)</f>
        <v>0</v>
      </c>
      <c r="CS65" s="156">
        <f ca="1">OFFSET(AA65,0,1+(CS58-1)*2)</f>
        <v>0</v>
      </c>
      <c r="CT65" s="156" t="str">
        <f ca="1">OFFSET(AA65,0,2+(CT58-1)*2)</f>
        <v/>
      </c>
      <c r="CU65" s="156" t="str">
        <f ca="1">OFFSET(AA65,0,2+(CU58-1)*2)</f>
        <v/>
      </c>
      <c r="CV65" s="156" t="str">
        <f ca="1">OFFSET(AA65,0,2+(CV58-1)*2)</f>
        <v/>
      </c>
      <c r="CW65" s="156" t="str">
        <f ca="1">OFFSET(AA65,0,2+(CW58-1)*2)</f>
        <v/>
      </c>
      <c r="CX65" s="156" t="str">
        <f ca="1">OFFSET(AA65,0,2+(CX58-1)*2)</f>
        <v/>
      </c>
      <c r="CY65" s="156" t="str">
        <f ca="1">OFFSET(AA65,0,2+(CY58-1)*2)</f>
        <v/>
      </c>
      <c r="CZ65" s="156">
        <f ca="1">OFFSET(AA65,0,2+(CZ58-1)*2)</f>
        <v>0</v>
      </c>
      <c r="DA65" s="156">
        <f ca="1">OFFSET(AA65,0,2+(DA58-1)*2)</f>
        <v>0</v>
      </c>
      <c r="DB65" s="156">
        <f t="shared" ca="1" si="93"/>
        <v>8</v>
      </c>
      <c r="DE65" s="123">
        <f>INT((DI64-1)/2)</f>
        <v>1</v>
      </c>
      <c r="DF65" s="123">
        <f>1-(INT((DI64+1)/2)*2-DI64)</f>
        <v>0</v>
      </c>
      <c r="DG65" s="123">
        <v>1</v>
      </c>
      <c r="DH65" s="123">
        <v>3</v>
      </c>
      <c r="DI65" s="123">
        <f>DI64</f>
        <v>3</v>
      </c>
      <c r="DJ65" s="36" t="str">
        <f ca="1">OFFSET(gr_header,DG65+DE64,1+DF64)</f>
        <v/>
      </c>
      <c r="DK65" s="36" t="str">
        <f ca="1">OFFSET(gr_header,DH65+DE64,1+DF64)</f>
        <v/>
      </c>
      <c r="DL65" s="123">
        <f ca="1">OFFSET(gr_header,DG65+DE64,2*DH65+DF64)</f>
        <v>0</v>
      </c>
      <c r="DM65" s="123">
        <f ca="1">OFFSET(gr_header,DG65+DE64,2*DH65+1+DF64)</f>
        <v>0</v>
      </c>
      <c r="DN65" s="34"/>
      <c r="DO65" s="183">
        <f t="shared" ca="1" si="5"/>
        <v>0</v>
      </c>
      <c r="DP65" s="183">
        <f t="shared" ca="1" si="6"/>
        <v>0</v>
      </c>
      <c r="DQ65" s="183">
        <f t="shared" ca="1" si="7"/>
        <v>0</v>
      </c>
      <c r="DR65" s="183">
        <f t="shared" ca="1" si="8"/>
        <v>0</v>
      </c>
      <c r="DS65" s="182">
        <f t="shared" ca="1" si="9"/>
        <v>0</v>
      </c>
      <c r="DT65" s="182">
        <f t="shared" ca="1" si="10"/>
        <v>0</v>
      </c>
      <c r="DU65" s="182"/>
      <c r="DV65" s="182"/>
      <c r="DW65" s="182"/>
    </row>
    <row r="66" spans="2:127" hidden="1" outlineLevel="1">
      <c r="B66" s="148">
        <v>8</v>
      </c>
      <c r="C66" s="154" t="str">
        <f ca="1">OFFSET(gr_anchor,B66,B58)</f>
        <v/>
      </c>
      <c r="D66" s="150" t="str">
        <f ca="1">IF(OFFSET(D59,D58-1,1+(B66-1)*2)="","",OFFSET(D59,D58-1,1+(B66-1)*2))</f>
        <v/>
      </c>
      <c r="E66" s="150" t="str">
        <f ca="1">IF(OFFSET(D59,D58-1,(B66-1)*2)="","",OFFSET(D59,D58-1,(B66-1)*2))</f>
        <v/>
      </c>
      <c r="F66" s="150" t="str">
        <f ca="1">IF(OFFSET(D59,F58-1,1+(B66-1)*2)="","",OFFSET(D59,F58-1,1+(B66-1)*2))</f>
        <v/>
      </c>
      <c r="G66" s="150" t="str">
        <f ca="1">IF(OFFSET(D59,F58-1,(B66-1)*2)="","",OFFSET(D59,F58-1,(B66-1)*2))</f>
        <v/>
      </c>
      <c r="H66" s="150" t="str">
        <f ca="1">IF(OFFSET(D59,H58-1,1+(B66-1)*2)="","",OFFSET(D59,H58-1,1+(B66-1)*2))</f>
        <v/>
      </c>
      <c r="I66" s="150" t="str">
        <f ca="1">IF(OFFSET(D59,H58-1,(B66-1)*2)="","",OFFSET(D59,H58-1,(B66-1)*2))</f>
        <v/>
      </c>
      <c r="J66" s="150" t="str">
        <f ca="1">IF(OFFSET(D59,J58-1,1+(B66-1)*2)="","",OFFSET(D59,J58-1,1+(B66-1)*2))</f>
        <v/>
      </c>
      <c r="K66" s="150" t="str">
        <f ca="1">IF(OFFSET(D59,J58-1,(B66-1)*2)="","",OFFSET(D59,J58-1,(B66-1)*2))</f>
        <v/>
      </c>
      <c r="L66" s="150" t="str">
        <f ca="1">IF(OFFSET(D59,L58-1,1+(B66-1)*2)="","",OFFSET(D59,L58-1,1+(B66-1)*2))</f>
        <v/>
      </c>
      <c r="M66" s="150" t="str">
        <f ca="1">IF(OFFSET(D59,L58-1,(B66-1)*2)="","",OFFSET(D59,L58-1,(B66-1)*2))</f>
        <v/>
      </c>
      <c r="N66" s="150" t="str">
        <f ca="1">IF(OFFSET(D59,N58-1,1+(B66-1)*2)="","",OFFSET(D59,N58-1,1+(B66-1)*2))</f>
        <v/>
      </c>
      <c r="O66" s="150" t="str">
        <f ca="1">IF(OFFSET(D59,N58-1,(B66-1)*2)="","",OFFSET(D59,N58-1,(B66-1)*2))</f>
        <v/>
      </c>
      <c r="P66" s="150" t="str">
        <f ca="1">IF(OFFSET(D59,P58-1,1+(B66-1)*2)="","",OFFSET(D59,P58-1,1+(B66-1)*2))</f>
        <v/>
      </c>
      <c r="Q66" s="150" t="str">
        <f ca="1">IF(OFFSET(D59,P58-1,(B66-1)*2)="","",OFFSET(D59,P58-1,(B66-1)*2))</f>
        <v/>
      </c>
      <c r="R66" s="155"/>
      <c r="S66" s="149"/>
      <c r="T66" s="151">
        <f ca="1">COUNTIF(OFFSET(E59,0,(B66-1)*2,8),3)*2+COUNTIF(OFFSET(D59,0,(B66-1)*2,8),3)</f>
        <v>0</v>
      </c>
      <c r="U66" s="151">
        <f ca="1">RANK(AZ66,AZ59:AZ66)*AY66</f>
        <v>0</v>
      </c>
      <c r="V66" s="151">
        <f t="shared" ca="1" si="83"/>
        <v>0</v>
      </c>
      <c r="W66" s="151">
        <f t="shared" ca="1" si="84"/>
        <v>0</v>
      </c>
      <c r="X66" s="152" t="str">
        <f t="shared" ca="1" si="80"/>
        <v/>
      </c>
      <c r="Y66" s="153"/>
      <c r="Z66" s="148">
        <v>8</v>
      </c>
      <c r="AA66" s="154" t="str">
        <f ca="1">OFFSET(gr_anchor,Z66,Z58)</f>
        <v/>
      </c>
      <c r="AB66" s="150" t="str">
        <f ca="1">IF(OFFSET(AB59,AB58-1,1+(Z66-1)*2)="","",OFFSET(AB59,AB58-1,1+(Z66-1)*2))</f>
        <v/>
      </c>
      <c r="AC66" s="150" t="str">
        <f ca="1">IF(OFFSET(AB59,AB58-1,(Z66-1)*2)="","",OFFSET(AB59,AB58-1,(Z66-1)*2))</f>
        <v/>
      </c>
      <c r="AD66" s="150" t="str">
        <f ca="1">IF(OFFSET(AB59,AD58-1,1+(Z66-1)*2)="","",OFFSET(AB59,AD58-1,1+(Z66-1)*2))</f>
        <v/>
      </c>
      <c r="AE66" s="150" t="str">
        <f ca="1">IF(OFFSET(AB59,AD58-1,(Z66-1)*2)="","",OFFSET(AB59,AD58-1,(Z66-1)*2))</f>
        <v/>
      </c>
      <c r="AF66" s="150" t="str">
        <f ca="1">IF(OFFSET(AB59,AF58-1,1+(Z66-1)*2)="","",OFFSET(AB59,AF58-1,1+(Z66-1)*2))</f>
        <v/>
      </c>
      <c r="AG66" s="150" t="str">
        <f ca="1">IF(OFFSET(AB59,AF58-1,(Z66-1)*2)="","",OFFSET(AB59,AF58-1,(Z66-1)*2))</f>
        <v/>
      </c>
      <c r="AH66" s="150" t="str">
        <f ca="1">IF(OFFSET(AB59,AH58-1,1+(Z66-1)*2)="","",OFFSET(AB59,AH58-1,1+(Z66-1)*2))</f>
        <v/>
      </c>
      <c r="AI66" s="150" t="str">
        <f ca="1">IF(OFFSET(AB59,AH58-1,(Z66-1)*2)="","",OFFSET(AB59,AH58-1,(Z66-1)*2))</f>
        <v/>
      </c>
      <c r="AJ66" s="150" t="str">
        <f ca="1">IF(OFFSET(AB59,AJ58-1,1+(Z66-1)*2)="","",OFFSET(AB59,AJ58-1,1+(Z66-1)*2))</f>
        <v/>
      </c>
      <c r="AK66" s="150" t="str">
        <f ca="1">IF(OFFSET(AB59,AJ58-1,(Z66-1)*2)="","",OFFSET(AB59,AJ58-1,(Z66-1)*2))</f>
        <v/>
      </c>
      <c r="AL66" s="150" t="str">
        <f ca="1">IF(OFFSET(AB59,AL58-1,1+(Z66-1)*2)="","",OFFSET(AB59,AL58-1,1+(Z66-1)*2))</f>
        <v/>
      </c>
      <c r="AM66" s="150" t="str">
        <f ca="1">IF(OFFSET(AB59,AL58-1,(Z66-1)*2)="","",OFFSET(AB59,AL58-1,(Z66-1)*2))</f>
        <v/>
      </c>
      <c r="AN66" s="150" t="str">
        <f ca="1">IF(OFFSET(AB59,AN58-1,1+(Z66-1)*2)="","",OFFSET(AB59,AN58-1,1+(Z66-1)*2))</f>
        <v/>
      </c>
      <c r="AO66" s="150" t="str">
        <f ca="1">IF(OFFSET(AB59,AN58-1,(Z66-1)*2)="","",OFFSET(AB59,AN58-1,(Z66-1)*2))</f>
        <v/>
      </c>
      <c r="AP66" s="155"/>
      <c r="AQ66" s="149"/>
      <c r="AR66" s="151">
        <f ca="1">COUNTIF(OFFSET(AC59,0,(Z66-1)*2,8),3)*2+COUNTIF(OFFSET(AB59,0,(Z66-1)*2,8),3)</f>
        <v>0</v>
      </c>
      <c r="AS66" s="151">
        <f ca="1">RANK(CC66,CC59:CC66)*CB66</f>
        <v>0</v>
      </c>
      <c r="AT66" s="151">
        <f t="shared" ca="1" si="85"/>
        <v>0</v>
      </c>
      <c r="AU66" s="151">
        <f t="shared" ca="1" si="86"/>
        <v>0</v>
      </c>
      <c r="AV66" s="152" t="str">
        <f t="shared" ca="1" si="87"/>
        <v/>
      </c>
      <c r="AW66" s="153"/>
      <c r="AX66" s="156">
        <f ca="1">COUNTA(C59:C66)-COUNTBLANK(C59:C66)</f>
        <v>0</v>
      </c>
      <c r="AY66" s="156">
        <f t="shared" ca="1" si="81"/>
        <v>0</v>
      </c>
      <c r="AZ66" s="157">
        <f t="shared" ca="1" si="88"/>
        <v>0</v>
      </c>
      <c r="BA66" s="156">
        <f ca="1">IF(T66=OFFSET(T58,BA58,0),1,0)</f>
        <v>1</v>
      </c>
      <c r="BB66" s="156">
        <f ca="1">IF(T66=OFFSET(T58,BB58,0),1,0)</f>
        <v>1</v>
      </c>
      <c r="BC66" s="156">
        <f ca="1">IF(T66=OFFSET(T58,BC58,0),1,0)</f>
        <v>1</v>
      </c>
      <c r="BD66" s="156">
        <f ca="1">IF(T66=OFFSET(T58,BD58,0),1,0)</f>
        <v>1</v>
      </c>
      <c r="BE66" s="156">
        <f ca="1">IF(T66=OFFSET(T58,BE58,0),1,0)</f>
        <v>1</v>
      </c>
      <c r="BF66" s="156">
        <f ca="1">IF(T66=OFFSET(T58,BF58,0),1,0)</f>
        <v>1</v>
      </c>
      <c r="BG66" s="156">
        <f ca="1">IF(T66=OFFSET(T58,BG58,0),1,0)</f>
        <v>1</v>
      </c>
      <c r="BH66" s="156">
        <f ca="1">IF(T66=OFFSET(T58,BH58,0),1,0)</f>
        <v>1</v>
      </c>
      <c r="BI66" s="156" t="str">
        <f ca="1">OFFSET(C66,0,1+(BI58-1)*2)</f>
        <v/>
      </c>
      <c r="BJ66" s="156" t="str">
        <f ca="1">OFFSET(C66,0,1+(BJ58-1)*2)</f>
        <v/>
      </c>
      <c r="BK66" s="156" t="str">
        <f ca="1">OFFSET(C66,0,1+(BK58-1)*2)</f>
        <v/>
      </c>
      <c r="BL66" s="156" t="str">
        <f ca="1">OFFSET(C66,0,1+(BL58-1)*2)</f>
        <v/>
      </c>
      <c r="BM66" s="156" t="str">
        <f ca="1">OFFSET(C66,0,1+(BM58-1)*2)</f>
        <v/>
      </c>
      <c r="BN66" s="156" t="str">
        <f ca="1">OFFSET(C66,0,1+(BN58-1)*2)</f>
        <v/>
      </c>
      <c r="BO66" s="156" t="str">
        <f ca="1">OFFSET(C66,0,1+(BO58-1)*2)</f>
        <v/>
      </c>
      <c r="BP66" s="156">
        <f ca="1">OFFSET(C66,0,1+(BP58-1)*2)</f>
        <v>0</v>
      </c>
      <c r="BQ66" s="156" t="str">
        <f t="shared" ca="1" si="89"/>
        <v/>
      </c>
      <c r="BR66" s="156" t="str">
        <f t="shared" ca="1" si="89"/>
        <v/>
      </c>
      <c r="BS66" s="156" t="str">
        <f t="shared" ca="1" si="89"/>
        <v/>
      </c>
      <c r="BT66" s="156" t="str">
        <f t="shared" ca="1" si="89"/>
        <v/>
      </c>
      <c r="BU66" s="156" t="str">
        <f t="shared" ca="1" si="89"/>
        <v/>
      </c>
      <c r="BV66" s="156" t="str">
        <f t="shared" ca="1" si="89"/>
        <v/>
      </c>
      <c r="BW66" s="156" t="str">
        <f t="shared" ca="1" si="89"/>
        <v/>
      </c>
      <c r="BX66" s="156">
        <f t="shared" ca="1" si="89"/>
        <v>0</v>
      </c>
      <c r="BY66" s="156">
        <f t="shared" ca="1" si="90"/>
        <v>8</v>
      </c>
      <c r="CA66" s="156">
        <f ca="1">COUNTA(AA59:AA66)-COUNTBLANK(AA59:AA66)</f>
        <v>0</v>
      </c>
      <c r="CB66" s="156">
        <f t="shared" ca="1" si="91"/>
        <v>0</v>
      </c>
      <c r="CC66" s="157">
        <f t="shared" ca="1" si="92"/>
        <v>0</v>
      </c>
      <c r="CD66" s="156">
        <f ca="1">IF(AR66=OFFSET(AR58,CD58,0),1,0)</f>
        <v>1</v>
      </c>
      <c r="CE66" s="156">
        <f ca="1">IF(AR66=OFFSET(AR58,CE58,0),1,0)</f>
        <v>1</v>
      </c>
      <c r="CF66" s="156">
        <f ca="1">IF(AR66=OFFSET(AR58,CF58,0),1,0)</f>
        <v>1</v>
      </c>
      <c r="CG66" s="156">
        <f ca="1">IF(AR66=OFFSET(AR58,CG58,0),1,0)</f>
        <v>1</v>
      </c>
      <c r="CH66" s="156">
        <f ca="1">IF(AR66=OFFSET(AR58,CH58,0),1,0)</f>
        <v>1</v>
      </c>
      <c r="CI66" s="156">
        <f ca="1">IF(AR66=OFFSET(AR58,CI58,0),1,0)</f>
        <v>1</v>
      </c>
      <c r="CJ66" s="156">
        <f ca="1">IF(AR66=OFFSET(AR58,CJ58,0),1,0)</f>
        <v>1</v>
      </c>
      <c r="CK66" s="156">
        <f ca="1">IF(AR66=OFFSET(AR58,CK58,0),1,0)</f>
        <v>1</v>
      </c>
      <c r="CL66" s="156" t="str">
        <f ca="1">OFFSET(AA66,0,1+(CL58-1)*2)</f>
        <v/>
      </c>
      <c r="CM66" s="156" t="str">
        <f ca="1">OFFSET(AA66,0,1+(CM58-1)*2)</f>
        <v/>
      </c>
      <c r="CN66" s="156" t="str">
        <f ca="1">OFFSET(AA66,0,1+(CN58-1)*2)</f>
        <v/>
      </c>
      <c r="CO66" s="156" t="str">
        <f ca="1">OFFSET(AA66,0,1+(CO58-1)*2)</f>
        <v/>
      </c>
      <c r="CP66" s="156" t="str">
        <f ca="1">OFFSET(AA66,0,1+(CP58-1)*2)</f>
        <v/>
      </c>
      <c r="CQ66" s="156" t="str">
        <f ca="1">OFFSET(AA66,0,1+(CQ58-1)*2)</f>
        <v/>
      </c>
      <c r="CR66" s="156" t="str">
        <f ca="1">OFFSET(AA66,0,1+(CR58-1)*2)</f>
        <v/>
      </c>
      <c r="CS66" s="156">
        <f ca="1">OFFSET(AA66,0,1+(CS58-1)*2)</f>
        <v>0</v>
      </c>
      <c r="CT66" s="156" t="str">
        <f ca="1">OFFSET(AA66,0,2+(CT58-1)*2)</f>
        <v/>
      </c>
      <c r="CU66" s="156" t="str">
        <f ca="1">OFFSET(AA66,0,2+(CU58-1)*2)</f>
        <v/>
      </c>
      <c r="CV66" s="156" t="str">
        <f ca="1">OFFSET(AA66,0,2+(CV58-1)*2)</f>
        <v/>
      </c>
      <c r="CW66" s="156" t="str">
        <f ca="1">OFFSET(AA66,0,2+(CW58-1)*2)</f>
        <v/>
      </c>
      <c r="CX66" s="156" t="str">
        <f ca="1">OFFSET(AA66,0,2+(CX58-1)*2)</f>
        <v/>
      </c>
      <c r="CY66" s="156" t="str">
        <f ca="1">OFFSET(AA66,0,2+(CY58-1)*2)</f>
        <v/>
      </c>
      <c r="CZ66" s="156" t="str">
        <f ca="1">OFFSET(AA66,0,2+(CZ58-1)*2)</f>
        <v/>
      </c>
      <c r="DA66" s="156">
        <f ca="1">OFFSET(AA66,0,2+(DA58-1)*2)</f>
        <v>0</v>
      </c>
      <c r="DB66" s="156">
        <f t="shared" ca="1" si="93"/>
        <v>8</v>
      </c>
      <c r="DG66" s="123">
        <v>1</v>
      </c>
      <c r="DH66" s="123">
        <v>4</v>
      </c>
      <c r="DI66" s="123">
        <f t="shared" ref="DI66:DI91" si="94">DI65</f>
        <v>3</v>
      </c>
      <c r="DJ66" s="36" t="str">
        <f ca="1">OFFSET(gr_header,DG66+DE64,1+DF64)</f>
        <v/>
      </c>
      <c r="DK66" s="36" t="str">
        <f ca="1">OFFSET(gr_header,DH66+DE64,1+DF64)</f>
        <v/>
      </c>
      <c r="DL66" s="123">
        <f ca="1">OFFSET(gr_header,DG66+DE64,2*DH66+DF64)</f>
        <v>0</v>
      </c>
      <c r="DM66" s="123">
        <f ca="1">OFFSET(gr_header,DG66+DE64,2*DH66+1+DF64)</f>
        <v>0</v>
      </c>
      <c r="DN66" s="34"/>
      <c r="DO66" s="183">
        <f t="shared" ca="1" si="5"/>
        <v>0</v>
      </c>
      <c r="DP66" s="183">
        <f t="shared" ca="1" si="6"/>
        <v>0</v>
      </c>
      <c r="DQ66" s="183">
        <f t="shared" ca="1" si="7"/>
        <v>0</v>
      </c>
      <c r="DR66" s="183">
        <f t="shared" ca="1" si="8"/>
        <v>0</v>
      </c>
      <c r="DS66" s="182">
        <f t="shared" ca="1" si="9"/>
        <v>0</v>
      </c>
      <c r="DT66" s="182">
        <f t="shared" ca="1" si="10"/>
        <v>0</v>
      </c>
      <c r="DU66" s="182"/>
      <c r="DV66" s="182"/>
      <c r="DW66" s="182"/>
    </row>
    <row r="67" spans="2:127" ht="14.25" collapsed="1" thickBot="1">
      <c r="DG67" s="123">
        <v>1</v>
      </c>
      <c r="DH67" s="123">
        <v>5</v>
      </c>
      <c r="DI67" s="123">
        <f t="shared" si="94"/>
        <v>3</v>
      </c>
      <c r="DJ67" s="36" t="str">
        <f ca="1">OFFSET(gr_header,DG67+DE64,1+DF64)</f>
        <v/>
      </c>
      <c r="DK67" s="36" t="str">
        <f ca="1">OFFSET(gr_header,DH67+DE64,1+DF64)</f>
        <v/>
      </c>
      <c r="DL67" s="123">
        <f ca="1">OFFSET(gr_header,DG67+DE64,2*DH67+DF64)</f>
        <v>0</v>
      </c>
      <c r="DM67" s="123">
        <f ca="1">OFFSET(gr_header,DG67+DE64,2*DH67+1+DF64)</f>
        <v>0</v>
      </c>
      <c r="DN67" s="34"/>
      <c r="DO67" s="183">
        <f t="shared" ca="1" si="5"/>
        <v>0</v>
      </c>
      <c r="DP67" s="183">
        <f t="shared" ca="1" si="6"/>
        <v>0</v>
      </c>
      <c r="DQ67" s="183">
        <f t="shared" ca="1" si="7"/>
        <v>0</v>
      </c>
      <c r="DR67" s="183">
        <f t="shared" ca="1" si="8"/>
        <v>0</v>
      </c>
      <c r="DS67" s="182">
        <f t="shared" ca="1" si="9"/>
        <v>0</v>
      </c>
      <c r="DT67" s="182">
        <f t="shared" ca="1" si="10"/>
        <v>0</v>
      </c>
      <c r="DU67" s="182"/>
      <c r="DV67" s="182"/>
      <c r="DW67" s="182"/>
    </row>
    <row r="68" spans="2:127" ht="12" customHeight="1" thickBot="1">
      <c r="B68" s="164">
        <f>B58+2</f>
        <v>13</v>
      </c>
      <c r="C68" s="165" t="s">
        <v>38</v>
      </c>
      <c r="D68" s="205">
        <v>1</v>
      </c>
      <c r="E68" s="204"/>
      <c r="F68" s="203">
        <v>2</v>
      </c>
      <c r="G68" s="204"/>
      <c r="H68" s="203">
        <v>3</v>
      </c>
      <c r="I68" s="204"/>
      <c r="J68" s="203">
        <v>4</v>
      </c>
      <c r="K68" s="204"/>
      <c r="L68" s="203">
        <v>5</v>
      </c>
      <c r="M68" s="204"/>
      <c r="N68" s="200">
        <v>6</v>
      </c>
      <c r="O68" s="201"/>
      <c r="P68" s="200">
        <v>7</v>
      </c>
      <c r="Q68" s="201"/>
      <c r="R68" s="200">
        <v>8</v>
      </c>
      <c r="S68" s="202"/>
      <c r="T68" s="178" t="s">
        <v>88</v>
      </c>
      <c r="U68" s="178" t="s">
        <v>89</v>
      </c>
      <c r="V68" s="198" t="s">
        <v>5</v>
      </c>
      <c r="W68" s="198"/>
      <c r="X68" s="141" t="s">
        <v>6</v>
      </c>
      <c r="Y68" s="142"/>
      <c r="Z68" s="164">
        <f>Z58+2</f>
        <v>14</v>
      </c>
      <c r="AA68" s="165" t="s">
        <v>38</v>
      </c>
      <c r="AB68" s="205">
        <v>1</v>
      </c>
      <c r="AC68" s="204"/>
      <c r="AD68" s="203">
        <v>2</v>
      </c>
      <c r="AE68" s="204"/>
      <c r="AF68" s="203">
        <v>3</v>
      </c>
      <c r="AG68" s="204"/>
      <c r="AH68" s="203">
        <v>4</v>
      </c>
      <c r="AI68" s="204"/>
      <c r="AJ68" s="203">
        <v>5</v>
      </c>
      <c r="AK68" s="204"/>
      <c r="AL68" s="200">
        <v>6</v>
      </c>
      <c r="AM68" s="201"/>
      <c r="AN68" s="200">
        <v>7</v>
      </c>
      <c r="AO68" s="201"/>
      <c r="AP68" s="200">
        <v>8</v>
      </c>
      <c r="AQ68" s="202"/>
      <c r="AR68" s="178" t="s">
        <v>88</v>
      </c>
      <c r="AS68" s="178" t="s">
        <v>89</v>
      </c>
      <c r="AT68" s="198" t="s">
        <v>5</v>
      </c>
      <c r="AU68" s="198"/>
      <c r="AV68" s="141" t="s">
        <v>6</v>
      </c>
      <c r="AW68" s="142"/>
      <c r="AX68" s="143" t="s">
        <v>7</v>
      </c>
      <c r="AY68" s="143" t="s">
        <v>8</v>
      </c>
      <c r="AZ68" s="143" t="s">
        <v>9</v>
      </c>
      <c r="BA68" s="144">
        <v>1</v>
      </c>
      <c r="BB68" s="144">
        <v>2</v>
      </c>
      <c r="BC68" s="144">
        <v>3</v>
      </c>
      <c r="BD68" s="144">
        <v>4</v>
      </c>
      <c r="BE68" s="144">
        <v>5</v>
      </c>
      <c r="BF68" s="144">
        <v>6</v>
      </c>
      <c r="BG68" s="144">
        <v>7</v>
      </c>
      <c r="BH68" s="144">
        <v>8</v>
      </c>
      <c r="BI68" s="145">
        <v>1</v>
      </c>
      <c r="BJ68" s="145">
        <v>2</v>
      </c>
      <c r="BK68" s="145">
        <v>3</v>
      </c>
      <c r="BL68" s="145">
        <v>4</v>
      </c>
      <c r="BM68" s="145">
        <v>5</v>
      </c>
      <c r="BN68" s="145">
        <v>6</v>
      </c>
      <c r="BO68" s="145">
        <v>7</v>
      </c>
      <c r="BP68" s="145">
        <v>8</v>
      </c>
      <c r="BQ68" s="144">
        <v>1</v>
      </c>
      <c r="BR68" s="144">
        <v>2</v>
      </c>
      <c r="BS68" s="144">
        <v>3</v>
      </c>
      <c r="BT68" s="144">
        <v>4</v>
      </c>
      <c r="BU68" s="144">
        <v>5</v>
      </c>
      <c r="BV68" s="144">
        <v>6</v>
      </c>
      <c r="BW68" s="144">
        <v>7</v>
      </c>
      <c r="BX68" s="144">
        <v>8</v>
      </c>
      <c r="BY68" s="146"/>
      <c r="CA68" s="143" t="s">
        <v>7</v>
      </c>
      <c r="CB68" s="143" t="s">
        <v>8</v>
      </c>
      <c r="CC68" s="143" t="s">
        <v>9</v>
      </c>
      <c r="CD68" s="144">
        <v>1</v>
      </c>
      <c r="CE68" s="144">
        <v>2</v>
      </c>
      <c r="CF68" s="144">
        <v>3</v>
      </c>
      <c r="CG68" s="144">
        <v>4</v>
      </c>
      <c r="CH68" s="144">
        <v>5</v>
      </c>
      <c r="CI68" s="144">
        <v>6</v>
      </c>
      <c r="CJ68" s="144">
        <v>7</v>
      </c>
      <c r="CK68" s="144">
        <v>8</v>
      </c>
      <c r="CL68" s="145">
        <v>1</v>
      </c>
      <c r="CM68" s="145">
        <v>2</v>
      </c>
      <c r="CN68" s="145">
        <v>3</v>
      </c>
      <c r="CO68" s="145">
        <v>4</v>
      </c>
      <c r="CP68" s="145">
        <v>5</v>
      </c>
      <c r="CQ68" s="145">
        <v>6</v>
      </c>
      <c r="CR68" s="145">
        <v>7</v>
      </c>
      <c r="CS68" s="145">
        <v>8</v>
      </c>
      <c r="CT68" s="144">
        <v>1</v>
      </c>
      <c r="CU68" s="144">
        <v>2</v>
      </c>
      <c r="CV68" s="144">
        <v>3</v>
      </c>
      <c r="CW68" s="144">
        <v>4</v>
      </c>
      <c r="CX68" s="144">
        <v>5</v>
      </c>
      <c r="CY68" s="144">
        <v>6</v>
      </c>
      <c r="CZ68" s="144">
        <v>7</v>
      </c>
      <c r="DA68" s="144">
        <v>8</v>
      </c>
      <c r="DB68" s="146"/>
      <c r="DG68" s="123">
        <v>1</v>
      </c>
      <c r="DH68" s="123">
        <v>6</v>
      </c>
      <c r="DI68" s="123">
        <f t="shared" si="94"/>
        <v>3</v>
      </c>
      <c r="DJ68" s="36" t="str">
        <f ca="1">OFFSET(gr_header,DG68+DE64,1+DF64)</f>
        <v/>
      </c>
      <c r="DK68" s="36" t="str">
        <f ca="1">OFFSET(gr_header,DH68+DE64,1+DF64)</f>
        <v/>
      </c>
      <c r="DL68" s="123">
        <f ca="1">OFFSET(gr_header,DG68+DE64,2*DH68+DF64)</f>
        <v>0</v>
      </c>
      <c r="DM68" s="123">
        <f ca="1">OFFSET(gr_header,DG68+DE64,2*DH68+1+DF64)</f>
        <v>0</v>
      </c>
      <c r="DN68" s="34"/>
      <c r="DO68" s="183">
        <f t="shared" ca="1" si="5"/>
        <v>0</v>
      </c>
      <c r="DP68" s="183">
        <f t="shared" ca="1" si="6"/>
        <v>0</v>
      </c>
      <c r="DQ68" s="183">
        <f t="shared" ca="1" si="7"/>
        <v>0</v>
      </c>
      <c r="DR68" s="183">
        <f t="shared" ca="1" si="8"/>
        <v>0</v>
      </c>
      <c r="DS68" s="182">
        <f t="shared" ca="1" si="9"/>
        <v>0</v>
      </c>
      <c r="DT68" s="182">
        <f t="shared" ca="1" si="10"/>
        <v>0</v>
      </c>
      <c r="DU68" s="182"/>
      <c r="DV68" s="182"/>
      <c r="DW68" s="182"/>
    </row>
    <row r="69" spans="2:127" ht="14.25" thickBot="1">
      <c r="B69" s="166">
        <v>1</v>
      </c>
      <c r="C69" s="167" t="str">
        <f ca="1">OFFSET(gr_anchor,B69,B68)</f>
        <v/>
      </c>
      <c r="D69" s="117"/>
      <c r="E69" s="118"/>
      <c r="F69" s="115"/>
      <c r="G69" s="116"/>
      <c r="H69" s="115"/>
      <c r="I69" s="116"/>
      <c r="J69" s="115"/>
      <c r="K69" s="116"/>
      <c r="L69" s="115"/>
      <c r="M69" s="116"/>
      <c r="N69" s="150"/>
      <c r="O69" s="150"/>
      <c r="P69" s="150"/>
      <c r="Q69" s="150"/>
      <c r="R69" s="150"/>
      <c r="S69" s="174"/>
      <c r="T69" s="177">
        <f ca="1">COUNTIF(OFFSET(E69,0,(B69-1)*2,8),3)*2+COUNTIF(OFFSET(D69,0,(B69-1)*2,8),3)</f>
        <v>0</v>
      </c>
      <c r="U69" s="177">
        <f ca="1">RANK(AZ69,AZ69:AZ76)*AY69</f>
        <v>0</v>
      </c>
      <c r="V69" s="175">
        <f ca="1">SUMPRODUCT(BA69:BH69,BI69:BP69)</f>
        <v>0</v>
      </c>
      <c r="W69" s="151">
        <f ca="1">SUMPRODUCT(BA69:BH69,BQ69:BX69)</f>
        <v>0</v>
      </c>
      <c r="X69" s="152" t="str">
        <f t="shared" ref="X69:X76" ca="1" si="95">IF(BY69=2,IF(W69=0,3,V69/W69),IF(V69=0,"",V69/W69))</f>
        <v/>
      </c>
      <c r="Y69" s="153"/>
      <c r="Z69" s="166">
        <v>1</v>
      </c>
      <c r="AA69" s="167" t="str">
        <f ca="1">OFFSET(gr_anchor,Z69,Z68)</f>
        <v/>
      </c>
      <c r="AB69" s="117"/>
      <c r="AC69" s="118"/>
      <c r="AD69" s="115"/>
      <c r="AE69" s="116"/>
      <c r="AF69" s="115"/>
      <c r="AG69" s="116"/>
      <c r="AH69" s="115"/>
      <c r="AI69" s="116"/>
      <c r="AJ69" s="115"/>
      <c r="AK69" s="116"/>
      <c r="AL69" s="150"/>
      <c r="AM69" s="150"/>
      <c r="AN69" s="150"/>
      <c r="AO69" s="150"/>
      <c r="AP69" s="150"/>
      <c r="AQ69" s="174"/>
      <c r="AR69" s="177">
        <f ca="1">COUNTIF(OFFSET(AC69,0,(Z69-1)*2,8),3)*2+COUNTIF(OFFSET(AB69,0,(Z69-1)*2,8),3)</f>
        <v>0</v>
      </c>
      <c r="AS69" s="177">
        <f ca="1">RANK(CC69,CC69:CC76)*CB69</f>
        <v>0</v>
      </c>
      <c r="AT69" s="175">
        <f ca="1">SUMPRODUCT(CD69:CK69,CL69:CS69)</f>
        <v>0</v>
      </c>
      <c r="AU69" s="151">
        <f ca="1">SUMPRODUCT(CD69:CK69,CT69:DA69)</f>
        <v>0</v>
      </c>
      <c r="AV69" s="152" t="str">
        <f ca="1">IF(DB69=2,IF(AU69=0,3,AT69/AU69),IF(AT69=0,"",AT69/AU69))</f>
        <v/>
      </c>
      <c r="AW69" s="153"/>
      <c r="AX69" s="156">
        <f ca="1">COUNTA(C69:C76)-COUNTBLANK(C69:C76)</f>
        <v>0</v>
      </c>
      <c r="AY69" s="156">
        <f t="shared" ref="AY69:AY76" ca="1" si="96">IF(AX69&lt;B69,0,1)</f>
        <v>0</v>
      </c>
      <c r="AZ69" s="157">
        <f ca="1">T69+IF(X69="",0,X69/100)</f>
        <v>0</v>
      </c>
      <c r="BA69" s="156">
        <f ca="1">IF(T69=OFFSET(T68,BA68,0),1,0)</f>
        <v>1</v>
      </c>
      <c r="BB69" s="156">
        <f ca="1">IF(T69=OFFSET(T68,BB68,0),1,0)</f>
        <v>1</v>
      </c>
      <c r="BC69" s="156">
        <f ca="1">IF(T69=OFFSET(T68,BC68,0),1,0)</f>
        <v>1</v>
      </c>
      <c r="BD69" s="156">
        <f ca="1">IF(T69=OFFSET(T68,BD68,0),1,0)</f>
        <v>1</v>
      </c>
      <c r="BE69" s="156">
        <f ca="1">IF(T69=OFFSET(T68,BE68,0),1,0)</f>
        <v>1</v>
      </c>
      <c r="BF69" s="156">
        <f ca="1">IF(T69=OFFSET(T68,BF68,0),1,0)</f>
        <v>1</v>
      </c>
      <c r="BG69" s="156">
        <f ca="1">IF(T69=OFFSET(T68,BG68,0),1,0)</f>
        <v>1</v>
      </c>
      <c r="BH69" s="156">
        <f ca="1">IF(T69=OFFSET(T68,BH68,0),1,0)</f>
        <v>1</v>
      </c>
      <c r="BI69" s="156">
        <f ca="1">OFFSET(C69,0,1+(BI68-1)*2)</f>
        <v>0</v>
      </c>
      <c r="BJ69" s="156">
        <f ca="1">OFFSET(C69,0,1+(BJ68-1)*2)</f>
        <v>0</v>
      </c>
      <c r="BK69" s="156">
        <f ca="1">OFFSET(C69,0,1+(BK68-1)*2)</f>
        <v>0</v>
      </c>
      <c r="BL69" s="156">
        <f ca="1">OFFSET(C69,0,1+(BL68-1)*2)</f>
        <v>0</v>
      </c>
      <c r="BM69" s="156">
        <f ca="1">OFFSET(C69,0,1+(BM68-1)*2)</f>
        <v>0</v>
      </c>
      <c r="BN69" s="156">
        <f ca="1">OFFSET(C69,0,1+(BN68-1)*2)</f>
        <v>0</v>
      </c>
      <c r="BO69" s="156">
        <f ca="1">OFFSET(C69,0,1+(BO68-1)*2)</f>
        <v>0</v>
      </c>
      <c r="BP69" s="156">
        <f ca="1">OFFSET(C69,0,1+(BP68-1)*2)</f>
        <v>0</v>
      </c>
      <c r="BQ69" s="156">
        <f t="shared" ref="BQ69:BX69" ca="1" si="97">OFFSET($C69,0,2+(BQ$8-1)*2)</f>
        <v>0</v>
      </c>
      <c r="BR69" s="156">
        <f t="shared" ca="1" si="97"/>
        <v>0</v>
      </c>
      <c r="BS69" s="156">
        <f t="shared" ca="1" si="97"/>
        <v>0</v>
      </c>
      <c r="BT69" s="156">
        <f t="shared" ca="1" si="97"/>
        <v>0</v>
      </c>
      <c r="BU69" s="156">
        <f t="shared" ca="1" si="97"/>
        <v>0</v>
      </c>
      <c r="BV69" s="156">
        <f t="shared" ca="1" si="97"/>
        <v>0</v>
      </c>
      <c r="BW69" s="156">
        <f t="shared" ca="1" si="97"/>
        <v>0</v>
      </c>
      <c r="BX69" s="156">
        <f t="shared" ca="1" si="97"/>
        <v>0</v>
      </c>
      <c r="BY69" s="156">
        <f ca="1">SUM(BA69:BH69)</f>
        <v>8</v>
      </c>
      <c r="CA69" s="156">
        <f ca="1">COUNTA(AA69:AA76)-COUNTBLANK(AA69:AA76)</f>
        <v>0</v>
      </c>
      <c r="CB69" s="156">
        <f ca="1">IF(CA69&lt;Z69,0,1)</f>
        <v>0</v>
      </c>
      <c r="CC69" s="157">
        <f ca="1">AR69+IF(AV69="",0,AV69/100)</f>
        <v>0</v>
      </c>
      <c r="CD69" s="156">
        <f ca="1">IF(AR69=OFFSET(AR68,CD68,0),1,0)</f>
        <v>1</v>
      </c>
      <c r="CE69" s="156">
        <f ca="1">IF(AR69=OFFSET(AR68,CE68,0),1,0)</f>
        <v>1</v>
      </c>
      <c r="CF69" s="156">
        <f ca="1">IF(AR69=OFFSET(AR68,CF68,0),1,0)</f>
        <v>1</v>
      </c>
      <c r="CG69" s="156">
        <f ca="1">IF(AR69=OFFSET(AR68,CG68,0),1,0)</f>
        <v>1</v>
      </c>
      <c r="CH69" s="156">
        <f ca="1">IF(AR69=OFFSET(AR68,CH68,0),1,0)</f>
        <v>1</v>
      </c>
      <c r="CI69" s="156">
        <f ca="1">IF(AR69=OFFSET(AR68,CI68,0),1,0)</f>
        <v>1</v>
      </c>
      <c r="CJ69" s="156">
        <f ca="1">IF(AR69=OFFSET(AR68,CJ68,0),1,0)</f>
        <v>1</v>
      </c>
      <c r="CK69" s="156">
        <f ca="1">IF(AR69=OFFSET(AR68,CK68,0),1,0)</f>
        <v>1</v>
      </c>
      <c r="CL69" s="156">
        <f ca="1">OFFSET(AA69,0,1+(CL68-1)*2)</f>
        <v>0</v>
      </c>
      <c r="CM69" s="156">
        <f ca="1">OFFSET(AA69,0,1+(CM68-1)*2)</f>
        <v>0</v>
      </c>
      <c r="CN69" s="156">
        <f ca="1">OFFSET(AA69,0,1+(CN68-1)*2)</f>
        <v>0</v>
      </c>
      <c r="CO69" s="156">
        <f ca="1">OFFSET(AA69,0,1+(CO68-1)*2)</f>
        <v>0</v>
      </c>
      <c r="CP69" s="156">
        <f ca="1">OFFSET(AA69,0,1+(CP68-1)*2)</f>
        <v>0</v>
      </c>
      <c r="CQ69" s="156">
        <f ca="1">OFFSET(AA69,0,1+(CQ68-1)*2)</f>
        <v>0</v>
      </c>
      <c r="CR69" s="156">
        <f ca="1">OFFSET(AA69,0,1+(CR68-1)*2)</f>
        <v>0</v>
      </c>
      <c r="CS69" s="156">
        <f ca="1">OFFSET(AA69,0,1+(CS68-1)*2)</f>
        <v>0</v>
      </c>
      <c r="CT69" s="156">
        <f ca="1">OFFSET(AA69,0,2+(CT68-1)*2)</f>
        <v>0</v>
      </c>
      <c r="CU69" s="156">
        <f ca="1">OFFSET(AA69,0,2+(CU68-1)*2)</f>
        <v>0</v>
      </c>
      <c r="CV69" s="156">
        <f ca="1">OFFSET(AA69,0,2+(CV68-1)*2)</f>
        <v>0</v>
      </c>
      <c r="CW69" s="156">
        <f ca="1">OFFSET(AA69,0,2+(CW68-1)*2)</f>
        <v>0</v>
      </c>
      <c r="CX69" s="156">
        <f ca="1">OFFSET(AA69,0,2+(CX68-1)*2)</f>
        <v>0</v>
      </c>
      <c r="CY69" s="156">
        <f ca="1">OFFSET(AA69,0,2+(CY68-1)*2)</f>
        <v>0</v>
      </c>
      <c r="CZ69" s="156">
        <f ca="1">OFFSET(AA69,0,2+(CZ68-1)*2)</f>
        <v>0</v>
      </c>
      <c r="DA69" s="156">
        <f ca="1">OFFSET(AA69,0,2+(DA68-1)*2)</f>
        <v>0</v>
      </c>
      <c r="DB69" s="156">
        <f ca="1">SUM(CD69:CK69)</f>
        <v>8</v>
      </c>
      <c r="DG69" s="123">
        <v>1</v>
      </c>
      <c r="DH69" s="123">
        <v>7</v>
      </c>
      <c r="DI69" s="123">
        <f t="shared" si="94"/>
        <v>3</v>
      </c>
      <c r="DJ69" s="36" t="str">
        <f ca="1">OFFSET(gr_header,DG69+DE64,1+DF64)</f>
        <v/>
      </c>
      <c r="DK69" s="36" t="str">
        <f ca="1">OFFSET(gr_header,DH69+DE64,1+DF64)</f>
        <v/>
      </c>
      <c r="DL69" s="123">
        <f ca="1">OFFSET(gr_header,DG69+DE64,2*DH69+DF64)</f>
        <v>0</v>
      </c>
      <c r="DM69" s="123">
        <f ca="1">OFFSET(gr_header,DG69+DE64,2*DH69+1+DF64)</f>
        <v>0</v>
      </c>
      <c r="DN69" s="34"/>
      <c r="DO69" s="183">
        <f t="shared" ca="1" si="5"/>
        <v>0</v>
      </c>
      <c r="DP69" s="183">
        <f t="shared" ca="1" si="6"/>
        <v>0</v>
      </c>
      <c r="DQ69" s="183">
        <f t="shared" ca="1" si="7"/>
        <v>0</v>
      </c>
      <c r="DR69" s="183">
        <f t="shared" ca="1" si="8"/>
        <v>0</v>
      </c>
      <c r="DS69" s="182">
        <f t="shared" ca="1" si="9"/>
        <v>0</v>
      </c>
      <c r="DT69" s="182">
        <f t="shared" ca="1" si="10"/>
        <v>0</v>
      </c>
      <c r="DU69" s="182"/>
      <c r="DV69" s="182"/>
      <c r="DW69" s="182"/>
    </row>
    <row r="70" spans="2:127" ht="14.25" thickBot="1">
      <c r="B70" s="168">
        <v>2</v>
      </c>
      <c r="C70" s="169" t="str">
        <f ca="1">OFFSET(gr_anchor,B70,B68)</f>
        <v/>
      </c>
      <c r="D70" s="210" t="str">
        <f ca="1">IF(OFFSET(D69,D68-1,1+(B70-1)*2)="","",OFFSET(D69,D68-1,1+(B70-1)*2))</f>
        <v/>
      </c>
      <c r="E70" s="211" t="str">
        <f ca="1">IF(OFFSET(D69,D68-1,(B70-1)*2)="","",OFFSET(D69,D68-1,(B70-1)*2))</f>
        <v/>
      </c>
      <c r="F70" s="117"/>
      <c r="G70" s="118"/>
      <c r="H70" s="119"/>
      <c r="I70" s="120"/>
      <c r="J70" s="119"/>
      <c r="K70" s="120"/>
      <c r="L70" s="119"/>
      <c r="M70" s="120"/>
      <c r="N70" s="150"/>
      <c r="O70" s="150"/>
      <c r="P70" s="150"/>
      <c r="Q70" s="150"/>
      <c r="R70" s="150"/>
      <c r="S70" s="174"/>
      <c r="T70" s="177">
        <f ca="1">COUNTIF(OFFSET(E69,0,(B70-1)*2,8),3)*2+COUNTIF(OFFSET(D69,0,(B70-1)*2,8),3)</f>
        <v>0</v>
      </c>
      <c r="U70" s="177">
        <f ca="1">RANK(AZ70,AZ69:AZ76)*AY70</f>
        <v>0</v>
      </c>
      <c r="V70" s="175">
        <f t="shared" ref="V70:V76" ca="1" si="98">SUMPRODUCT(BA70:BH70,BI70:BP70)</f>
        <v>0</v>
      </c>
      <c r="W70" s="151">
        <f t="shared" ref="W70:W76" ca="1" si="99">SUMPRODUCT(BA70:BH70,BQ70:BX70)</f>
        <v>0</v>
      </c>
      <c r="X70" s="152" t="str">
        <f t="shared" ca="1" si="95"/>
        <v/>
      </c>
      <c r="Y70" s="153"/>
      <c r="Z70" s="168">
        <v>2</v>
      </c>
      <c r="AA70" s="169" t="str">
        <f ca="1">OFFSET(gr_anchor,Z70,Z68)</f>
        <v/>
      </c>
      <c r="AB70" s="210" t="str">
        <f ca="1">IF(OFFSET(AB69,AB68-1,1+(Z70-1)*2)="","",OFFSET(AB69,AB68-1,1+(Z70-1)*2))</f>
        <v/>
      </c>
      <c r="AC70" s="211" t="str">
        <f ca="1">IF(OFFSET(AB69,AB68-1,(Z70-1)*2)="","",OFFSET(AB69,AB68-1,(Z70-1)*2))</f>
        <v/>
      </c>
      <c r="AD70" s="117"/>
      <c r="AE70" s="118"/>
      <c r="AF70" s="119"/>
      <c r="AG70" s="120"/>
      <c r="AH70" s="119"/>
      <c r="AI70" s="120"/>
      <c r="AJ70" s="119"/>
      <c r="AK70" s="120"/>
      <c r="AL70" s="150"/>
      <c r="AM70" s="150"/>
      <c r="AN70" s="150"/>
      <c r="AO70" s="150"/>
      <c r="AP70" s="150"/>
      <c r="AQ70" s="174"/>
      <c r="AR70" s="177">
        <f ca="1">COUNTIF(OFFSET(AC69,0,(Z70-1)*2,8),3)*2+COUNTIF(OFFSET(AB69,0,(Z70-1)*2,8),3)</f>
        <v>0</v>
      </c>
      <c r="AS70" s="177">
        <f ca="1">RANK(CC70,CC69:CC76)*CB70</f>
        <v>0</v>
      </c>
      <c r="AT70" s="175">
        <f t="shared" ref="AT70:AT76" ca="1" si="100">SUMPRODUCT(CD70:CK70,CL70:CS70)</f>
        <v>0</v>
      </c>
      <c r="AU70" s="151">
        <f t="shared" ref="AU70:AU76" ca="1" si="101">SUMPRODUCT(CD70:CK70,CT70:DA70)</f>
        <v>0</v>
      </c>
      <c r="AV70" s="152" t="str">
        <f t="shared" ref="AV70:AV76" ca="1" si="102">IF(DB70=2,IF(AU70=0,3,AT70/AU70),IF(AT70=0,"",AT70/AU70))</f>
        <v/>
      </c>
      <c r="AW70" s="153"/>
      <c r="AX70" s="156">
        <f ca="1">COUNTA(C69:C76)-COUNTBLANK(C69:C76)</f>
        <v>0</v>
      </c>
      <c r="AY70" s="156">
        <f t="shared" ca="1" si="96"/>
        <v>0</v>
      </c>
      <c r="AZ70" s="157">
        <f t="shared" ref="AZ70:AZ76" ca="1" si="103">T70+IF(X70="",0,X70/100)</f>
        <v>0</v>
      </c>
      <c r="BA70" s="156">
        <f ca="1">IF(T70=OFFSET(T68,BA68,0),1,0)</f>
        <v>1</v>
      </c>
      <c r="BB70" s="156">
        <f ca="1">IF(T70=OFFSET(T68,BB68,0),1,0)</f>
        <v>1</v>
      </c>
      <c r="BC70" s="156">
        <f ca="1">IF(T70=OFFSET(T68,BC68,0),1,0)</f>
        <v>1</v>
      </c>
      <c r="BD70" s="156">
        <f ca="1">IF(T70=OFFSET(T68,BD68,0),1,0)</f>
        <v>1</v>
      </c>
      <c r="BE70" s="156">
        <f ca="1">IF(T70=OFFSET(T68,BE68,0),1,0)</f>
        <v>1</v>
      </c>
      <c r="BF70" s="156">
        <f ca="1">IF(T70=OFFSET(T68,BF68,0),1,0)</f>
        <v>1</v>
      </c>
      <c r="BG70" s="156">
        <f ca="1">IF(T70=OFFSET(T68,BG68,0),1,0)</f>
        <v>1</v>
      </c>
      <c r="BH70" s="156">
        <f ca="1">IF(T70=OFFSET(T68,BH68,0),1,0)</f>
        <v>1</v>
      </c>
      <c r="BI70" s="156" t="str">
        <f ca="1">OFFSET(C70,0,1+(BI68-1)*2)</f>
        <v/>
      </c>
      <c r="BJ70" s="156">
        <f ca="1">OFFSET(C70,0,1+(BJ68-1)*2)</f>
        <v>0</v>
      </c>
      <c r="BK70" s="156">
        <f ca="1">OFFSET(C70,0,1+(BK68-1)*2)</f>
        <v>0</v>
      </c>
      <c r="BL70" s="156">
        <f ca="1">OFFSET(C70,0,1+(BL68-1)*2)</f>
        <v>0</v>
      </c>
      <c r="BM70" s="156">
        <f ca="1">OFFSET(C70,0,1+(BM68-1)*2)</f>
        <v>0</v>
      </c>
      <c r="BN70" s="156">
        <f ca="1">OFFSET(C70,0,1+(BN68-1)*2)</f>
        <v>0</v>
      </c>
      <c r="BO70" s="156">
        <f ca="1">OFFSET(C70,0,1+(BO68-1)*2)</f>
        <v>0</v>
      </c>
      <c r="BP70" s="156">
        <f ca="1">OFFSET(C70,0,1+(BP68-1)*2)</f>
        <v>0</v>
      </c>
      <c r="BQ70" s="156" t="str">
        <f t="shared" ref="BQ70:BX76" ca="1" si="104">OFFSET($C70,0,2+(BQ$8-1)*2)</f>
        <v/>
      </c>
      <c r="BR70" s="156">
        <f t="shared" ca="1" si="104"/>
        <v>0</v>
      </c>
      <c r="BS70" s="156">
        <f t="shared" ca="1" si="104"/>
        <v>0</v>
      </c>
      <c r="BT70" s="156">
        <f t="shared" ca="1" si="104"/>
        <v>0</v>
      </c>
      <c r="BU70" s="156">
        <f t="shared" ca="1" si="104"/>
        <v>0</v>
      </c>
      <c r="BV70" s="156">
        <f t="shared" ca="1" si="104"/>
        <v>0</v>
      </c>
      <c r="BW70" s="156">
        <f t="shared" ca="1" si="104"/>
        <v>0</v>
      </c>
      <c r="BX70" s="156">
        <f t="shared" ca="1" si="104"/>
        <v>0</v>
      </c>
      <c r="BY70" s="156">
        <f t="shared" ref="BY70:BY76" ca="1" si="105">SUM(BA70:BH70)</f>
        <v>8</v>
      </c>
      <c r="CA70" s="156">
        <f ca="1">COUNTA(AA69:AA76)-COUNTBLANK(AA69:AA76)</f>
        <v>0</v>
      </c>
      <c r="CB70" s="156">
        <f t="shared" ref="CB70:CB76" ca="1" si="106">IF(CA70&lt;Z70,0,1)</f>
        <v>0</v>
      </c>
      <c r="CC70" s="157">
        <f t="shared" ref="CC70:CC76" ca="1" si="107">AR70+IF(AV70="",0,AV70/100)</f>
        <v>0</v>
      </c>
      <c r="CD70" s="156">
        <f ca="1">IF(AR70=OFFSET(AR68,CD68,0),1,0)</f>
        <v>1</v>
      </c>
      <c r="CE70" s="156">
        <f ca="1">IF(AR70=OFFSET(AR68,CE68,0),1,0)</f>
        <v>1</v>
      </c>
      <c r="CF70" s="156">
        <f ca="1">IF(AR70=OFFSET(AR68,CF68,0),1,0)</f>
        <v>1</v>
      </c>
      <c r="CG70" s="156">
        <f ca="1">IF(AR70=OFFSET(AR68,CG68,0),1,0)</f>
        <v>1</v>
      </c>
      <c r="CH70" s="156">
        <f ca="1">IF(AR70=OFFSET(AR68,CH68,0),1,0)</f>
        <v>1</v>
      </c>
      <c r="CI70" s="156">
        <f ca="1">IF(AR70=OFFSET(AR68,CI68,0),1,0)</f>
        <v>1</v>
      </c>
      <c r="CJ70" s="156">
        <f ca="1">IF(AR70=OFFSET(AR68,CJ68,0),1,0)</f>
        <v>1</v>
      </c>
      <c r="CK70" s="156">
        <f ca="1">IF(AR70=OFFSET(AR68,CK68,0),1,0)</f>
        <v>1</v>
      </c>
      <c r="CL70" s="156" t="str">
        <f ca="1">OFFSET(AA70,0,1+(CL68-1)*2)</f>
        <v/>
      </c>
      <c r="CM70" s="156">
        <f ca="1">OFFSET(AA70,0,1+(CM68-1)*2)</f>
        <v>0</v>
      </c>
      <c r="CN70" s="156">
        <f ca="1">OFFSET(AA70,0,1+(CN68-1)*2)</f>
        <v>0</v>
      </c>
      <c r="CO70" s="156">
        <f ca="1">OFFSET(AA70,0,1+(CO68-1)*2)</f>
        <v>0</v>
      </c>
      <c r="CP70" s="156">
        <f ca="1">OFFSET(AA70,0,1+(CP68-1)*2)</f>
        <v>0</v>
      </c>
      <c r="CQ70" s="156">
        <f ca="1">OFFSET(AA70,0,1+(CQ68-1)*2)</f>
        <v>0</v>
      </c>
      <c r="CR70" s="156">
        <f ca="1">OFFSET(AA70,0,1+(CR68-1)*2)</f>
        <v>0</v>
      </c>
      <c r="CS70" s="156">
        <f ca="1">OFFSET(AA70,0,1+(CS68-1)*2)</f>
        <v>0</v>
      </c>
      <c r="CT70" s="156" t="str">
        <f ca="1">OFFSET(AA70,0,2+(CT68-1)*2)</f>
        <v/>
      </c>
      <c r="CU70" s="156">
        <f ca="1">OFFSET(AA70,0,2+(CU68-1)*2)</f>
        <v>0</v>
      </c>
      <c r="CV70" s="156">
        <f ca="1">OFFSET(AA70,0,2+(CV68-1)*2)</f>
        <v>0</v>
      </c>
      <c r="CW70" s="156">
        <f ca="1">OFFSET(AA70,0,2+(CW68-1)*2)</f>
        <v>0</v>
      </c>
      <c r="CX70" s="156">
        <f ca="1">OFFSET(AA70,0,2+(CX68-1)*2)</f>
        <v>0</v>
      </c>
      <c r="CY70" s="156">
        <f ca="1">OFFSET(AA70,0,2+(CY68-1)*2)</f>
        <v>0</v>
      </c>
      <c r="CZ70" s="156">
        <f ca="1">OFFSET(AA70,0,2+(CZ68-1)*2)</f>
        <v>0</v>
      </c>
      <c r="DA70" s="156">
        <f ca="1">OFFSET(AA70,0,2+(DA68-1)*2)</f>
        <v>0</v>
      </c>
      <c r="DB70" s="156">
        <f t="shared" ref="DB70:DB76" ca="1" si="108">SUM(CD70:CK70)</f>
        <v>8</v>
      </c>
      <c r="DE70" s="159"/>
      <c r="DF70" s="159"/>
      <c r="DG70" s="159">
        <v>1</v>
      </c>
      <c r="DH70" s="123">
        <v>8</v>
      </c>
      <c r="DI70" s="123">
        <f t="shared" si="94"/>
        <v>3</v>
      </c>
      <c r="DJ70" s="36" t="str">
        <f ca="1">OFFSET(gr_header,DG70+DE64,1+DF64)</f>
        <v/>
      </c>
      <c r="DK70" s="36" t="str">
        <f ca="1">OFFSET(gr_header,DH70+DE64,1+DF64)</f>
        <v/>
      </c>
      <c r="DL70" s="123">
        <f ca="1">OFFSET(gr_header,DG70+DE64,2*DH70+DF64)</f>
        <v>0</v>
      </c>
      <c r="DM70" s="123">
        <f ca="1">OFFSET(gr_header,DG70+DE64,2*DH70+1+DF64)</f>
        <v>0</v>
      </c>
      <c r="DN70" s="34"/>
      <c r="DO70" s="183">
        <f t="shared" ca="1" si="5"/>
        <v>0</v>
      </c>
      <c r="DP70" s="183">
        <f t="shared" ca="1" si="6"/>
        <v>0</v>
      </c>
      <c r="DQ70" s="183">
        <f t="shared" ca="1" si="7"/>
        <v>0</v>
      </c>
      <c r="DR70" s="183">
        <f t="shared" ca="1" si="8"/>
        <v>0</v>
      </c>
      <c r="DS70" s="182">
        <f t="shared" ca="1" si="9"/>
        <v>0</v>
      </c>
      <c r="DT70" s="182">
        <f t="shared" ca="1" si="10"/>
        <v>0</v>
      </c>
      <c r="DU70" s="182"/>
      <c r="DV70" s="182"/>
      <c r="DW70" s="182"/>
    </row>
    <row r="71" spans="2:127" ht="14.25" thickBot="1">
      <c r="B71" s="168">
        <v>3</v>
      </c>
      <c r="C71" s="169" t="str">
        <f ca="1">OFFSET(gr_anchor,B71,B68)</f>
        <v/>
      </c>
      <c r="D71" s="210" t="str">
        <f ca="1">IF(OFFSET(D69,D68-1,1+(B71-1)*2)="","",OFFSET(D69,D68-1,1+(B71-1)*2))</f>
        <v/>
      </c>
      <c r="E71" s="211" t="str">
        <f ca="1">IF(OFFSET(D69,D68-1,(B71-1)*2)="","",OFFSET(D69,D68-1,(B71-1)*2))</f>
        <v/>
      </c>
      <c r="F71" s="210" t="str">
        <f ca="1">IF(OFFSET(D69,F68-1,1+(B71-1)*2)="","",OFFSET(D69,F68-1,1+(B71-1)*2))</f>
        <v/>
      </c>
      <c r="G71" s="211" t="str">
        <f ca="1">IF(OFFSET(D69,F68-1,(B71-1)*2)="","",OFFSET(D69,F68-1,(B71-1)*2))</f>
        <v/>
      </c>
      <c r="H71" s="170"/>
      <c r="I71" s="118"/>
      <c r="J71" s="119"/>
      <c r="K71" s="120"/>
      <c r="L71" s="119"/>
      <c r="M71" s="120"/>
      <c r="N71" s="150"/>
      <c r="O71" s="150"/>
      <c r="P71" s="150"/>
      <c r="Q71" s="150"/>
      <c r="R71" s="150"/>
      <c r="S71" s="174"/>
      <c r="T71" s="177">
        <f ca="1">COUNTIF(OFFSET(E69,0,(B71-1)*2,8),3)*2+COUNTIF(OFFSET(D69,0,(B71-1)*2,8),3)</f>
        <v>0</v>
      </c>
      <c r="U71" s="177">
        <f ca="1">RANK(AZ71,AZ69:AZ76)*AY71</f>
        <v>0</v>
      </c>
      <c r="V71" s="175">
        <f t="shared" ca="1" si="98"/>
        <v>0</v>
      </c>
      <c r="W71" s="151">
        <f t="shared" ca="1" si="99"/>
        <v>0</v>
      </c>
      <c r="X71" s="152" t="str">
        <f t="shared" ca="1" si="95"/>
        <v/>
      </c>
      <c r="Y71" s="153"/>
      <c r="Z71" s="168">
        <v>3</v>
      </c>
      <c r="AA71" s="169" t="str">
        <f ca="1">OFFSET(gr_anchor,Z71,Z68)</f>
        <v/>
      </c>
      <c r="AB71" s="210" t="str">
        <f ca="1">IF(OFFSET(AB69,AB68-1,1+(Z71-1)*2)="","",OFFSET(AB69,AB68-1,1+(Z71-1)*2))</f>
        <v/>
      </c>
      <c r="AC71" s="211" t="str">
        <f ca="1">IF(OFFSET(AB69,AB68-1,(Z71-1)*2)="","",OFFSET(AB69,AB68-1,(Z71-1)*2))</f>
        <v/>
      </c>
      <c r="AD71" s="210" t="str">
        <f ca="1">IF(OFFSET(AB69,AD68-1,1+(Z71-1)*2)="","",OFFSET(AB69,AD68-1,1+(Z71-1)*2))</f>
        <v/>
      </c>
      <c r="AE71" s="211" t="str">
        <f ca="1">IF(OFFSET(AB69,AD68-1,(Z71-1)*2)="","",OFFSET(AB69,AD68-1,(Z71-1)*2))</f>
        <v/>
      </c>
      <c r="AF71" s="170"/>
      <c r="AG71" s="118"/>
      <c r="AH71" s="119"/>
      <c r="AI71" s="120"/>
      <c r="AJ71" s="119"/>
      <c r="AK71" s="120"/>
      <c r="AL71" s="150"/>
      <c r="AM71" s="150"/>
      <c r="AN71" s="150"/>
      <c r="AO71" s="150"/>
      <c r="AP71" s="150"/>
      <c r="AQ71" s="174"/>
      <c r="AR71" s="177">
        <f ca="1">COUNTIF(OFFSET(AC69,0,(Z71-1)*2,8),3)*2+COUNTIF(OFFSET(AB69,0,(Z71-1)*2,8),3)</f>
        <v>0</v>
      </c>
      <c r="AS71" s="177">
        <f ca="1">RANK(CC71,CC69:CC76)*CB71</f>
        <v>0</v>
      </c>
      <c r="AT71" s="175">
        <f t="shared" ca="1" si="100"/>
        <v>0</v>
      </c>
      <c r="AU71" s="151">
        <f t="shared" ca="1" si="101"/>
        <v>0</v>
      </c>
      <c r="AV71" s="152" t="str">
        <f t="shared" ca="1" si="102"/>
        <v/>
      </c>
      <c r="AW71" s="153"/>
      <c r="AX71" s="156">
        <f ca="1">COUNTA(C69:C76)-COUNTBLANK(C69:C76)</f>
        <v>0</v>
      </c>
      <c r="AY71" s="156">
        <f t="shared" ca="1" si="96"/>
        <v>0</v>
      </c>
      <c r="AZ71" s="157">
        <f t="shared" ca="1" si="103"/>
        <v>0</v>
      </c>
      <c r="BA71" s="156">
        <f ca="1">IF(T71=OFFSET(T68,BA68,0),1,0)</f>
        <v>1</v>
      </c>
      <c r="BB71" s="156">
        <f ca="1">IF(T71=OFFSET(T68,BB68,0),1,0)</f>
        <v>1</v>
      </c>
      <c r="BC71" s="156">
        <f ca="1">IF(T71=OFFSET(T68,BC68,0),1,0)</f>
        <v>1</v>
      </c>
      <c r="BD71" s="156">
        <f ca="1">IF(T71=OFFSET(T68,BD68,0),1,0)</f>
        <v>1</v>
      </c>
      <c r="BE71" s="156">
        <f ca="1">IF(T71=OFFSET(T68,BE68,0),1,0)</f>
        <v>1</v>
      </c>
      <c r="BF71" s="156">
        <f ca="1">IF(T71=OFFSET(T68,BF68,0),1,0)</f>
        <v>1</v>
      </c>
      <c r="BG71" s="156">
        <f ca="1">IF(T71=OFFSET(T68,BG68,0),1,0)</f>
        <v>1</v>
      </c>
      <c r="BH71" s="156">
        <f ca="1">IF(T71=OFFSET(T68,BH68,0),1,0)</f>
        <v>1</v>
      </c>
      <c r="BI71" s="156" t="str">
        <f ca="1">OFFSET(C71,0,1+(BI68-1)*2)</f>
        <v/>
      </c>
      <c r="BJ71" s="156" t="str">
        <f ca="1">OFFSET(C71,0,1+(BJ68-1)*2)</f>
        <v/>
      </c>
      <c r="BK71" s="156">
        <f ca="1">OFFSET(C71,0,1+(BK68-1)*2)</f>
        <v>0</v>
      </c>
      <c r="BL71" s="156">
        <f ca="1">OFFSET(C71,0,1+(BL68-1)*2)</f>
        <v>0</v>
      </c>
      <c r="BM71" s="156">
        <f ca="1">OFFSET(C71,0,1+(BM68-1)*2)</f>
        <v>0</v>
      </c>
      <c r="BN71" s="156">
        <f ca="1">OFFSET(C71,0,1+(BN68-1)*2)</f>
        <v>0</v>
      </c>
      <c r="BO71" s="156">
        <f ca="1">OFFSET(C71,0,1+(BO68-1)*2)</f>
        <v>0</v>
      </c>
      <c r="BP71" s="156">
        <f ca="1">OFFSET(C71,0,1+(BP68-1)*2)</f>
        <v>0</v>
      </c>
      <c r="BQ71" s="156" t="str">
        <f t="shared" ca="1" si="104"/>
        <v/>
      </c>
      <c r="BR71" s="156" t="str">
        <f t="shared" ca="1" si="104"/>
        <v/>
      </c>
      <c r="BS71" s="156">
        <f t="shared" ca="1" si="104"/>
        <v>0</v>
      </c>
      <c r="BT71" s="156">
        <f t="shared" ca="1" si="104"/>
        <v>0</v>
      </c>
      <c r="BU71" s="156">
        <f t="shared" ca="1" si="104"/>
        <v>0</v>
      </c>
      <c r="BV71" s="156">
        <f t="shared" ca="1" si="104"/>
        <v>0</v>
      </c>
      <c r="BW71" s="156">
        <f t="shared" ca="1" si="104"/>
        <v>0</v>
      </c>
      <c r="BX71" s="156">
        <f t="shared" ca="1" si="104"/>
        <v>0</v>
      </c>
      <c r="BY71" s="156">
        <f t="shared" ca="1" si="105"/>
        <v>8</v>
      </c>
      <c r="CA71" s="156">
        <f ca="1">COUNTA(AA69:AA76)-COUNTBLANK(AA69:AA76)</f>
        <v>0</v>
      </c>
      <c r="CB71" s="156">
        <f t="shared" ca="1" si="106"/>
        <v>0</v>
      </c>
      <c r="CC71" s="157">
        <f t="shared" ca="1" si="107"/>
        <v>0</v>
      </c>
      <c r="CD71" s="156">
        <f ca="1">IF(AR71=OFFSET(AR68,CD68,0),1,0)</f>
        <v>1</v>
      </c>
      <c r="CE71" s="156">
        <f ca="1">IF(AR71=OFFSET(AR68,CE68,0),1,0)</f>
        <v>1</v>
      </c>
      <c r="CF71" s="156">
        <f ca="1">IF(AR71=OFFSET(AR68,CF68,0),1,0)</f>
        <v>1</v>
      </c>
      <c r="CG71" s="156">
        <f ca="1">IF(AR71=OFFSET(AR68,CG68,0),1,0)</f>
        <v>1</v>
      </c>
      <c r="CH71" s="156">
        <f ca="1">IF(AR71=OFFSET(AR68,CH68,0),1,0)</f>
        <v>1</v>
      </c>
      <c r="CI71" s="156">
        <f ca="1">IF(AR71=OFFSET(AR68,CI68,0),1,0)</f>
        <v>1</v>
      </c>
      <c r="CJ71" s="156">
        <f ca="1">IF(AR71=OFFSET(AR68,CJ68,0),1,0)</f>
        <v>1</v>
      </c>
      <c r="CK71" s="156">
        <f ca="1">IF(AR71=OFFSET(AR68,CK68,0),1,0)</f>
        <v>1</v>
      </c>
      <c r="CL71" s="156" t="str">
        <f ca="1">OFFSET(AA71,0,1+(CL68-1)*2)</f>
        <v/>
      </c>
      <c r="CM71" s="156" t="str">
        <f ca="1">OFFSET(AA71,0,1+(CM68-1)*2)</f>
        <v/>
      </c>
      <c r="CN71" s="156">
        <f ca="1">OFFSET(AA71,0,1+(CN68-1)*2)</f>
        <v>0</v>
      </c>
      <c r="CO71" s="156">
        <f ca="1">OFFSET(AA71,0,1+(CO68-1)*2)</f>
        <v>0</v>
      </c>
      <c r="CP71" s="156">
        <f ca="1">OFFSET(AA71,0,1+(CP68-1)*2)</f>
        <v>0</v>
      </c>
      <c r="CQ71" s="156">
        <f ca="1">OFFSET(AA71,0,1+(CQ68-1)*2)</f>
        <v>0</v>
      </c>
      <c r="CR71" s="156">
        <f ca="1">OFFSET(AA71,0,1+(CR68-1)*2)</f>
        <v>0</v>
      </c>
      <c r="CS71" s="156">
        <f ca="1">OFFSET(AA71,0,1+(CS68-1)*2)</f>
        <v>0</v>
      </c>
      <c r="CT71" s="156" t="str">
        <f ca="1">OFFSET(AA71,0,2+(CT68-1)*2)</f>
        <v/>
      </c>
      <c r="CU71" s="156" t="str">
        <f ca="1">OFFSET(AA71,0,2+(CU68-1)*2)</f>
        <v/>
      </c>
      <c r="CV71" s="156">
        <f ca="1">OFFSET(AA71,0,2+(CV68-1)*2)</f>
        <v>0</v>
      </c>
      <c r="CW71" s="156">
        <f ca="1">OFFSET(AA71,0,2+(CW68-1)*2)</f>
        <v>0</v>
      </c>
      <c r="CX71" s="156">
        <f ca="1">OFFSET(AA71,0,2+(CX68-1)*2)</f>
        <v>0</v>
      </c>
      <c r="CY71" s="156">
        <f ca="1">OFFSET(AA71,0,2+(CY68-1)*2)</f>
        <v>0</v>
      </c>
      <c r="CZ71" s="156">
        <f ca="1">OFFSET(AA71,0,2+(CZ68-1)*2)</f>
        <v>0</v>
      </c>
      <c r="DA71" s="156">
        <f ca="1">OFFSET(AA71,0,2+(DA68-1)*2)</f>
        <v>0</v>
      </c>
      <c r="DB71" s="156">
        <f t="shared" ca="1" si="108"/>
        <v>8</v>
      </c>
      <c r="DE71" s="159"/>
      <c r="DF71" s="159"/>
      <c r="DG71" s="159">
        <v>2</v>
      </c>
      <c r="DH71" s="159">
        <v>3</v>
      </c>
      <c r="DI71" s="123">
        <f t="shared" si="94"/>
        <v>3</v>
      </c>
      <c r="DJ71" s="36" t="str">
        <f ca="1">OFFSET(gr_header,DG71+DE64,1+DF64)</f>
        <v/>
      </c>
      <c r="DK71" s="36" t="str">
        <f ca="1">OFFSET(gr_header,DH71+DE64,1+DF64)</f>
        <v/>
      </c>
      <c r="DL71" s="123">
        <f ca="1">OFFSET(gr_header,DG71+DE64,2*DH71+DF64)</f>
        <v>0</v>
      </c>
      <c r="DM71" s="123">
        <f ca="1">OFFSET(gr_header,DG71+DE64,2*DH71+1+DF64)</f>
        <v>0</v>
      </c>
      <c r="DN71" s="34"/>
      <c r="DO71" s="183">
        <f t="shared" ca="1" si="5"/>
        <v>0</v>
      </c>
      <c r="DP71" s="183">
        <f t="shared" ca="1" si="6"/>
        <v>0</v>
      </c>
      <c r="DQ71" s="183">
        <f t="shared" ca="1" si="7"/>
        <v>0</v>
      </c>
      <c r="DR71" s="183">
        <f t="shared" ca="1" si="8"/>
        <v>0</v>
      </c>
      <c r="DS71" s="182">
        <f t="shared" ca="1" si="9"/>
        <v>0</v>
      </c>
      <c r="DT71" s="182">
        <f t="shared" ca="1" si="10"/>
        <v>0</v>
      </c>
      <c r="DU71" s="182"/>
      <c r="DV71" s="182"/>
      <c r="DW71" s="182"/>
    </row>
    <row r="72" spans="2:127" ht="14.25" thickBot="1">
      <c r="B72" s="168">
        <v>4</v>
      </c>
      <c r="C72" s="169" t="str">
        <f ca="1">OFFSET(gr_anchor,B72,B68)</f>
        <v/>
      </c>
      <c r="D72" s="210" t="str">
        <f ca="1">IF(OFFSET(D69,D68-1,1+(B72-1)*2)="","",OFFSET(D69,D68-1,1+(B72-1)*2))</f>
        <v/>
      </c>
      <c r="E72" s="211" t="str">
        <f ca="1">IF(OFFSET(D69,D68-1,(B72-1)*2)="","",OFFSET(D69,D68-1,(B72-1)*2))</f>
        <v/>
      </c>
      <c r="F72" s="210" t="str">
        <f ca="1">IF(OFFSET(D69,F68-1,1+(B72-1)*2)="","",OFFSET(D69,F68-1,1+(B72-1)*2))</f>
        <v/>
      </c>
      <c r="G72" s="211" t="str">
        <f ca="1">IF(OFFSET(D69,F68-1,(B72-1)*2)="","",OFFSET(D69,F68-1,(B72-1)*2))</f>
        <v/>
      </c>
      <c r="H72" s="210" t="str">
        <f ca="1">IF(OFFSET(D69,H68-1,1+(B72-1)*2)="","",OFFSET(D69,H68-1,1+(B72-1)*2))</f>
        <v/>
      </c>
      <c r="I72" s="211" t="str">
        <f ca="1">IF(OFFSET(D69,H68-1,(B72-1)*2)="","",OFFSET(D69,H68-1,(B72-1)*2))</f>
        <v/>
      </c>
      <c r="J72" s="170"/>
      <c r="K72" s="118"/>
      <c r="L72" s="119"/>
      <c r="M72" s="120"/>
      <c r="N72" s="150"/>
      <c r="O72" s="150"/>
      <c r="P72" s="150"/>
      <c r="Q72" s="150"/>
      <c r="R72" s="150"/>
      <c r="S72" s="174"/>
      <c r="T72" s="177">
        <f ca="1">COUNTIF(OFFSET(E69,0,(B72-1)*2,8),3)*2+COUNTIF(OFFSET(D69,0,(B72-1)*2,8),3)</f>
        <v>0</v>
      </c>
      <c r="U72" s="177">
        <f ca="1">RANK(AZ72,AZ69:AZ76)*AY72</f>
        <v>0</v>
      </c>
      <c r="V72" s="175">
        <f t="shared" ca="1" si="98"/>
        <v>0</v>
      </c>
      <c r="W72" s="151">
        <f t="shared" ca="1" si="99"/>
        <v>0</v>
      </c>
      <c r="X72" s="152" t="str">
        <f t="shared" ca="1" si="95"/>
        <v/>
      </c>
      <c r="Y72" s="153"/>
      <c r="Z72" s="168">
        <v>4</v>
      </c>
      <c r="AA72" s="169" t="str">
        <f ca="1">OFFSET(gr_anchor,Z72,Z68)</f>
        <v/>
      </c>
      <c r="AB72" s="210" t="str">
        <f ca="1">IF(OFFSET(AB69,AB68-1,1+(Z72-1)*2)="","",OFFSET(AB69,AB68-1,1+(Z72-1)*2))</f>
        <v/>
      </c>
      <c r="AC72" s="211" t="str">
        <f ca="1">IF(OFFSET(AB69,AB68-1,(Z72-1)*2)="","",OFFSET(AB69,AB68-1,(Z72-1)*2))</f>
        <v/>
      </c>
      <c r="AD72" s="210" t="str">
        <f ca="1">IF(OFFSET(AB69,AD68-1,1+(Z72-1)*2)="","",OFFSET(AB69,AD68-1,1+(Z72-1)*2))</f>
        <v/>
      </c>
      <c r="AE72" s="211" t="str">
        <f ca="1">IF(OFFSET(AB69,AD68-1,(Z72-1)*2)="","",OFFSET(AB69,AD68-1,(Z72-1)*2))</f>
        <v/>
      </c>
      <c r="AF72" s="210" t="str">
        <f ca="1">IF(OFFSET(AB69,AF68-1,1+(Z72-1)*2)="","",OFFSET(AB69,AF68-1,1+(Z72-1)*2))</f>
        <v/>
      </c>
      <c r="AG72" s="211" t="str">
        <f ca="1">IF(OFFSET(AB69,AF68-1,(Z72-1)*2)="","",OFFSET(AB69,AF68-1,(Z72-1)*2))</f>
        <v/>
      </c>
      <c r="AH72" s="170"/>
      <c r="AI72" s="118"/>
      <c r="AJ72" s="119"/>
      <c r="AK72" s="120"/>
      <c r="AL72" s="150"/>
      <c r="AM72" s="150"/>
      <c r="AN72" s="150"/>
      <c r="AO72" s="150"/>
      <c r="AP72" s="150"/>
      <c r="AQ72" s="174"/>
      <c r="AR72" s="177">
        <f ca="1">COUNTIF(OFFSET(AC69,0,(Z72-1)*2,8),3)*2+COUNTIF(OFFSET(AB69,0,(Z72-1)*2,8),3)</f>
        <v>0</v>
      </c>
      <c r="AS72" s="177">
        <f ca="1">RANK(CC72,CC69:CC76)*CB72</f>
        <v>0</v>
      </c>
      <c r="AT72" s="175">
        <f t="shared" ca="1" si="100"/>
        <v>0</v>
      </c>
      <c r="AU72" s="151">
        <f t="shared" ca="1" si="101"/>
        <v>0</v>
      </c>
      <c r="AV72" s="152" t="str">
        <f t="shared" ca="1" si="102"/>
        <v/>
      </c>
      <c r="AW72" s="153"/>
      <c r="AX72" s="156">
        <f ca="1">COUNTA(C69:C76)-COUNTBLANK(C69:C76)</f>
        <v>0</v>
      </c>
      <c r="AY72" s="156">
        <f t="shared" ca="1" si="96"/>
        <v>0</v>
      </c>
      <c r="AZ72" s="157">
        <f t="shared" ca="1" si="103"/>
        <v>0</v>
      </c>
      <c r="BA72" s="156">
        <f ca="1">IF(T72=OFFSET(T68,BA68,0),1,0)</f>
        <v>1</v>
      </c>
      <c r="BB72" s="156">
        <f ca="1">IF(T72=OFFSET(T68,BB68,0),1,0)</f>
        <v>1</v>
      </c>
      <c r="BC72" s="156">
        <f ca="1">IF(T72=OFFSET(T68,BC68,0),1,0)</f>
        <v>1</v>
      </c>
      <c r="BD72" s="156">
        <f ca="1">IF(T72=OFFSET(T68,BD68,0),1,0)</f>
        <v>1</v>
      </c>
      <c r="BE72" s="156">
        <f ca="1">IF(T72=OFFSET(T68,BE68,0),1,0)</f>
        <v>1</v>
      </c>
      <c r="BF72" s="156">
        <f ca="1">IF(T72=OFFSET(T68,BF68,0),1,0)</f>
        <v>1</v>
      </c>
      <c r="BG72" s="156">
        <f ca="1">IF(T72=OFFSET(T68,BG68,0),1,0)</f>
        <v>1</v>
      </c>
      <c r="BH72" s="156">
        <f ca="1">IF(T72=OFFSET(T68,BH68,0),1,0)</f>
        <v>1</v>
      </c>
      <c r="BI72" s="156" t="str">
        <f ca="1">OFFSET(C72,0,1+(BI68-1)*2)</f>
        <v/>
      </c>
      <c r="BJ72" s="156" t="str">
        <f ca="1">OFFSET(C72,0,1+(BJ68-1)*2)</f>
        <v/>
      </c>
      <c r="BK72" s="156" t="str">
        <f ca="1">OFFSET(C72,0,1+(BK68-1)*2)</f>
        <v/>
      </c>
      <c r="BL72" s="156">
        <f ca="1">OFFSET(C72,0,1+(BL68-1)*2)</f>
        <v>0</v>
      </c>
      <c r="BM72" s="156">
        <f ca="1">OFFSET(C72,0,1+(BM68-1)*2)</f>
        <v>0</v>
      </c>
      <c r="BN72" s="156">
        <f ca="1">OFFSET(C72,0,1+(BN68-1)*2)</f>
        <v>0</v>
      </c>
      <c r="BO72" s="156">
        <f ca="1">OFFSET(C72,0,1+(BO68-1)*2)</f>
        <v>0</v>
      </c>
      <c r="BP72" s="156">
        <f ca="1">OFFSET(C72,0,1+(BP68-1)*2)</f>
        <v>0</v>
      </c>
      <c r="BQ72" s="156" t="str">
        <f t="shared" ca="1" si="104"/>
        <v/>
      </c>
      <c r="BR72" s="156" t="str">
        <f t="shared" ca="1" si="104"/>
        <v/>
      </c>
      <c r="BS72" s="156" t="str">
        <f t="shared" ca="1" si="104"/>
        <v/>
      </c>
      <c r="BT72" s="156">
        <f t="shared" ca="1" si="104"/>
        <v>0</v>
      </c>
      <c r="BU72" s="156">
        <f t="shared" ca="1" si="104"/>
        <v>0</v>
      </c>
      <c r="BV72" s="156">
        <f t="shared" ca="1" si="104"/>
        <v>0</v>
      </c>
      <c r="BW72" s="156">
        <f t="shared" ca="1" si="104"/>
        <v>0</v>
      </c>
      <c r="BX72" s="156">
        <f t="shared" ca="1" si="104"/>
        <v>0</v>
      </c>
      <c r="BY72" s="156">
        <f t="shared" ca="1" si="105"/>
        <v>8</v>
      </c>
      <c r="CA72" s="156">
        <f ca="1">COUNTA(AA69:AA76)-COUNTBLANK(AA69:AA76)</f>
        <v>0</v>
      </c>
      <c r="CB72" s="156">
        <f t="shared" ca="1" si="106"/>
        <v>0</v>
      </c>
      <c r="CC72" s="157">
        <f t="shared" ca="1" si="107"/>
        <v>0</v>
      </c>
      <c r="CD72" s="156">
        <f ca="1">IF(AR72=OFFSET(AR68,CD68,0),1,0)</f>
        <v>1</v>
      </c>
      <c r="CE72" s="156">
        <f ca="1">IF(AR72=OFFSET(AR68,CE68,0),1,0)</f>
        <v>1</v>
      </c>
      <c r="CF72" s="156">
        <f ca="1">IF(AR72=OFFSET(AR68,CF68,0),1,0)</f>
        <v>1</v>
      </c>
      <c r="CG72" s="156">
        <f ca="1">IF(AR72=OFFSET(AR68,CG68,0),1,0)</f>
        <v>1</v>
      </c>
      <c r="CH72" s="156">
        <f ca="1">IF(AR72=OFFSET(AR68,CH68,0),1,0)</f>
        <v>1</v>
      </c>
      <c r="CI72" s="156">
        <f ca="1">IF(AR72=OFFSET(AR68,CI68,0),1,0)</f>
        <v>1</v>
      </c>
      <c r="CJ72" s="156">
        <f ca="1">IF(AR72=OFFSET(AR68,CJ68,0),1,0)</f>
        <v>1</v>
      </c>
      <c r="CK72" s="156">
        <f ca="1">IF(AR72=OFFSET(AR68,CK68,0),1,0)</f>
        <v>1</v>
      </c>
      <c r="CL72" s="156" t="str">
        <f ca="1">OFFSET(AA72,0,1+(CL68-1)*2)</f>
        <v/>
      </c>
      <c r="CM72" s="156" t="str">
        <f ca="1">OFFSET(AA72,0,1+(CM68-1)*2)</f>
        <v/>
      </c>
      <c r="CN72" s="156" t="str">
        <f ca="1">OFFSET(AA72,0,1+(CN68-1)*2)</f>
        <v/>
      </c>
      <c r="CO72" s="156">
        <f ca="1">OFFSET(AA72,0,1+(CO68-1)*2)</f>
        <v>0</v>
      </c>
      <c r="CP72" s="156">
        <f ca="1">OFFSET(AA72,0,1+(CP68-1)*2)</f>
        <v>0</v>
      </c>
      <c r="CQ72" s="156">
        <f ca="1">OFFSET(AA72,0,1+(CQ68-1)*2)</f>
        <v>0</v>
      </c>
      <c r="CR72" s="156">
        <f ca="1">OFFSET(AA72,0,1+(CR68-1)*2)</f>
        <v>0</v>
      </c>
      <c r="CS72" s="156">
        <f ca="1">OFFSET(AA72,0,1+(CS68-1)*2)</f>
        <v>0</v>
      </c>
      <c r="CT72" s="156" t="str">
        <f ca="1">OFFSET(AA72,0,2+(CT68-1)*2)</f>
        <v/>
      </c>
      <c r="CU72" s="156" t="str">
        <f ca="1">OFFSET(AA72,0,2+(CU68-1)*2)</f>
        <v/>
      </c>
      <c r="CV72" s="156" t="str">
        <f ca="1">OFFSET(AA72,0,2+(CV68-1)*2)</f>
        <v/>
      </c>
      <c r="CW72" s="156">
        <f ca="1">OFFSET(AA72,0,2+(CW68-1)*2)</f>
        <v>0</v>
      </c>
      <c r="CX72" s="156">
        <f ca="1">OFFSET(AA72,0,2+(CX68-1)*2)</f>
        <v>0</v>
      </c>
      <c r="CY72" s="156">
        <f ca="1">OFFSET(AA72,0,2+(CY68-1)*2)</f>
        <v>0</v>
      </c>
      <c r="CZ72" s="156">
        <f ca="1">OFFSET(AA72,0,2+(CZ68-1)*2)</f>
        <v>0</v>
      </c>
      <c r="DA72" s="156">
        <f ca="1">OFFSET(AA72,0,2+(DA68-1)*2)</f>
        <v>0</v>
      </c>
      <c r="DB72" s="156">
        <f t="shared" ca="1" si="108"/>
        <v>8</v>
      </c>
      <c r="DE72" s="159"/>
      <c r="DF72" s="159"/>
      <c r="DG72" s="159">
        <v>2</v>
      </c>
      <c r="DH72" s="159">
        <v>4</v>
      </c>
      <c r="DI72" s="123">
        <f t="shared" si="94"/>
        <v>3</v>
      </c>
      <c r="DJ72" s="36" t="str">
        <f ca="1">OFFSET(gr_header,DG72+DE64,1+DF64)</f>
        <v/>
      </c>
      <c r="DK72" s="36" t="str">
        <f ca="1">OFFSET(gr_header,DH72+DE64,1+DF64)</f>
        <v/>
      </c>
      <c r="DL72" s="123">
        <f ca="1">OFFSET(gr_header,DG72+DE64,2*DH72+DF64)</f>
        <v>0</v>
      </c>
      <c r="DM72" s="123">
        <f ca="1">OFFSET(gr_header,DG72+DE64,2*DH72+1+DF64)</f>
        <v>0</v>
      </c>
      <c r="DN72" s="34"/>
      <c r="DO72" s="183">
        <f t="shared" ca="1" si="5"/>
        <v>0</v>
      </c>
      <c r="DP72" s="183">
        <f t="shared" ca="1" si="6"/>
        <v>0</v>
      </c>
      <c r="DQ72" s="183">
        <f t="shared" ca="1" si="7"/>
        <v>0</v>
      </c>
      <c r="DR72" s="183">
        <f t="shared" ca="1" si="8"/>
        <v>0</v>
      </c>
      <c r="DS72" s="182">
        <f t="shared" ca="1" si="9"/>
        <v>0</v>
      </c>
      <c r="DT72" s="182">
        <f t="shared" ca="1" si="10"/>
        <v>0</v>
      </c>
      <c r="DU72" s="182"/>
      <c r="DV72" s="182"/>
      <c r="DW72" s="182"/>
    </row>
    <row r="73" spans="2:127" ht="14.25" thickBot="1">
      <c r="B73" s="171">
        <v>5</v>
      </c>
      <c r="C73" s="172" t="str">
        <f ca="1">OFFSET(gr_anchor,B73,B68)</f>
        <v/>
      </c>
      <c r="D73" s="210" t="str">
        <f ca="1">IF(OFFSET(D69,D68-1,1+(B73-1)*2)="","",OFFSET(D69,D68-1,1+(B73-1)*2))</f>
        <v/>
      </c>
      <c r="E73" s="211" t="str">
        <f ca="1">IF(OFFSET(D69,D68-1,(B73-1)*2)="","",OFFSET(D69,D68-1,(B73-1)*2))</f>
        <v/>
      </c>
      <c r="F73" s="210" t="str">
        <f ca="1">IF(OFFSET(D69,F68-1,1+(B73-1)*2)="","",OFFSET(D69,F68-1,1+(B73-1)*2))</f>
        <v/>
      </c>
      <c r="G73" s="211" t="str">
        <f ca="1">IF(OFFSET(D69,F68-1,(B73-1)*2)="","",OFFSET(D69,F68-1,(B73-1)*2))</f>
        <v/>
      </c>
      <c r="H73" s="210" t="str">
        <f ca="1">IF(OFFSET(D69,H68-1,1+(B73-1)*2)="","",OFFSET(D69,H68-1,1+(B73-1)*2))</f>
        <v/>
      </c>
      <c r="I73" s="211" t="str">
        <f ca="1">IF(OFFSET(D69,H68-1,(B73-1)*2)="","",OFFSET(D69,H68-1,(B73-1)*2))</f>
        <v/>
      </c>
      <c r="J73" s="210" t="str">
        <f ca="1">IF(OFFSET(D69,J68-1,1+(B73-1)*2)="","",OFFSET(D69,J68-1,1+(B73-1)*2))</f>
        <v/>
      </c>
      <c r="K73" s="211" t="str">
        <f ca="1">IF(OFFSET(D69,J68-1,(B73-1)*2)="","",OFFSET(D69,J68-1,(B73-1)*2))</f>
        <v/>
      </c>
      <c r="L73" s="117"/>
      <c r="M73" s="118"/>
      <c r="N73" s="150"/>
      <c r="O73" s="150"/>
      <c r="P73" s="150"/>
      <c r="Q73" s="150"/>
      <c r="R73" s="150"/>
      <c r="S73" s="174"/>
      <c r="T73" s="177">
        <f ca="1">COUNTIF(OFFSET(E69,0,(B73-1)*2,8),3)*2+COUNTIF(OFFSET(D69,0,(B73-1)*2,8),3)</f>
        <v>0</v>
      </c>
      <c r="U73" s="177">
        <f ca="1">RANK(AZ73,AZ69:AZ76)*AY73</f>
        <v>0</v>
      </c>
      <c r="V73" s="175">
        <f t="shared" ca="1" si="98"/>
        <v>0</v>
      </c>
      <c r="W73" s="151">
        <f t="shared" ca="1" si="99"/>
        <v>0</v>
      </c>
      <c r="X73" s="152" t="str">
        <f t="shared" ca="1" si="95"/>
        <v/>
      </c>
      <c r="Y73" s="153"/>
      <c r="Z73" s="171">
        <v>5</v>
      </c>
      <c r="AA73" s="172" t="str">
        <f ca="1">OFFSET(gr_anchor,Z73,Z68)</f>
        <v/>
      </c>
      <c r="AB73" s="210" t="str">
        <f ca="1">IF(OFFSET(AB69,AB68-1,1+(Z73-1)*2)="","",OFFSET(AB69,AB68-1,1+(Z73-1)*2))</f>
        <v/>
      </c>
      <c r="AC73" s="211" t="str">
        <f ca="1">IF(OFFSET(AB69,AB68-1,(Z73-1)*2)="","",OFFSET(AB69,AB68-1,(Z73-1)*2))</f>
        <v/>
      </c>
      <c r="AD73" s="210" t="str">
        <f ca="1">IF(OFFSET(AB69,AD68-1,1+(Z73-1)*2)="","",OFFSET(AB69,AD68-1,1+(Z73-1)*2))</f>
        <v/>
      </c>
      <c r="AE73" s="211" t="str">
        <f ca="1">IF(OFFSET(AB69,AD68-1,(Z73-1)*2)="","",OFFSET(AB69,AD68-1,(Z73-1)*2))</f>
        <v/>
      </c>
      <c r="AF73" s="210" t="str">
        <f ca="1">IF(OFFSET(AB69,AF68-1,1+(Z73-1)*2)="","",OFFSET(AB69,AF68-1,1+(Z73-1)*2))</f>
        <v/>
      </c>
      <c r="AG73" s="211" t="str">
        <f ca="1">IF(OFFSET(AB69,AF68-1,(Z73-1)*2)="","",OFFSET(AB69,AF68-1,(Z73-1)*2))</f>
        <v/>
      </c>
      <c r="AH73" s="210" t="str">
        <f ca="1">IF(OFFSET(AB69,AH68-1,1+(Z73-1)*2)="","",OFFSET(AB69,AH68-1,1+(Z73-1)*2))</f>
        <v/>
      </c>
      <c r="AI73" s="211" t="str">
        <f ca="1">IF(OFFSET(AB69,AH68-1,(Z73-1)*2)="","",OFFSET(AB69,AH68-1,(Z73-1)*2))</f>
        <v/>
      </c>
      <c r="AJ73" s="117"/>
      <c r="AK73" s="118"/>
      <c r="AL73" s="150"/>
      <c r="AM73" s="150"/>
      <c r="AN73" s="150"/>
      <c r="AO73" s="150"/>
      <c r="AP73" s="150"/>
      <c r="AQ73" s="174"/>
      <c r="AR73" s="177">
        <f ca="1">COUNTIF(OFFSET(AC69,0,(Z73-1)*2,8),3)*2+COUNTIF(OFFSET(AB69,0,(Z73-1)*2,8),3)</f>
        <v>0</v>
      </c>
      <c r="AS73" s="177">
        <f ca="1">RANK(CC73,CC69:CC76)*CB73</f>
        <v>0</v>
      </c>
      <c r="AT73" s="175">
        <f t="shared" ca="1" si="100"/>
        <v>0</v>
      </c>
      <c r="AU73" s="151">
        <f t="shared" ca="1" si="101"/>
        <v>0</v>
      </c>
      <c r="AV73" s="152" t="str">
        <f t="shared" ca="1" si="102"/>
        <v/>
      </c>
      <c r="AW73" s="153"/>
      <c r="AX73" s="156">
        <f ca="1">COUNTA(C69:C76)-COUNTBLANK(C69:C76)</f>
        <v>0</v>
      </c>
      <c r="AY73" s="156">
        <f t="shared" ca="1" si="96"/>
        <v>0</v>
      </c>
      <c r="AZ73" s="157">
        <f t="shared" ca="1" si="103"/>
        <v>0</v>
      </c>
      <c r="BA73" s="156">
        <f ca="1">IF(T73=OFFSET(T68,BA68,0),1,0)</f>
        <v>1</v>
      </c>
      <c r="BB73" s="156">
        <f ca="1">IF(T73=OFFSET(T68,BB68,0),1,0)</f>
        <v>1</v>
      </c>
      <c r="BC73" s="156">
        <f ca="1">IF(T73=OFFSET(T68,BC68,0),1,0)</f>
        <v>1</v>
      </c>
      <c r="BD73" s="156">
        <f ca="1">IF(T73=OFFSET(T68,BD68,0),1,0)</f>
        <v>1</v>
      </c>
      <c r="BE73" s="156">
        <f ca="1">IF(T73=OFFSET(T68,BE68,0),1,0)</f>
        <v>1</v>
      </c>
      <c r="BF73" s="156">
        <f ca="1">IF(T73=OFFSET(T68,BF68,0),1,0)</f>
        <v>1</v>
      </c>
      <c r="BG73" s="156">
        <f ca="1">IF(T73=OFFSET(T68,BG68,0),1,0)</f>
        <v>1</v>
      </c>
      <c r="BH73" s="156">
        <f ca="1">IF(T73=OFFSET(T68,BH68,0),1,0)</f>
        <v>1</v>
      </c>
      <c r="BI73" s="156" t="str">
        <f ca="1">OFFSET(C73,0,1+(BI68-1)*2)</f>
        <v/>
      </c>
      <c r="BJ73" s="156" t="str">
        <f ca="1">OFFSET(C73,0,1+(BJ68-1)*2)</f>
        <v/>
      </c>
      <c r="BK73" s="156" t="str">
        <f ca="1">OFFSET(C73,0,1+(BK68-1)*2)</f>
        <v/>
      </c>
      <c r="BL73" s="156" t="str">
        <f ca="1">OFFSET(C73,0,1+(BL68-1)*2)</f>
        <v/>
      </c>
      <c r="BM73" s="156">
        <f ca="1">OFFSET(C73,0,1+(BM68-1)*2)</f>
        <v>0</v>
      </c>
      <c r="BN73" s="156">
        <f ca="1">OFFSET(C73,0,1+(BN68-1)*2)</f>
        <v>0</v>
      </c>
      <c r="BO73" s="156">
        <f ca="1">OFFSET(C73,0,1+(BO68-1)*2)</f>
        <v>0</v>
      </c>
      <c r="BP73" s="156">
        <f ca="1">OFFSET(C73,0,1+(BP68-1)*2)</f>
        <v>0</v>
      </c>
      <c r="BQ73" s="156" t="str">
        <f t="shared" ca="1" si="104"/>
        <v/>
      </c>
      <c r="BR73" s="156" t="str">
        <f t="shared" ca="1" si="104"/>
        <v/>
      </c>
      <c r="BS73" s="156" t="str">
        <f t="shared" ca="1" si="104"/>
        <v/>
      </c>
      <c r="BT73" s="156" t="str">
        <f t="shared" ca="1" si="104"/>
        <v/>
      </c>
      <c r="BU73" s="156">
        <f t="shared" ca="1" si="104"/>
        <v>0</v>
      </c>
      <c r="BV73" s="156">
        <f t="shared" ca="1" si="104"/>
        <v>0</v>
      </c>
      <c r="BW73" s="156">
        <f t="shared" ca="1" si="104"/>
        <v>0</v>
      </c>
      <c r="BX73" s="156">
        <f t="shared" ca="1" si="104"/>
        <v>0</v>
      </c>
      <c r="BY73" s="156">
        <f t="shared" ca="1" si="105"/>
        <v>8</v>
      </c>
      <c r="CA73" s="156">
        <f ca="1">COUNTA(AA69:AA76)-COUNTBLANK(AA69:AA76)</f>
        <v>0</v>
      </c>
      <c r="CB73" s="156">
        <f t="shared" ca="1" si="106"/>
        <v>0</v>
      </c>
      <c r="CC73" s="157">
        <f t="shared" ca="1" si="107"/>
        <v>0</v>
      </c>
      <c r="CD73" s="156">
        <f ca="1">IF(AR73=OFFSET(AR68,CD68,0),1,0)</f>
        <v>1</v>
      </c>
      <c r="CE73" s="156">
        <f ca="1">IF(AR73=OFFSET(AR68,CE68,0),1,0)</f>
        <v>1</v>
      </c>
      <c r="CF73" s="156">
        <f ca="1">IF(AR73=OFFSET(AR68,CF68,0),1,0)</f>
        <v>1</v>
      </c>
      <c r="CG73" s="156">
        <f ca="1">IF(AR73=OFFSET(AR68,CG68,0),1,0)</f>
        <v>1</v>
      </c>
      <c r="CH73" s="156">
        <f ca="1">IF(AR73=OFFSET(AR68,CH68,0),1,0)</f>
        <v>1</v>
      </c>
      <c r="CI73" s="156">
        <f ca="1">IF(AR73=OFFSET(AR68,CI68,0),1,0)</f>
        <v>1</v>
      </c>
      <c r="CJ73" s="156">
        <f ca="1">IF(AR73=OFFSET(AR68,CJ68,0),1,0)</f>
        <v>1</v>
      </c>
      <c r="CK73" s="156">
        <f ca="1">IF(AR73=OFFSET(AR68,CK68,0),1,0)</f>
        <v>1</v>
      </c>
      <c r="CL73" s="156" t="str">
        <f ca="1">OFFSET(AA73,0,1+(CL68-1)*2)</f>
        <v/>
      </c>
      <c r="CM73" s="156" t="str">
        <f ca="1">OFFSET(AA73,0,1+(CM68-1)*2)</f>
        <v/>
      </c>
      <c r="CN73" s="156" t="str">
        <f ca="1">OFFSET(AA73,0,1+(CN68-1)*2)</f>
        <v/>
      </c>
      <c r="CO73" s="156" t="str">
        <f ca="1">OFFSET(AA73,0,1+(CO68-1)*2)</f>
        <v/>
      </c>
      <c r="CP73" s="156">
        <f ca="1">OFFSET(AA73,0,1+(CP68-1)*2)</f>
        <v>0</v>
      </c>
      <c r="CQ73" s="156">
        <f ca="1">OFFSET(AA73,0,1+(CQ68-1)*2)</f>
        <v>0</v>
      </c>
      <c r="CR73" s="156">
        <f ca="1">OFFSET(AA73,0,1+(CR68-1)*2)</f>
        <v>0</v>
      </c>
      <c r="CS73" s="156">
        <f ca="1">OFFSET(AA73,0,1+(CS68-1)*2)</f>
        <v>0</v>
      </c>
      <c r="CT73" s="156" t="str">
        <f ca="1">OFFSET(AA73,0,2+(CT68-1)*2)</f>
        <v/>
      </c>
      <c r="CU73" s="156" t="str">
        <f ca="1">OFFSET(AA73,0,2+(CU68-1)*2)</f>
        <v/>
      </c>
      <c r="CV73" s="156" t="str">
        <f ca="1">OFFSET(AA73,0,2+(CV68-1)*2)</f>
        <v/>
      </c>
      <c r="CW73" s="156" t="str">
        <f ca="1">OFFSET(AA73,0,2+(CW68-1)*2)</f>
        <v/>
      </c>
      <c r="CX73" s="156">
        <f ca="1">OFFSET(AA73,0,2+(CX68-1)*2)</f>
        <v>0</v>
      </c>
      <c r="CY73" s="156">
        <f ca="1">OFFSET(AA73,0,2+(CY68-1)*2)</f>
        <v>0</v>
      </c>
      <c r="CZ73" s="156">
        <f ca="1">OFFSET(AA73,0,2+(CZ68-1)*2)</f>
        <v>0</v>
      </c>
      <c r="DA73" s="156">
        <f ca="1">OFFSET(AA73,0,2+(DA68-1)*2)</f>
        <v>0</v>
      </c>
      <c r="DB73" s="156">
        <f t="shared" ca="1" si="108"/>
        <v>8</v>
      </c>
      <c r="DE73" s="159"/>
      <c r="DF73" s="159"/>
      <c r="DG73" s="159">
        <v>2</v>
      </c>
      <c r="DH73" s="159">
        <v>5</v>
      </c>
      <c r="DI73" s="123">
        <f t="shared" si="94"/>
        <v>3</v>
      </c>
      <c r="DJ73" s="36" t="str">
        <f ca="1">OFFSET(gr_header,DG73+DE64,1+DF64)</f>
        <v/>
      </c>
      <c r="DK73" s="36" t="str">
        <f ca="1">OFFSET(gr_header,DH73+DE64,1+DF64)</f>
        <v/>
      </c>
      <c r="DL73" s="123">
        <f ca="1">OFFSET(gr_header,DG73+DE64,2*DH73+DF64)</f>
        <v>0</v>
      </c>
      <c r="DM73" s="123">
        <f ca="1">OFFSET(gr_header,DG73+DE64,2*DH73+1+DF64)</f>
        <v>0</v>
      </c>
      <c r="DN73" s="34"/>
      <c r="DO73" s="183">
        <f t="shared" ref="DO73:DO136" ca="1" si="109">IF(DJ73="",0,TRIM(MID(DJ73,1,FIND(" ; ",DJ73)-1)))</f>
        <v>0</v>
      </c>
      <c r="DP73" s="183">
        <f t="shared" ref="DP73:DP136" ca="1" si="110">IF(DJ73="",0,TRIM(MID(DJ73,FIND(";",DJ73)+1,LEN(DJ73))))</f>
        <v>0</v>
      </c>
      <c r="DQ73" s="183">
        <f t="shared" ref="DQ73:DQ136" ca="1" si="111">IF(DK73="",0,TRIM(MID(DK73,1,FIND(" ; ",DK73)-1)))</f>
        <v>0</v>
      </c>
      <c r="DR73" s="183">
        <f t="shared" ref="DR73:DR136" ca="1" si="112">IF(DK73="",0,TRIM(MID(DK73,FIND(";",DK73)+1,LEN(DK73))))</f>
        <v>0</v>
      </c>
      <c r="DS73" s="182">
        <f t="shared" ref="DS73:DS119" ca="1" si="113">DL73</f>
        <v>0</v>
      </c>
      <c r="DT73" s="182">
        <f t="shared" ref="DT73:DT119" ca="1" si="114">DM73</f>
        <v>0</v>
      </c>
      <c r="DU73" s="182"/>
      <c r="DV73" s="182"/>
      <c r="DW73" s="182"/>
    </row>
    <row r="74" spans="2:127" hidden="1" outlineLevel="1">
      <c r="B74" s="148">
        <v>6</v>
      </c>
      <c r="C74" s="154" t="str">
        <f ca="1">OFFSET(gr_anchor,B74,B68)</f>
        <v/>
      </c>
      <c r="D74" s="150" t="str">
        <f ca="1">IF(OFFSET(D69,D68-1,1+(B74-1)*2)="","",OFFSET(D69,D68-1,1+(B74-1)*2))</f>
        <v/>
      </c>
      <c r="E74" s="150" t="str">
        <f ca="1">IF(OFFSET(D69,D68-1,(B74-1)*2)="","",OFFSET(D69,D68-1,(B74-1)*2))</f>
        <v/>
      </c>
      <c r="F74" s="150" t="str">
        <f ca="1">IF(OFFSET(D69,F68-1,1+(B74-1)*2)="","",OFFSET(D69,F68-1,1+(B74-1)*2))</f>
        <v/>
      </c>
      <c r="G74" s="150" t="str">
        <f ca="1">IF(OFFSET(D69,F68-1,(B74-1)*2)="","",OFFSET(D69,F68-1,(B74-1)*2))</f>
        <v/>
      </c>
      <c r="H74" s="150" t="str">
        <f ca="1">IF(OFFSET(D69,H68-1,1+(B74-1)*2)="","",OFFSET(D69,H68-1,1+(B74-1)*2))</f>
        <v/>
      </c>
      <c r="I74" s="150" t="str">
        <f ca="1">IF(OFFSET(D69,H68-1,(B74-1)*2)="","",OFFSET(D69,H68-1,(B74-1)*2))</f>
        <v/>
      </c>
      <c r="J74" s="150" t="str">
        <f ca="1">IF(OFFSET(D69,J68-1,1+(B74-1)*2)="","",OFFSET(D69,J68-1,1+(B74-1)*2))</f>
        <v/>
      </c>
      <c r="K74" s="150" t="str">
        <f ca="1">IF(OFFSET(D69,J68-1,(B74-1)*2)="","",OFFSET(D69,J68-1,(B74-1)*2))</f>
        <v/>
      </c>
      <c r="L74" s="150" t="str">
        <f ca="1">IF(OFFSET(D69,L68-1,1+(B74-1)*2)="","",OFFSET(D69,L68-1,1+(B74-1)*2))</f>
        <v/>
      </c>
      <c r="M74" s="150" t="str">
        <f ca="1">IF(OFFSET(D69,L68-1,(B74-1)*2)="","",OFFSET(D69,L68-1,(B74-1)*2))</f>
        <v/>
      </c>
      <c r="N74" s="155"/>
      <c r="O74" s="149"/>
      <c r="P74" s="150"/>
      <c r="Q74" s="150"/>
      <c r="R74" s="150"/>
      <c r="S74" s="150"/>
      <c r="T74" s="163">
        <f ca="1">COUNTIF(OFFSET(E69,0,(B74-1)*2,8),3)*2+COUNTIF(OFFSET(D69,0,(B74-1)*2,8),3)</f>
        <v>0</v>
      </c>
      <c r="U74" s="163">
        <f ca="1">RANK(AZ74,AZ69:AZ76)*AY74</f>
        <v>0</v>
      </c>
      <c r="V74" s="151">
        <f t="shared" ca="1" si="98"/>
        <v>0</v>
      </c>
      <c r="W74" s="151">
        <f t="shared" ca="1" si="99"/>
        <v>0</v>
      </c>
      <c r="X74" s="152" t="str">
        <f t="shared" ca="1" si="95"/>
        <v/>
      </c>
      <c r="Y74" s="153"/>
      <c r="Z74" s="148">
        <v>6</v>
      </c>
      <c r="AA74" s="154" t="str">
        <f ca="1">OFFSET(gr_anchor,Z74,Z68)</f>
        <v/>
      </c>
      <c r="AB74" s="150" t="str">
        <f ca="1">IF(OFFSET(AB69,AB68-1,1+(Z74-1)*2)="","",OFFSET(AB69,AB68-1,1+(Z74-1)*2))</f>
        <v/>
      </c>
      <c r="AC74" s="150" t="str">
        <f ca="1">IF(OFFSET(AB69,AB68-1,(Z74-1)*2)="","",OFFSET(AB69,AB68-1,(Z74-1)*2))</f>
        <v/>
      </c>
      <c r="AD74" s="150" t="str">
        <f ca="1">IF(OFFSET(AB69,AD68-1,1+(Z74-1)*2)="","",OFFSET(AB69,AD68-1,1+(Z74-1)*2))</f>
        <v/>
      </c>
      <c r="AE74" s="150" t="str">
        <f ca="1">IF(OFFSET(AB69,AD68-1,(Z74-1)*2)="","",OFFSET(AB69,AD68-1,(Z74-1)*2))</f>
        <v/>
      </c>
      <c r="AF74" s="150" t="str">
        <f ca="1">IF(OFFSET(AB69,AF68-1,1+(Z74-1)*2)="","",OFFSET(AB69,AF68-1,1+(Z74-1)*2))</f>
        <v/>
      </c>
      <c r="AG74" s="150" t="str">
        <f ca="1">IF(OFFSET(AB69,AF68-1,(Z74-1)*2)="","",OFFSET(AB69,AF68-1,(Z74-1)*2))</f>
        <v/>
      </c>
      <c r="AH74" s="150" t="str">
        <f ca="1">IF(OFFSET(AB69,AH68-1,1+(Z74-1)*2)="","",OFFSET(AB69,AH68-1,1+(Z74-1)*2))</f>
        <v/>
      </c>
      <c r="AI74" s="150" t="str">
        <f ca="1">IF(OFFSET(AB69,AH68-1,(Z74-1)*2)="","",OFFSET(AB69,AH68-1,(Z74-1)*2))</f>
        <v/>
      </c>
      <c r="AJ74" s="150" t="str">
        <f ca="1">IF(OFFSET(AB69,AJ68-1,1+(Z74-1)*2)="","",OFFSET(AB69,AJ68-1,1+(Z74-1)*2))</f>
        <v/>
      </c>
      <c r="AK74" s="150" t="str">
        <f ca="1">IF(OFFSET(AB69,AJ68-1,(Z74-1)*2)="","",OFFSET(AB69,AJ68-1,(Z74-1)*2))</f>
        <v/>
      </c>
      <c r="AL74" s="155"/>
      <c r="AM74" s="149"/>
      <c r="AN74" s="150"/>
      <c r="AO74" s="150"/>
      <c r="AP74" s="150"/>
      <c r="AQ74" s="150"/>
      <c r="AR74" s="163">
        <f ca="1">COUNTIF(OFFSET(AC69,0,(Z74-1)*2,8),3)*2+COUNTIF(OFFSET(AB69,0,(Z74-1)*2,8),3)</f>
        <v>0</v>
      </c>
      <c r="AS74" s="163">
        <f ca="1">RANK(CC74,CC69:CC76)*CB74</f>
        <v>0</v>
      </c>
      <c r="AT74" s="151">
        <f t="shared" ca="1" si="100"/>
        <v>0</v>
      </c>
      <c r="AU74" s="151">
        <f t="shared" ca="1" si="101"/>
        <v>0</v>
      </c>
      <c r="AV74" s="152" t="str">
        <f t="shared" ca="1" si="102"/>
        <v/>
      </c>
      <c r="AW74" s="153"/>
      <c r="AX74" s="156">
        <f ca="1">COUNTA(C69:C76)-COUNTBLANK(C69:C76)</f>
        <v>0</v>
      </c>
      <c r="AY74" s="156">
        <f t="shared" ca="1" si="96"/>
        <v>0</v>
      </c>
      <c r="AZ74" s="157">
        <f t="shared" ca="1" si="103"/>
        <v>0</v>
      </c>
      <c r="BA74" s="156">
        <f ca="1">IF(T74=OFFSET(T68,BA68,0),1,0)</f>
        <v>1</v>
      </c>
      <c r="BB74" s="156">
        <f ca="1">IF(T74=OFFSET(T68,BB68,0),1,0)</f>
        <v>1</v>
      </c>
      <c r="BC74" s="156">
        <f ca="1">IF(T74=OFFSET(T68,BC68,0),1,0)</f>
        <v>1</v>
      </c>
      <c r="BD74" s="156">
        <f ca="1">IF(T74=OFFSET(T68,BD68,0),1,0)</f>
        <v>1</v>
      </c>
      <c r="BE74" s="156">
        <f ca="1">IF(T74=OFFSET(T68,BE68,0),1,0)</f>
        <v>1</v>
      </c>
      <c r="BF74" s="156">
        <f ca="1">IF(T74=OFFSET(T68,BF68,0),1,0)</f>
        <v>1</v>
      </c>
      <c r="BG74" s="156">
        <f ca="1">IF(T74=OFFSET(T68,BG68,0),1,0)</f>
        <v>1</v>
      </c>
      <c r="BH74" s="156">
        <f ca="1">IF(T74=OFFSET(T68,BH68,0),1,0)</f>
        <v>1</v>
      </c>
      <c r="BI74" s="156" t="str">
        <f ca="1">OFFSET(C74,0,1+(BI68-1)*2)</f>
        <v/>
      </c>
      <c r="BJ74" s="156" t="str">
        <f ca="1">OFFSET(C74,0,1+(BJ68-1)*2)</f>
        <v/>
      </c>
      <c r="BK74" s="156" t="str">
        <f ca="1">OFFSET(C74,0,1+(BK68-1)*2)</f>
        <v/>
      </c>
      <c r="BL74" s="156" t="str">
        <f ca="1">OFFSET(C74,0,1+(BL68-1)*2)</f>
        <v/>
      </c>
      <c r="BM74" s="156" t="str">
        <f ca="1">OFFSET(C74,0,1+(BM68-1)*2)</f>
        <v/>
      </c>
      <c r="BN74" s="156">
        <f ca="1">OFFSET(C74,0,1+(BN68-1)*2)</f>
        <v>0</v>
      </c>
      <c r="BO74" s="156">
        <f ca="1">OFFSET(C74,0,1+(BO68-1)*2)</f>
        <v>0</v>
      </c>
      <c r="BP74" s="156">
        <f ca="1">OFFSET(C74,0,1+(BP68-1)*2)</f>
        <v>0</v>
      </c>
      <c r="BQ74" s="156" t="str">
        <f t="shared" ca="1" si="104"/>
        <v/>
      </c>
      <c r="BR74" s="156" t="str">
        <f t="shared" ca="1" si="104"/>
        <v/>
      </c>
      <c r="BS74" s="156" t="str">
        <f t="shared" ca="1" si="104"/>
        <v/>
      </c>
      <c r="BT74" s="156" t="str">
        <f t="shared" ca="1" si="104"/>
        <v/>
      </c>
      <c r="BU74" s="156" t="str">
        <f t="shared" ca="1" si="104"/>
        <v/>
      </c>
      <c r="BV74" s="156">
        <f t="shared" ca="1" si="104"/>
        <v>0</v>
      </c>
      <c r="BW74" s="156">
        <f t="shared" ca="1" si="104"/>
        <v>0</v>
      </c>
      <c r="BX74" s="156">
        <f t="shared" ca="1" si="104"/>
        <v>0</v>
      </c>
      <c r="BY74" s="156">
        <f t="shared" ca="1" si="105"/>
        <v>8</v>
      </c>
      <c r="CA74" s="156">
        <f ca="1">COUNTA(AA69:AA76)-COUNTBLANK(AA69:AA76)</f>
        <v>0</v>
      </c>
      <c r="CB74" s="156">
        <f t="shared" ca="1" si="106"/>
        <v>0</v>
      </c>
      <c r="CC74" s="157">
        <f t="shared" ca="1" si="107"/>
        <v>0</v>
      </c>
      <c r="CD74" s="156">
        <f ca="1">IF(AR74=OFFSET(AR68,CD68,0),1,0)</f>
        <v>1</v>
      </c>
      <c r="CE74" s="156">
        <f ca="1">IF(AR74=OFFSET(AR68,CE68,0),1,0)</f>
        <v>1</v>
      </c>
      <c r="CF74" s="156">
        <f ca="1">IF(AR74=OFFSET(AR68,CF68,0),1,0)</f>
        <v>1</v>
      </c>
      <c r="CG74" s="156">
        <f ca="1">IF(AR74=OFFSET(AR68,CG68,0),1,0)</f>
        <v>1</v>
      </c>
      <c r="CH74" s="156">
        <f ca="1">IF(AR74=OFFSET(AR68,CH68,0),1,0)</f>
        <v>1</v>
      </c>
      <c r="CI74" s="156">
        <f ca="1">IF(AR74=OFFSET(AR68,CI68,0),1,0)</f>
        <v>1</v>
      </c>
      <c r="CJ74" s="156">
        <f ca="1">IF(AR74=OFFSET(AR68,CJ68,0),1,0)</f>
        <v>1</v>
      </c>
      <c r="CK74" s="156">
        <f ca="1">IF(AR74=OFFSET(AR68,CK68,0),1,0)</f>
        <v>1</v>
      </c>
      <c r="CL74" s="156" t="str">
        <f ca="1">OFFSET(AA74,0,1+(CL68-1)*2)</f>
        <v/>
      </c>
      <c r="CM74" s="156" t="str">
        <f ca="1">OFFSET(AA74,0,1+(CM68-1)*2)</f>
        <v/>
      </c>
      <c r="CN74" s="156" t="str">
        <f ca="1">OFFSET(AA74,0,1+(CN68-1)*2)</f>
        <v/>
      </c>
      <c r="CO74" s="156" t="str">
        <f ca="1">OFFSET(AA74,0,1+(CO68-1)*2)</f>
        <v/>
      </c>
      <c r="CP74" s="156" t="str">
        <f ca="1">OFFSET(AA74,0,1+(CP68-1)*2)</f>
        <v/>
      </c>
      <c r="CQ74" s="156">
        <f ca="1">OFFSET(AA74,0,1+(CQ68-1)*2)</f>
        <v>0</v>
      </c>
      <c r="CR74" s="156">
        <f ca="1">OFFSET(AA74,0,1+(CR68-1)*2)</f>
        <v>0</v>
      </c>
      <c r="CS74" s="156">
        <f ca="1">OFFSET(AA74,0,1+(CS68-1)*2)</f>
        <v>0</v>
      </c>
      <c r="CT74" s="156" t="str">
        <f ca="1">OFFSET(AA74,0,2+(CT68-1)*2)</f>
        <v/>
      </c>
      <c r="CU74" s="156" t="str">
        <f ca="1">OFFSET(AA74,0,2+(CU68-1)*2)</f>
        <v/>
      </c>
      <c r="CV74" s="156" t="str">
        <f ca="1">OFFSET(AA74,0,2+(CV68-1)*2)</f>
        <v/>
      </c>
      <c r="CW74" s="156" t="str">
        <f ca="1">OFFSET(AA74,0,2+(CW68-1)*2)</f>
        <v/>
      </c>
      <c r="CX74" s="156" t="str">
        <f ca="1">OFFSET(AA74,0,2+(CX68-1)*2)</f>
        <v/>
      </c>
      <c r="CY74" s="156">
        <f ca="1">OFFSET(AA74,0,2+(CY68-1)*2)</f>
        <v>0</v>
      </c>
      <c r="CZ74" s="156">
        <f ca="1">OFFSET(AA74,0,2+(CZ68-1)*2)</f>
        <v>0</v>
      </c>
      <c r="DA74" s="156">
        <f ca="1">OFFSET(AA74,0,2+(DA68-1)*2)</f>
        <v>0</v>
      </c>
      <c r="DB74" s="156">
        <f t="shared" ca="1" si="108"/>
        <v>8</v>
      </c>
      <c r="DE74" s="159"/>
      <c r="DF74" s="159"/>
      <c r="DG74" s="159">
        <v>2</v>
      </c>
      <c r="DH74" s="159">
        <v>6</v>
      </c>
      <c r="DI74" s="123">
        <f t="shared" si="94"/>
        <v>3</v>
      </c>
      <c r="DJ74" s="36" t="str">
        <f ca="1">OFFSET(gr_header,DG74+DE64,1+DF64)</f>
        <v/>
      </c>
      <c r="DK74" s="36" t="str">
        <f ca="1">OFFSET(gr_header,DH74+DE64,1+DF64)</f>
        <v/>
      </c>
      <c r="DL74" s="123">
        <f ca="1">OFFSET(gr_header,DG74+DE64,2*DH74+DF64)</f>
        <v>0</v>
      </c>
      <c r="DM74" s="123">
        <f ca="1">OFFSET(gr_header,DG74+DE64,2*DH74+1+DF64)</f>
        <v>0</v>
      </c>
      <c r="DN74" s="34"/>
      <c r="DO74" s="183">
        <f t="shared" ca="1" si="109"/>
        <v>0</v>
      </c>
      <c r="DP74" s="183">
        <f t="shared" ca="1" si="110"/>
        <v>0</v>
      </c>
      <c r="DQ74" s="183">
        <f t="shared" ca="1" si="111"/>
        <v>0</v>
      </c>
      <c r="DR74" s="183">
        <f t="shared" ca="1" si="112"/>
        <v>0</v>
      </c>
      <c r="DS74" s="182">
        <f t="shared" ca="1" si="113"/>
        <v>0</v>
      </c>
      <c r="DT74" s="182">
        <f t="shared" ca="1" si="114"/>
        <v>0</v>
      </c>
      <c r="DU74" s="182"/>
      <c r="DV74" s="182"/>
      <c r="DW74" s="182"/>
    </row>
    <row r="75" spans="2:127" hidden="1" outlineLevel="1">
      <c r="B75" s="148">
        <v>7</v>
      </c>
      <c r="C75" s="154" t="str">
        <f ca="1">OFFSET(gr_anchor,B75,B68)</f>
        <v/>
      </c>
      <c r="D75" s="150" t="str">
        <f ca="1">IF(OFFSET(D69,D68-1,1+(B75-1)*2)="","",OFFSET(D69,D68-1,1+(B75-1)*2))</f>
        <v/>
      </c>
      <c r="E75" s="150" t="str">
        <f ca="1">IF(OFFSET(D69,D68-1,(B75-1)*2)="","",OFFSET(D69,D68-1,(B75-1)*2))</f>
        <v/>
      </c>
      <c r="F75" s="150" t="str">
        <f ca="1">IF(OFFSET(D69,F68-1,1+(B75-1)*2)="","",OFFSET(D69,F68-1,1+(B75-1)*2))</f>
        <v/>
      </c>
      <c r="G75" s="150" t="str">
        <f ca="1">IF(OFFSET(D69,F68-1,(B75-1)*2)="","",OFFSET(D69,F68-1,(B75-1)*2))</f>
        <v/>
      </c>
      <c r="H75" s="150" t="str">
        <f ca="1">IF(OFFSET(D69,H68-1,1+(B75-1)*2)="","",OFFSET(D69,H68-1,1+(B75-1)*2))</f>
        <v/>
      </c>
      <c r="I75" s="150" t="str">
        <f ca="1">IF(OFFSET(D69,H68-1,(B75-1)*2)="","",OFFSET(D69,H68-1,(B75-1)*2))</f>
        <v/>
      </c>
      <c r="J75" s="150" t="str">
        <f ca="1">IF(OFFSET(D69,J68-1,1+(B75-1)*2)="","",OFFSET(D69,J68-1,1+(B75-1)*2))</f>
        <v/>
      </c>
      <c r="K75" s="150" t="str">
        <f ca="1">IF(OFFSET(D69,J68-1,(B75-1)*2)="","",OFFSET(D69,J68-1,(B75-1)*2))</f>
        <v/>
      </c>
      <c r="L75" s="150" t="str">
        <f ca="1">IF(OFFSET(D69,L68-1,1+(B75-1)*2)="","",OFFSET(D69,L68-1,1+(B75-1)*2))</f>
        <v/>
      </c>
      <c r="M75" s="150" t="str">
        <f ca="1">IF(OFFSET(D69,L68-1,(B75-1)*2)="","",OFFSET(D69,L68-1,(B75-1)*2))</f>
        <v/>
      </c>
      <c r="N75" s="150" t="str">
        <f ca="1">IF(OFFSET(D69,N68-1,1+(B75-1)*2)="","",OFFSET(D69,N68-1,1+(B75-1)*2))</f>
        <v/>
      </c>
      <c r="O75" s="150" t="str">
        <f ca="1">IF(OFFSET(D69,N68-1,(B75-1)*2)="","",OFFSET(D69,N68-1,(B75-1)*2))</f>
        <v/>
      </c>
      <c r="P75" s="155"/>
      <c r="Q75" s="149"/>
      <c r="R75" s="150"/>
      <c r="S75" s="150"/>
      <c r="T75" s="151">
        <f ca="1">COUNTIF(OFFSET(E69,0,(B75-1)*2,8),3)*2+COUNTIF(OFFSET(D69,0,(B75-1)*2,8),3)</f>
        <v>0</v>
      </c>
      <c r="U75" s="151">
        <f ca="1">RANK(AZ75,AZ69:AZ76)*AY75</f>
        <v>0</v>
      </c>
      <c r="V75" s="151">
        <f t="shared" ca="1" si="98"/>
        <v>0</v>
      </c>
      <c r="W75" s="151">
        <f t="shared" ca="1" si="99"/>
        <v>0</v>
      </c>
      <c r="X75" s="152" t="str">
        <f t="shared" ca="1" si="95"/>
        <v/>
      </c>
      <c r="Y75" s="153"/>
      <c r="Z75" s="148">
        <v>7</v>
      </c>
      <c r="AA75" s="154" t="str">
        <f ca="1">OFFSET(gr_anchor,Z75,Z68)</f>
        <v/>
      </c>
      <c r="AB75" s="150" t="str">
        <f ca="1">IF(OFFSET(AB69,AB68-1,1+(Z75-1)*2)="","",OFFSET(AB69,AB68-1,1+(Z75-1)*2))</f>
        <v/>
      </c>
      <c r="AC75" s="150" t="str">
        <f ca="1">IF(OFFSET(AB69,AB68-1,(Z75-1)*2)="","",OFFSET(AB69,AB68-1,(Z75-1)*2))</f>
        <v/>
      </c>
      <c r="AD75" s="150" t="str">
        <f ca="1">IF(OFFSET(AB69,AD68-1,1+(Z75-1)*2)="","",OFFSET(AB69,AD68-1,1+(Z75-1)*2))</f>
        <v/>
      </c>
      <c r="AE75" s="150" t="str">
        <f ca="1">IF(OFFSET(AB69,AD68-1,(Z75-1)*2)="","",OFFSET(AB69,AD68-1,(Z75-1)*2))</f>
        <v/>
      </c>
      <c r="AF75" s="150" t="str">
        <f ca="1">IF(OFFSET(AB69,AF68-1,1+(Z75-1)*2)="","",OFFSET(AB69,AF68-1,1+(Z75-1)*2))</f>
        <v/>
      </c>
      <c r="AG75" s="150" t="str">
        <f ca="1">IF(OFFSET(AB69,AF68-1,(Z75-1)*2)="","",OFFSET(AB69,AF68-1,(Z75-1)*2))</f>
        <v/>
      </c>
      <c r="AH75" s="150" t="str">
        <f ca="1">IF(OFFSET(AB69,AH68-1,1+(Z75-1)*2)="","",OFFSET(AB69,AH68-1,1+(Z75-1)*2))</f>
        <v/>
      </c>
      <c r="AI75" s="150" t="str">
        <f ca="1">IF(OFFSET(AB69,AH68-1,(Z75-1)*2)="","",OFFSET(AB69,AH68-1,(Z75-1)*2))</f>
        <v/>
      </c>
      <c r="AJ75" s="150" t="str">
        <f ca="1">IF(OFFSET(AB69,AJ68-1,1+(Z75-1)*2)="","",OFFSET(AB69,AJ68-1,1+(Z75-1)*2))</f>
        <v/>
      </c>
      <c r="AK75" s="150" t="str">
        <f ca="1">IF(OFFSET(AB69,AJ68-1,(Z75-1)*2)="","",OFFSET(AB69,AJ68-1,(Z75-1)*2))</f>
        <v/>
      </c>
      <c r="AL75" s="150" t="str">
        <f ca="1">IF(OFFSET(AB69,AL68-1,1+(Z75-1)*2)="","",OFFSET(AB69,AL68-1,1+(Z75-1)*2))</f>
        <v/>
      </c>
      <c r="AM75" s="150" t="str">
        <f ca="1">IF(OFFSET(AB69,AL68-1,(Z75-1)*2)="","",OFFSET(AB69,AL68-1,(Z75-1)*2))</f>
        <v/>
      </c>
      <c r="AN75" s="155"/>
      <c r="AO75" s="149"/>
      <c r="AP75" s="150"/>
      <c r="AQ75" s="150"/>
      <c r="AR75" s="151">
        <f ca="1">COUNTIF(OFFSET(AC69,0,(Z75-1)*2,8),3)*2+COUNTIF(OFFSET(AB69,0,(Z75-1)*2,8),3)</f>
        <v>0</v>
      </c>
      <c r="AS75" s="151">
        <f ca="1">RANK(CC75,CC69:CC76)*CB75</f>
        <v>0</v>
      </c>
      <c r="AT75" s="151">
        <f t="shared" ca="1" si="100"/>
        <v>0</v>
      </c>
      <c r="AU75" s="151">
        <f t="shared" ca="1" si="101"/>
        <v>0</v>
      </c>
      <c r="AV75" s="152" t="str">
        <f t="shared" ca="1" si="102"/>
        <v/>
      </c>
      <c r="AW75" s="153"/>
      <c r="AX75" s="156">
        <f ca="1">COUNTA(C69:C76)-COUNTBLANK(C69:C76)</f>
        <v>0</v>
      </c>
      <c r="AY75" s="156">
        <f t="shared" ca="1" si="96"/>
        <v>0</v>
      </c>
      <c r="AZ75" s="157">
        <f t="shared" ca="1" si="103"/>
        <v>0</v>
      </c>
      <c r="BA75" s="156">
        <f ca="1">IF(T75=OFFSET(T68,BA68,0),1,0)</f>
        <v>1</v>
      </c>
      <c r="BB75" s="156">
        <f ca="1">IF(T75=OFFSET(T68,BB68,0),1,0)</f>
        <v>1</v>
      </c>
      <c r="BC75" s="156">
        <f ca="1">IF(T75=OFFSET(T68,BC68,0),1,0)</f>
        <v>1</v>
      </c>
      <c r="BD75" s="156">
        <f ca="1">IF(T75=OFFSET(T68,BD68,0),1,0)</f>
        <v>1</v>
      </c>
      <c r="BE75" s="156">
        <f ca="1">IF(T75=OFFSET(T68,BE68,0),1,0)</f>
        <v>1</v>
      </c>
      <c r="BF75" s="156">
        <f ca="1">IF(T75=OFFSET(T68,BF68,0),1,0)</f>
        <v>1</v>
      </c>
      <c r="BG75" s="156">
        <f ca="1">IF(T75=OFFSET(T68,BG68,0),1,0)</f>
        <v>1</v>
      </c>
      <c r="BH75" s="156">
        <f ca="1">IF(T75=OFFSET(T68,BH68,0),1,0)</f>
        <v>1</v>
      </c>
      <c r="BI75" s="156" t="str">
        <f ca="1">OFFSET(C75,0,1+(BI68-1)*2)</f>
        <v/>
      </c>
      <c r="BJ75" s="156" t="str">
        <f ca="1">OFFSET(C75,0,1+(BJ68-1)*2)</f>
        <v/>
      </c>
      <c r="BK75" s="156" t="str">
        <f ca="1">OFFSET(C75,0,1+(BK68-1)*2)</f>
        <v/>
      </c>
      <c r="BL75" s="156" t="str">
        <f ca="1">OFFSET(C75,0,1+(BL68-1)*2)</f>
        <v/>
      </c>
      <c r="BM75" s="156" t="str">
        <f ca="1">OFFSET(C75,0,1+(BM68-1)*2)</f>
        <v/>
      </c>
      <c r="BN75" s="156" t="str">
        <f ca="1">OFFSET(C75,0,1+(BN68-1)*2)</f>
        <v/>
      </c>
      <c r="BO75" s="156">
        <f ca="1">OFFSET(C75,0,1+(BO68-1)*2)</f>
        <v>0</v>
      </c>
      <c r="BP75" s="156">
        <f ca="1">OFFSET(C75,0,1+(BP68-1)*2)</f>
        <v>0</v>
      </c>
      <c r="BQ75" s="156" t="str">
        <f t="shared" ca="1" si="104"/>
        <v/>
      </c>
      <c r="BR75" s="156" t="str">
        <f t="shared" ca="1" si="104"/>
        <v/>
      </c>
      <c r="BS75" s="156" t="str">
        <f t="shared" ca="1" si="104"/>
        <v/>
      </c>
      <c r="BT75" s="156" t="str">
        <f t="shared" ca="1" si="104"/>
        <v/>
      </c>
      <c r="BU75" s="156" t="str">
        <f t="shared" ca="1" si="104"/>
        <v/>
      </c>
      <c r="BV75" s="156" t="str">
        <f t="shared" ca="1" si="104"/>
        <v/>
      </c>
      <c r="BW75" s="156">
        <f t="shared" ca="1" si="104"/>
        <v>0</v>
      </c>
      <c r="BX75" s="156">
        <f t="shared" ca="1" si="104"/>
        <v>0</v>
      </c>
      <c r="BY75" s="156">
        <f t="shared" ca="1" si="105"/>
        <v>8</v>
      </c>
      <c r="CA75" s="156">
        <f ca="1">COUNTA(AA69:AA76)-COUNTBLANK(AA69:AA76)</f>
        <v>0</v>
      </c>
      <c r="CB75" s="156">
        <f t="shared" ca="1" si="106"/>
        <v>0</v>
      </c>
      <c r="CC75" s="157">
        <f t="shared" ca="1" si="107"/>
        <v>0</v>
      </c>
      <c r="CD75" s="156">
        <f ca="1">IF(AR75=OFFSET(AR68,CD68,0),1,0)</f>
        <v>1</v>
      </c>
      <c r="CE75" s="156">
        <f ca="1">IF(AR75=OFFSET(AR68,CE68,0),1,0)</f>
        <v>1</v>
      </c>
      <c r="CF75" s="156">
        <f ca="1">IF(AR75=OFFSET(AR68,CF68,0),1,0)</f>
        <v>1</v>
      </c>
      <c r="CG75" s="156">
        <f ca="1">IF(AR75=OFFSET(AR68,CG68,0),1,0)</f>
        <v>1</v>
      </c>
      <c r="CH75" s="156">
        <f ca="1">IF(AR75=OFFSET(AR68,CH68,0),1,0)</f>
        <v>1</v>
      </c>
      <c r="CI75" s="156">
        <f ca="1">IF(AR75=OFFSET(AR68,CI68,0),1,0)</f>
        <v>1</v>
      </c>
      <c r="CJ75" s="156">
        <f ca="1">IF(AR75=OFFSET(AR68,CJ68,0),1,0)</f>
        <v>1</v>
      </c>
      <c r="CK75" s="156">
        <f ca="1">IF(AR75=OFFSET(AR68,CK68,0),1,0)</f>
        <v>1</v>
      </c>
      <c r="CL75" s="156" t="str">
        <f ca="1">OFFSET(AA75,0,1+(CL68-1)*2)</f>
        <v/>
      </c>
      <c r="CM75" s="156" t="str">
        <f ca="1">OFFSET(AA75,0,1+(CM68-1)*2)</f>
        <v/>
      </c>
      <c r="CN75" s="156" t="str">
        <f ca="1">OFFSET(AA75,0,1+(CN68-1)*2)</f>
        <v/>
      </c>
      <c r="CO75" s="156" t="str">
        <f ca="1">OFFSET(AA75,0,1+(CO68-1)*2)</f>
        <v/>
      </c>
      <c r="CP75" s="156" t="str">
        <f ca="1">OFFSET(AA75,0,1+(CP68-1)*2)</f>
        <v/>
      </c>
      <c r="CQ75" s="156" t="str">
        <f ca="1">OFFSET(AA75,0,1+(CQ68-1)*2)</f>
        <v/>
      </c>
      <c r="CR75" s="156">
        <f ca="1">OFFSET(AA75,0,1+(CR68-1)*2)</f>
        <v>0</v>
      </c>
      <c r="CS75" s="156">
        <f ca="1">OFFSET(AA75,0,1+(CS68-1)*2)</f>
        <v>0</v>
      </c>
      <c r="CT75" s="156" t="str">
        <f ca="1">OFFSET(AA75,0,2+(CT68-1)*2)</f>
        <v/>
      </c>
      <c r="CU75" s="156" t="str">
        <f ca="1">OFFSET(AA75,0,2+(CU68-1)*2)</f>
        <v/>
      </c>
      <c r="CV75" s="156" t="str">
        <f ca="1">OFFSET(AA75,0,2+(CV68-1)*2)</f>
        <v/>
      </c>
      <c r="CW75" s="156" t="str">
        <f ca="1">OFFSET(AA75,0,2+(CW68-1)*2)</f>
        <v/>
      </c>
      <c r="CX75" s="156" t="str">
        <f ca="1">OFFSET(AA75,0,2+(CX68-1)*2)</f>
        <v/>
      </c>
      <c r="CY75" s="156" t="str">
        <f ca="1">OFFSET(AA75,0,2+(CY68-1)*2)</f>
        <v/>
      </c>
      <c r="CZ75" s="156">
        <f ca="1">OFFSET(AA75,0,2+(CZ68-1)*2)</f>
        <v>0</v>
      </c>
      <c r="DA75" s="156">
        <f ca="1">OFFSET(AA75,0,2+(DA68-1)*2)</f>
        <v>0</v>
      </c>
      <c r="DB75" s="156">
        <f t="shared" ca="1" si="108"/>
        <v>8</v>
      </c>
      <c r="DE75" s="159"/>
      <c r="DF75" s="159"/>
      <c r="DG75" s="159">
        <v>2</v>
      </c>
      <c r="DH75" s="159">
        <v>7</v>
      </c>
      <c r="DI75" s="123">
        <f t="shared" si="94"/>
        <v>3</v>
      </c>
      <c r="DJ75" s="36" t="str">
        <f ca="1">OFFSET(gr_header,DG75+DE64,1+DF64)</f>
        <v/>
      </c>
      <c r="DK75" s="36" t="str">
        <f ca="1">OFFSET(gr_header,DH75+DE64,1+DF64)</f>
        <v/>
      </c>
      <c r="DL75" s="123">
        <f ca="1">OFFSET(gr_header,DG75+DE64,2*DH75+DF64)</f>
        <v>0</v>
      </c>
      <c r="DM75" s="123">
        <f ca="1">OFFSET(gr_header,DG75+DE64,2*DH75+1+DF64)</f>
        <v>0</v>
      </c>
      <c r="DN75" s="34"/>
      <c r="DO75" s="183">
        <f t="shared" ca="1" si="109"/>
        <v>0</v>
      </c>
      <c r="DP75" s="183">
        <f t="shared" ca="1" si="110"/>
        <v>0</v>
      </c>
      <c r="DQ75" s="183">
        <f t="shared" ca="1" si="111"/>
        <v>0</v>
      </c>
      <c r="DR75" s="183">
        <f t="shared" ca="1" si="112"/>
        <v>0</v>
      </c>
      <c r="DS75" s="182">
        <f t="shared" ca="1" si="113"/>
        <v>0</v>
      </c>
      <c r="DT75" s="182">
        <f t="shared" ca="1" si="114"/>
        <v>0</v>
      </c>
      <c r="DU75" s="182"/>
      <c r="DV75" s="182"/>
      <c r="DW75" s="182"/>
    </row>
    <row r="76" spans="2:127" hidden="1" outlineLevel="1">
      <c r="B76" s="148">
        <v>8</v>
      </c>
      <c r="C76" s="154" t="str">
        <f ca="1">OFFSET(gr_anchor,B76,B68)</f>
        <v/>
      </c>
      <c r="D76" s="150" t="str">
        <f ca="1">IF(OFFSET(D69,D68-1,1+(B76-1)*2)="","",OFFSET(D69,D68-1,1+(B76-1)*2))</f>
        <v/>
      </c>
      <c r="E76" s="150" t="str">
        <f ca="1">IF(OFFSET(D69,D68-1,(B76-1)*2)="","",OFFSET(D69,D68-1,(B76-1)*2))</f>
        <v/>
      </c>
      <c r="F76" s="150" t="str">
        <f ca="1">IF(OFFSET(D69,F68-1,1+(B76-1)*2)="","",OFFSET(D69,F68-1,1+(B76-1)*2))</f>
        <v/>
      </c>
      <c r="G76" s="150" t="str">
        <f ca="1">IF(OFFSET(D69,F68-1,(B76-1)*2)="","",OFFSET(D69,F68-1,(B76-1)*2))</f>
        <v/>
      </c>
      <c r="H76" s="150" t="str">
        <f ca="1">IF(OFFSET(D69,H68-1,1+(B76-1)*2)="","",OFFSET(D69,H68-1,1+(B76-1)*2))</f>
        <v/>
      </c>
      <c r="I76" s="150" t="str">
        <f ca="1">IF(OFFSET(D69,H68-1,(B76-1)*2)="","",OFFSET(D69,H68-1,(B76-1)*2))</f>
        <v/>
      </c>
      <c r="J76" s="150" t="str">
        <f ca="1">IF(OFFSET(D69,J68-1,1+(B76-1)*2)="","",OFFSET(D69,J68-1,1+(B76-1)*2))</f>
        <v/>
      </c>
      <c r="K76" s="150" t="str">
        <f ca="1">IF(OFFSET(D69,J68-1,(B76-1)*2)="","",OFFSET(D69,J68-1,(B76-1)*2))</f>
        <v/>
      </c>
      <c r="L76" s="150" t="str">
        <f ca="1">IF(OFFSET(D69,L68-1,1+(B76-1)*2)="","",OFFSET(D69,L68-1,1+(B76-1)*2))</f>
        <v/>
      </c>
      <c r="M76" s="150" t="str">
        <f ca="1">IF(OFFSET(D69,L68-1,(B76-1)*2)="","",OFFSET(D69,L68-1,(B76-1)*2))</f>
        <v/>
      </c>
      <c r="N76" s="150" t="str">
        <f ca="1">IF(OFFSET(D69,N68-1,1+(B76-1)*2)="","",OFFSET(D69,N68-1,1+(B76-1)*2))</f>
        <v/>
      </c>
      <c r="O76" s="150" t="str">
        <f ca="1">IF(OFFSET(D69,N68-1,(B76-1)*2)="","",OFFSET(D69,N68-1,(B76-1)*2))</f>
        <v/>
      </c>
      <c r="P76" s="150" t="str">
        <f ca="1">IF(OFFSET(D69,P68-1,1+(B76-1)*2)="","",OFFSET(D69,P68-1,1+(B76-1)*2))</f>
        <v/>
      </c>
      <c r="Q76" s="150" t="str">
        <f ca="1">IF(OFFSET(D69,P68-1,(B76-1)*2)="","",OFFSET(D69,P68-1,(B76-1)*2))</f>
        <v/>
      </c>
      <c r="R76" s="155"/>
      <c r="S76" s="149"/>
      <c r="T76" s="151">
        <f ca="1">COUNTIF(OFFSET(E69,0,(B76-1)*2,8),3)*2+COUNTIF(OFFSET(D69,0,(B76-1)*2,8),3)</f>
        <v>0</v>
      </c>
      <c r="U76" s="151">
        <f ca="1">RANK(AZ76,AZ69:AZ76)*AY76</f>
        <v>0</v>
      </c>
      <c r="V76" s="151">
        <f t="shared" ca="1" si="98"/>
        <v>0</v>
      </c>
      <c r="W76" s="151">
        <f t="shared" ca="1" si="99"/>
        <v>0</v>
      </c>
      <c r="X76" s="152" t="str">
        <f t="shared" ca="1" si="95"/>
        <v/>
      </c>
      <c r="Y76" s="153"/>
      <c r="Z76" s="148">
        <v>8</v>
      </c>
      <c r="AA76" s="154" t="str">
        <f ca="1">OFFSET(gr_anchor,Z76,Z68)</f>
        <v/>
      </c>
      <c r="AB76" s="150" t="str">
        <f ca="1">IF(OFFSET(AB69,AB68-1,1+(Z76-1)*2)="","",OFFSET(AB69,AB68-1,1+(Z76-1)*2))</f>
        <v/>
      </c>
      <c r="AC76" s="150" t="str">
        <f ca="1">IF(OFFSET(AB69,AB68-1,(Z76-1)*2)="","",OFFSET(AB69,AB68-1,(Z76-1)*2))</f>
        <v/>
      </c>
      <c r="AD76" s="150" t="str">
        <f ca="1">IF(OFFSET(AB69,AD68-1,1+(Z76-1)*2)="","",OFFSET(AB69,AD68-1,1+(Z76-1)*2))</f>
        <v/>
      </c>
      <c r="AE76" s="150" t="str">
        <f ca="1">IF(OFFSET(AB69,AD68-1,(Z76-1)*2)="","",OFFSET(AB69,AD68-1,(Z76-1)*2))</f>
        <v/>
      </c>
      <c r="AF76" s="150" t="str">
        <f ca="1">IF(OFFSET(AB69,AF68-1,1+(Z76-1)*2)="","",OFFSET(AB69,AF68-1,1+(Z76-1)*2))</f>
        <v/>
      </c>
      <c r="AG76" s="150" t="str">
        <f ca="1">IF(OFFSET(AB69,AF68-1,(Z76-1)*2)="","",OFFSET(AB69,AF68-1,(Z76-1)*2))</f>
        <v/>
      </c>
      <c r="AH76" s="150" t="str">
        <f ca="1">IF(OFFSET(AB69,AH68-1,1+(Z76-1)*2)="","",OFFSET(AB69,AH68-1,1+(Z76-1)*2))</f>
        <v/>
      </c>
      <c r="AI76" s="150" t="str">
        <f ca="1">IF(OFFSET(AB69,AH68-1,(Z76-1)*2)="","",OFFSET(AB69,AH68-1,(Z76-1)*2))</f>
        <v/>
      </c>
      <c r="AJ76" s="150" t="str">
        <f ca="1">IF(OFFSET(AB69,AJ68-1,1+(Z76-1)*2)="","",OFFSET(AB69,AJ68-1,1+(Z76-1)*2))</f>
        <v/>
      </c>
      <c r="AK76" s="150" t="str">
        <f ca="1">IF(OFFSET(AB69,AJ68-1,(Z76-1)*2)="","",OFFSET(AB69,AJ68-1,(Z76-1)*2))</f>
        <v/>
      </c>
      <c r="AL76" s="150" t="str">
        <f ca="1">IF(OFFSET(AB69,AL68-1,1+(Z76-1)*2)="","",OFFSET(AB69,AL68-1,1+(Z76-1)*2))</f>
        <v/>
      </c>
      <c r="AM76" s="150" t="str">
        <f ca="1">IF(OFFSET(AB69,AL68-1,(Z76-1)*2)="","",OFFSET(AB69,AL68-1,(Z76-1)*2))</f>
        <v/>
      </c>
      <c r="AN76" s="150" t="str">
        <f ca="1">IF(OFFSET(AB69,AN68-1,1+(Z76-1)*2)="","",OFFSET(AB69,AN68-1,1+(Z76-1)*2))</f>
        <v/>
      </c>
      <c r="AO76" s="150" t="str">
        <f ca="1">IF(OFFSET(AB69,AN68-1,(Z76-1)*2)="","",OFFSET(AB69,AN68-1,(Z76-1)*2))</f>
        <v/>
      </c>
      <c r="AP76" s="155"/>
      <c r="AQ76" s="149"/>
      <c r="AR76" s="151">
        <f ca="1">COUNTIF(OFFSET(AC69,0,(Z76-1)*2,8),3)*2+COUNTIF(OFFSET(AB69,0,(Z76-1)*2,8),3)</f>
        <v>0</v>
      </c>
      <c r="AS76" s="151">
        <f ca="1">RANK(CC76,CC69:CC76)*CB76</f>
        <v>0</v>
      </c>
      <c r="AT76" s="151">
        <f t="shared" ca="1" si="100"/>
        <v>0</v>
      </c>
      <c r="AU76" s="151">
        <f t="shared" ca="1" si="101"/>
        <v>0</v>
      </c>
      <c r="AV76" s="152" t="str">
        <f t="shared" ca="1" si="102"/>
        <v/>
      </c>
      <c r="AW76" s="153"/>
      <c r="AX76" s="156">
        <f ca="1">COUNTA(C69:C76)-COUNTBLANK(C69:C76)</f>
        <v>0</v>
      </c>
      <c r="AY76" s="156">
        <f t="shared" ca="1" si="96"/>
        <v>0</v>
      </c>
      <c r="AZ76" s="157">
        <f t="shared" ca="1" si="103"/>
        <v>0</v>
      </c>
      <c r="BA76" s="156">
        <f ca="1">IF(T76=OFFSET(T68,BA68,0),1,0)</f>
        <v>1</v>
      </c>
      <c r="BB76" s="156">
        <f ca="1">IF(T76=OFFSET(T68,BB68,0),1,0)</f>
        <v>1</v>
      </c>
      <c r="BC76" s="156">
        <f ca="1">IF(T76=OFFSET(T68,BC68,0),1,0)</f>
        <v>1</v>
      </c>
      <c r="BD76" s="156">
        <f ca="1">IF(T76=OFFSET(T68,BD68,0),1,0)</f>
        <v>1</v>
      </c>
      <c r="BE76" s="156">
        <f ca="1">IF(T76=OFFSET(T68,BE68,0),1,0)</f>
        <v>1</v>
      </c>
      <c r="BF76" s="156">
        <f ca="1">IF(T76=OFFSET(T68,BF68,0),1,0)</f>
        <v>1</v>
      </c>
      <c r="BG76" s="156">
        <f ca="1">IF(T76=OFFSET(T68,BG68,0),1,0)</f>
        <v>1</v>
      </c>
      <c r="BH76" s="156">
        <f ca="1">IF(T76=OFFSET(T68,BH68,0),1,0)</f>
        <v>1</v>
      </c>
      <c r="BI76" s="156" t="str">
        <f ca="1">OFFSET(C76,0,1+(BI68-1)*2)</f>
        <v/>
      </c>
      <c r="BJ76" s="156" t="str">
        <f ca="1">OFFSET(C76,0,1+(BJ68-1)*2)</f>
        <v/>
      </c>
      <c r="BK76" s="156" t="str">
        <f ca="1">OFFSET(C76,0,1+(BK68-1)*2)</f>
        <v/>
      </c>
      <c r="BL76" s="156" t="str">
        <f ca="1">OFFSET(C76,0,1+(BL68-1)*2)</f>
        <v/>
      </c>
      <c r="BM76" s="156" t="str">
        <f ca="1">OFFSET(C76,0,1+(BM68-1)*2)</f>
        <v/>
      </c>
      <c r="BN76" s="156" t="str">
        <f ca="1">OFFSET(C76,0,1+(BN68-1)*2)</f>
        <v/>
      </c>
      <c r="BO76" s="156" t="str">
        <f ca="1">OFFSET(C76,0,1+(BO68-1)*2)</f>
        <v/>
      </c>
      <c r="BP76" s="156">
        <f ca="1">OFFSET(C76,0,1+(BP68-1)*2)</f>
        <v>0</v>
      </c>
      <c r="BQ76" s="156" t="str">
        <f t="shared" ca="1" si="104"/>
        <v/>
      </c>
      <c r="BR76" s="156" t="str">
        <f t="shared" ca="1" si="104"/>
        <v/>
      </c>
      <c r="BS76" s="156" t="str">
        <f t="shared" ca="1" si="104"/>
        <v/>
      </c>
      <c r="BT76" s="156" t="str">
        <f t="shared" ca="1" si="104"/>
        <v/>
      </c>
      <c r="BU76" s="156" t="str">
        <f t="shared" ca="1" si="104"/>
        <v/>
      </c>
      <c r="BV76" s="156" t="str">
        <f t="shared" ca="1" si="104"/>
        <v/>
      </c>
      <c r="BW76" s="156" t="str">
        <f t="shared" ca="1" si="104"/>
        <v/>
      </c>
      <c r="BX76" s="156">
        <f t="shared" ca="1" si="104"/>
        <v>0</v>
      </c>
      <c r="BY76" s="156">
        <f t="shared" ca="1" si="105"/>
        <v>8</v>
      </c>
      <c r="CA76" s="156">
        <f ca="1">COUNTA(AA69:AA76)-COUNTBLANK(AA69:AA76)</f>
        <v>0</v>
      </c>
      <c r="CB76" s="156">
        <f t="shared" ca="1" si="106"/>
        <v>0</v>
      </c>
      <c r="CC76" s="157">
        <f t="shared" ca="1" si="107"/>
        <v>0</v>
      </c>
      <c r="CD76" s="156">
        <f ca="1">IF(AR76=OFFSET(AR68,CD68,0),1,0)</f>
        <v>1</v>
      </c>
      <c r="CE76" s="156">
        <f ca="1">IF(AR76=OFFSET(AR68,CE68,0),1,0)</f>
        <v>1</v>
      </c>
      <c r="CF76" s="156">
        <f ca="1">IF(AR76=OFFSET(AR68,CF68,0),1,0)</f>
        <v>1</v>
      </c>
      <c r="CG76" s="156">
        <f ca="1">IF(AR76=OFFSET(AR68,CG68,0),1,0)</f>
        <v>1</v>
      </c>
      <c r="CH76" s="156">
        <f ca="1">IF(AR76=OFFSET(AR68,CH68,0),1,0)</f>
        <v>1</v>
      </c>
      <c r="CI76" s="156">
        <f ca="1">IF(AR76=OFFSET(AR68,CI68,0),1,0)</f>
        <v>1</v>
      </c>
      <c r="CJ76" s="156">
        <f ca="1">IF(AR76=OFFSET(AR68,CJ68,0),1,0)</f>
        <v>1</v>
      </c>
      <c r="CK76" s="156">
        <f ca="1">IF(AR76=OFFSET(AR68,CK68,0),1,0)</f>
        <v>1</v>
      </c>
      <c r="CL76" s="156" t="str">
        <f ca="1">OFFSET(AA76,0,1+(CL68-1)*2)</f>
        <v/>
      </c>
      <c r="CM76" s="156" t="str">
        <f ca="1">OFFSET(AA76,0,1+(CM68-1)*2)</f>
        <v/>
      </c>
      <c r="CN76" s="156" t="str">
        <f ca="1">OFFSET(AA76,0,1+(CN68-1)*2)</f>
        <v/>
      </c>
      <c r="CO76" s="156" t="str">
        <f ca="1">OFFSET(AA76,0,1+(CO68-1)*2)</f>
        <v/>
      </c>
      <c r="CP76" s="156" t="str">
        <f ca="1">OFFSET(AA76,0,1+(CP68-1)*2)</f>
        <v/>
      </c>
      <c r="CQ76" s="156" t="str">
        <f ca="1">OFFSET(AA76,0,1+(CQ68-1)*2)</f>
        <v/>
      </c>
      <c r="CR76" s="156" t="str">
        <f ca="1">OFFSET(AA76,0,1+(CR68-1)*2)</f>
        <v/>
      </c>
      <c r="CS76" s="156">
        <f ca="1">OFFSET(AA76,0,1+(CS68-1)*2)</f>
        <v>0</v>
      </c>
      <c r="CT76" s="156" t="str">
        <f ca="1">OFFSET(AA76,0,2+(CT68-1)*2)</f>
        <v/>
      </c>
      <c r="CU76" s="156" t="str">
        <f ca="1">OFFSET(AA76,0,2+(CU68-1)*2)</f>
        <v/>
      </c>
      <c r="CV76" s="156" t="str">
        <f ca="1">OFFSET(AA76,0,2+(CV68-1)*2)</f>
        <v/>
      </c>
      <c r="CW76" s="156" t="str">
        <f ca="1">OFFSET(AA76,0,2+(CW68-1)*2)</f>
        <v/>
      </c>
      <c r="CX76" s="156" t="str">
        <f ca="1">OFFSET(AA76,0,2+(CX68-1)*2)</f>
        <v/>
      </c>
      <c r="CY76" s="156" t="str">
        <f ca="1">OFFSET(AA76,0,2+(CY68-1)*2)</f>
        <v/>
      </c>
      <c r="CZ76" s="156" t="str">
        <f ca="1">OFFSET(AA76,0,2+(CZ68-1)*2)</f>
        <v/>
      </c>
      <c r="DA76" s="156">
        <f ca="1">OFFSET(AA76,0,2+(DA68-1)*2)</f>
        <v>0</v>
      </c>
      <c r="DB76" s="156">
        <f t="shared" ca="1" si="108"/>
        <v>8</v>
      </c>
      <c r="DE76" s="159"/>
      <c r="DF76" s="159"/>
      <c r="DG76" s="159">
        <v>2</v>
      </c>
      <c r="DH76" s="159">
        <v>8</v>
      </c>
      <c r="DI76" s="123">
        <f t="shared" si="94"/>
        <v>3</v>
      </c>
      <c r="DJ76" s="36" t="str">
        <f ca="1">OFFSET(gr_header,DG76+DE64,1+DF64)</f>
        <v/>
      </c>
      <c r="DK76" s="36" t="str">
        <f ca="1">OFFSET(gr_header,DH76+DE64,1+DF64)</f>
        <v/>
      </c>
      <c r="DL76" s="123">
        <f ca="1">OFFSET(gr_header,DG76+DE64,2*DH76+DF64)</f>
        <v>0</v>
      </c>
      <c r="DM76" s="123">
        <f ca="1">OFFSET(gr_header,DG76+DE64,2*DH76+1+DF64)</f>
        <v>0</v>
      </c>
      <c r="DN76" s="34"/>
      <c r="DO76" s="183">
        <f t="shared" ca="1" si="109"/>
        <v>0</v>
      </c>
      <c r="DP76" s="183">
        <f t="shared" ca="1" si="110"/>
        <v>0</v>
      </c>
      <c r="DQ76" s="183">
        <f t="shared" ca="1" si="111"/>
        <v>0</v>
      </c>
      <c r="DR76" s="183">
        <f t="shared" ca="1" si="112"/>
        <v>0</v>
      </c>
      <c r="DS76" s="182">
        <f t="shared" ca="1" si="113"/>
        <v>0</v>
      </c>
      <c r="DT76" s="182">
        <f t="shared" ca="1" si="114"/>
        <v>0</v>
      </c>
      <c r="DU76" s="182"/>
      <c r="DV76" s="182"/>
      <c r="DW76" s="182"/>
    </row>
    <row r="77" spans="2:127" ht="14.25" collapsed="1" thickBot="1">
      <c r="DE77" s="159"/>
      <c r="DF77" s="159"/>
      <c r="DG77" s="159">
        <v>3</v>
      </c>
      <c r="DH77" s="159">
        <v>4</v>
      </c>
      <c r="DI77" s="123">
        <f t="shared" si="94"/>
        <v>3</v>
      </c>
      <c r="DJ77" s="36" t="str">
        <f ca="1">OFFSET(gr_header,DG77+DE64,1+DF64)</f>
        <v/>
      </c>
      <c r="DK77" s="36" t="str">
        <f ca="1">OFFSET(gr_header,DH77+DE64,1+DF64)</f>
        <v/>
      </c>
      <c r="DL77" s="123">
        <f ca="1">OFFSET(gr_header,DG77+DE64,2*DH77+DF64)</f>
        <v>0</v>
      </c>
      <c r="DM77" s="123">
        <f ca="1">OFFSET(gr_header,DG77+DE64,2*DH77+1+DF64)</f>
        <v>0</v>
      </c>
      <c r="DN77" s="34"/>
      <c r="DO77" s="183">
        <f t="shared" ca="1" si="109"/>
        <v>0</v>
      </c>
      <c r="DP77" s="183">
        <f t="shared" ca="1" si="110"/>
        <v>0</v>
      </c>
      <c r="DQ77" s="183">
        <f t="shared" ca="1" si="111"/>
        <v>0</v>
      </c>
      <c r="DR77" s="183">
        <f t="shared" ca="1" si="112"/>
        <v>0</v>
      </c>
      <c r="DS77" s="182">
        <f t="shared" ca="1" si="113"/>
        <v>0</v>
      </c>
      <c r="DT77" s="182">
        <f t="shared" ca="1" si="114"/>
        <v>0</v>
      </c>
      <c r="DU77" s="182"/>
      <c r="DV77" s="182"/>
      <c r="DW77" s="182"/>
    </row>
    <row r="78" spans="2:127" ht="12" customHeight="1" thickBot="1">
      <c r="B78" s="164">
        <f>B68+2</f>
        <v>15</v>
      </c>
      <c r="C78" s="165" t="s">
        <v>38</v>
      </c>
      <c r="D78" s="205">
        <v>1</v>
      </c>
      <c r="E78" s="204"/>
      <c r="F78" s="203">
        <v>2</v>
      </c>
      <c r="G78" s="204"/>
      <c r="H78" s="203">
        <v>3</v>
      </c>
      <c r="I78" s="204"/>
      <c r="J78" s="203">
        <v>4</v>
      </c>
      <c r="K78" s="204"/>
      <c r="L78" s="203">
        <v>5</v>
      </c>
      <c r="M78" s="204"/>
      <c r="N78" s="200">
        <v>6</v>
      </c>
      <c r="O78" s="201"/>
      <c r="P78" s="200">
        <v>7</v>
      </c>
      <c r="Q78" s="201"/>
      <c r="R78" s="200">
        <v>8</v>
      </c>
      <c r="S78" s="202"/>
      <c r="T78" s="178" t="s">
        <v>88</v>
      </c>
      <c r="U78" s="178" t="s">
        <v>89</v>
      </c>
      <c r="V78" s="198" t="s">
        <v>5</v>
      </c>
      <c r="W78" s="198"/>
      <c r="X78" s="141" t="s">
        <v>6</v>
      </c>
      <c r="Y78" s="142"/>
      <c r="Z78" s="164">
        <f>Z68+2</f>
        <v>16</v>
      </c>
      <c r="AA78" s="165" t="s">
        <v>38</v>
      </c>
      <c r="AB78" s="205">
        <v>1</v>
      </c>
      <c r="AC78" s="204"/>
      <c r="AD78" s="203">
        <v>2</v>
      </c>
      <c r="AE78" s="204"/>
      <c r="AF78" s="203">
        <v>3</v>
      </c>
      <c r="AG78" s="204"/>
      <c r="AH78" s="203">
        <v>4</v>
      </c>
      <c r="AI78" s="204"/>
      <c r="AJ78" s="203">
        <v>5</v>
      </c>
      <c r="AK78" s="204"/>
      <c r="AL78" s="200">
        <v>6</v>
      </c>
      <c r="AM78" s="201"/>
      <c r="AN78" s="200">
        <v>7</v>
      </c>
      <c r="AO78" s="201"/>
      <c r="AP78" s="200">
        <v>8</v>
      </c>
      <c r="AQ78" s="202"/>
      <c r="AR78" s="178" t="s">
        <v>88</v>
      </c>
      <c r="AS78" s="178" t="s">
        <v>89</v>
      </c>
      <c r="AT78" s="198" t="s">
        <v>5</v>
      </c>
      <c r="AU78" s="198"/>
      <c r="AV78" s="141" t="s">
        <v>6</v>
      </c>
      <c r="AW78" s="142"/>
      <c r="AX78" s="143" t="s">
        <v>7</v>
      </c>
      <c r="AY78" s="143" t="s">
        <v>8</v>
      </c>
      <c r="AZ78" s="143" t="s">
        <v>9</v>
      </c>
      <c r="BA78" s="144">
        <v>1</v>
      </c>
      <c r="BB78" s="144">
        <v>2</v>
      </c>
      <c r="BC78" s="144">
        <v>3</v>
      </c>
      <c r="BD78" s="144">
        <v>4</v>
      </c>
      <c r="BE78" s="144">
        <v>5</v>
      </c>
      <c r="BF78" s="144">
        <v>6</v>
      </c>
      <c r="BG78" s="144">
        <v>7</v>
      </c>
      <c r="BH78" s="144">
        <v>8</v>
      </c>
      <c r="BI78" s="145">
        <v>1</v>
      </c>
      <c r="BJ78" s="145">
        <v>2</v>
      </c>
      <c r="BK78" s="145">
        <v>3</v>
      </c>
      <c r="BL78" s="145">
        <v>4</v>
      </c>
      <c r="BM78" s="145">
        <v>5</v>
      </c>
      <c r="BN78" s="145">
        <v>6</v>
      </c>
      <c r="BO78" s="145">
        <v>7</v>
      </c>
      <c r="BP78" s="145">
        <v>8</v>
      </c>
      <c r="BQ78" s="144">
        <v>1</v>
      </c>
      <c r="BR78" s="144">
        <v>2</v>
      </c>
      <c r="BS78" s="144">
        <v>3</v>
      </c>
      <c r="BT78" s="144">
        <v>4</v>
      </c>
      <c r="BU78" s="144">
        <v>5</v>
      </c>
      <c r="BV78" s="144">
        <v>6</v>
      </c>
      <c r="BW78" s="144">
        <v>7</v>
      </c>
      <c r="BX78" s="144">
        <v>8</v>
      </c>
      <c r="BY78" s="146"/>
      <c r="CA78" s="143" t="s">
        <v>7</v>
      </c>
      <c r="CB78" s="143" t="s">
        <v>8</v>
      </c>
      <c r="CC78" s="143" t="s">
        <v>9</v>
      </c>
      <c r="CD78" s="144">
        <v>1</v>
      </c>
      <c r="CE78" s="144">
        <v>2</v>
      </c>
      <c r="CF78" s="144">
        <v>3</v>
      </c>
      <c r="CG78" s="144">
        <v>4</v>
      </c>
      <c r="CH78" s="144">
        <v>5</v>
      </c>
      <c r="CI78" s="144">
        <v>6</v>
      </c>
      <c r="CJ78" s="144">
        <v>7</v>
      </c>
      <c r="CK78" s="144">
        <v>8</v>
      </c>
      <c r="CL78" s="145">
        <v>1</v>
      </c>
      <c r="CM78" s="145">
        <v>2</v>
      </c>
      <c r="CN78" s="145">
        <v>3</v>
      </c>
      <c r="CO78" s="145">
        <v>4</v>
      </c>
      <c r="CP78" s="145">
        <v>5</v>
      </c>
      <c r="CQ78" s="145">
        <v>6</v>
      </c>
      <c r="CR78" s="145">
        <v>7</v>
      </c>
      <c r="CS78" s="145">
        <v>8</v>
      </c>
      <c r="CT78" s="144">
        <v>1</v>
      </c>
      <c r="CU78" s="144">
        <v>2</v>
      </c>
      <c r="CV78" s="144">
        <v>3</v>
      </c>
      <c r="CW78" s="144">
        <v>4</v>
      </c>
      <c r="CX78" s="144">
        <v>5</v>
      </c>
      <c r="CY78" s="144">
        <v>6</v>
      </c>
      <c r="CZ78" s="144">
        <v>7</v>
      </c>
      <c r="DA78" s="144">
        <v>8</v>
      </c>
      <c r="DB78" s="146"/>
      <c r="DE78" s="159"/>
      <c r="DF78" s="159"/>
      <c r="DG78" s="159">
        <v>3</v>
      </c>
      <c r="DH78" s="159">
        <v>5</v>
      </c>
      <c r="DI78" s="123">
        <f t="shared" si="94"/>
        <v>3</v>
      </c>
      <c r="DJ78" s="36" t="str">
        <f ca="1">OFFSET(gr_header,DG78+DE64,1+DF64)</f>
        <v/>
      </c>
      <c r="DK78" s="36" t="str">
        <f ca="1">OFFSET(gr_header,DH78+DE64,1+DF64)</f>
        <v/>
      </c>
      <c r="DL78" s="123">
        <f ca="1">OFFSET(gr_header,DG78+DE64,2*DH78+DF64)</f>
        <v>0</v>
      </c>
      <c r="DM78" s="123">
        <f ca="1">OFFSET(gr_header,DG78+DE64,2*DH78+1+DF64)</f>
        <v>0</v>
      </c>
      <c r="DN78" s="34"/>
      <c r="DO78" s="183">
        <f t="shared" ca="1" si="109"/>
        <v>0</v>
      </c>
      <c r="DP78" s="183">
        <f t="shared" ca="1" si="110"/>
        <v>0</v>
      </c>
      <c r="DQ78" s="183">
        <f t="shared" ca="1" si="111"/>
        <v>0</v>
      </c>
      <c r="DR78" s="183">
        <f t="shared" ca="1" si="112"/>
        <v>0</v>
      </c>
      <c r="DS78" s="182">
        <f t="shared" ca="1" si="113"/>
        <v>0</v>
      </c>
      <c r="DT78" s="182">
        <f t="shared" ca="1" si="114"/>
        <v>0</v>
      </c>
      <c r="DU78" s="182"/>
      <c r="DV78" s="182"/>
      <c r="DW78" s="182"/>
    </row>
    <row r="79" spans="2:127" ht="14.25" thickBot="1">
      <c r="B79" s="166">
        <v>1</v>
      </c>
      <c r="C79" s="167" t="str">
        <f ca="1">OFFSET(gr_anchor,B79,B78)</f>
        <v/>
      </c>
      <c r="D79" s="117"/>
      <c r="E79" s="118"/>
      <c r="F79" s="115"/>
      <c r="G79" s="116"/>
      <c r="H79" s="115"/>
      <c r="I79" s="116"/>
      <c r="J79" s="115"/>
      <c r="K79" s="116"/>
      <c r="L79" s="115"/>
      <c r="M79" s="116"/>
      <c r="N79" s="150"/>
      <c r="O79" s="150"/>
      <c r="P79" s="150"/>
      <c r="Q79" s="150"/>
      <c r="R79" s="150"/>
      <c r="S79" s="174"/>
      <c r="T79" s="177">
        <f ca="1">COUNTIF(OFFSET(E79,0,(B79-1)*2,8),3)*2+COUNTIF(OFFSET(D79,0,(B79-1)*2,8),3)</f>
        <v>0</v>
      </c>
      <c r="U79" s="177">
        <f ca="1">RANK(AZ79,AZ79:AZ86)*AY79</f>
        <v>0</v>
      </c>
      <c r="V79" s="175">
        <f ca="1">SUMPRODUCT(BA79:BH79,BI79:BP79)</f>
        <v>0</v>
      </c>
      <c r="W79" s="151">
        <f ca="1">SUMPRODUCT(BA79:BH79,BQ79:BX79)</f>
        <v>0</v>
      </c>
      <c r="X79" s="152" t="str">
        <f t="shared" ref="X79:X86" ca="1" si="115">IF(BY79=2,IF(W79=0,3,V79/W79),IF(V79=0,"",V79/W79))</f>
        <v/>
      </c>
      <c r="Y79" s="153"/>
      <c r="Z79" s="166">
        <v>1</v>
      </c>
      <c r="AA79" s="167" t="str">
        <f ca="1">OFFSET(gr_anchor,Z79,Z78)</f>
        <v/>
      </c>
      <c r="AB79" s="117"/>
      <c r="AC79" s="118"/>
      <c r="AD79" s="115"/>
      <c r="AE79" s="116"/>
      <c r="AF79" s="115"/>
      <c r="AG79" s="116"/>
      <c r="AH79" s="115"/>
      <c r="AI79" s="116"/>
      <c r="AJ79" s="115"/>
      <c r="AK79" s="116"/>
      <c r="AL79" s="150"/>
      <c r="AM79" s="150"/>
      <c r="AN79" s="150"/>
      <c r="AO79" s="150"/>
      <c r="AP79" s="150"/>
      <c r="AQ79" s="174"/>
      <c r="AR79" s="177">
        <f ca="1">COUNTIF(OFFSET(AC79,0,(Z79-1)*2,8),3)*2+COUNTIF(OFFSET(AB79,0,(Z79-1)*2,8),3)</f>
        <v>0</v>
      </c>
      <c r="AS79" s="177">
        <f ca="1">RANK(CC79,CC79:CC86)*CB79</f>
        <v>0</v>
      </c>
      <c r="AT79" s="175">
        <f ca="1">SUMPRODUCT(CD79:CK79,CL79:CS79)</f>
        <v>0</v>
      </c>
      <c r="AU79" s="151">
        <f ca="1">SUMPRODUCT(CD79:CK79,CT79:DA79)</f>
        <v>0</v>
      </c>
      <c r="AV79" s="152" t="str">
        <f ca="1">IF(DB79=2,IF(AU79=0,3,AT79/AU79),IF(AT79=0,"",AT79/AU79))</f>
        <v/>
      </c>
      <c r="AW79" s="153"/>
      <c r="AX79" s="156">
        <f ca="1">COUNTA(C79:C86)-COUNTBLANK(C79:C86)</f>
        <v>0</v>
      </c>
      <c r="AY79" s="156">
        <f t="shared" ref="AY79:AY86" ca="1" si="116">IF(AX79&lt;B79,0,1)</f>
        <v>0</v>
      </c>
      <c r="AZ79" s="157">
        <f ca="1">T79+IF(X79="",0,X79/100)</f>
        <v>0</v>
      </c>
      <c r="BA79" s="156">
        <f ca="1">IF(T79=OFFSET(T78,BA78,0),1,0)</f>
        <v>1</v>
      </c>
      <c r="BB79" s="156">
        <f ca="1">IF(T79=OFFSET(T78,BB78,0),1,0)</f>
        <v>1</v>
      </c>
      <c r="BC79" s="156">
        <f ca="1">IF(T79=OFFSET(T78,BC78,0),1,0)</f>
        <v>1</v>
      </c>
      <c r="BD79" s="156">
        <f ca="1">IF(T79=OFFSET(T78,BD78,0),1,0)</f>
        <v>1</v>
      </c>
      <c r="BE79" s="156">
        <f ca="1">IF(T79=OFFSET(T78,BE78,0),1,0)</f>
        <v>1</v>
      </c>
      <c r="BF79" s="156">
        <f ca="1">IF(T79=OFFSET(T78,BF78,0),1,0)</f>
        <v>1</v>
      </c>
      <c r="BG79" s="156">
        <f ca="1">IF(T79=OFFSET(T78,BG78,0),1,0)</f>
        <v>1</v>
      </c>
      <c r="BH79" s="156">
        <f ca="1">IF(T79=OFFSET(T78,BH78,0),1,0)</f>
        <v>1</v>
      </c>
      <c r="BI79" s="156">
        <f ca="1">OFFSET(C79,0,1+(BI78-1)*2)</f>
        <v>0</v>
      </c>
      <c r="BJ79" s="156">
        <f ca="1">OFFSET(C79,0,1+(BJ78-1)*2)</f>
        <v>0</v>
      </c>
      <c r="BK79" s="156">
        <f ca="1">OFFSET(C79,0,1+(BK78-1)*2)</f>
        <v>0</v>
      </c>
      <c r="BL79" s="156">
        <f ca="1">OFFSET(C79,0,1+(BL78-1)*2)</f>
        <v>0</v>
      </c>
      <c r="BM79" s="156">
        <f ca="1">OFFSET(C79,0,1+(BM78-1)*2)</f>
        <v>0</v>
      </c>
      <c r="BN79" s="156">
        <f ca="1">OFFSET(C79,0,1+(BN78-1)*2)</f>
        <v>0</v>
      </c>
      <c r="BO79" s="156">
        <f ca="1">OFFSET(C79,0,1+(BO78-1)*2)</f>
        <v>0</v>
      </c>
      <c r="BP79" s="156">
        <f ca="1">OFFSET(C79,0,1+(BP78-1)*2)</f>
        <v>0</v>
      </c>
      <c r="BQ79" s="156">
        <f t="shared" ref="BQ79:BX79" ca="1" si="117">OFFSET($C79,0,2+(BQ$8-1)*2)</f>
        <v>0</v>
      </c>
      <c r="BR79" s="156">
        <f t="shared" ca="1" si="117"/>
        <v>0</v>
      </c>
      <c r="BS79" s="156">
        <f t="shared" ca="1" si="117"/>
        <v>0</v>
      </c>
      <c r="BT79" s="156">
        <f t="shared" ca="1" si="117"/>
        <v>0</v>
      </c>
      <c r="BU79" s="156">
        <f t="shared" ca="1" si="117"/>
        <v>0</v>
      </c>
      <c r="BV79" s="156">
        <f t="shared" ca="1" si="117"/>
        <v>0</v>
      </c>
      <c r="BW79" s="156">
        <f t="shared" ca="1" si="117"/>
        <v>0</v>
      </c>
      <c r="BX79" s="156">
        <f t="shared" ca="1" si="117"/>
        <v>0</v>
      </c>
      <c r="BY79" s="156">
        <f ca="1">SUM(BA79:BH79)</f>
        <v>8</v>
      </c>
      <c r="CA79" s="156">
        <f ca="1">COUNTA(AA79:AA86)-COUNTBLANK(AA79:AA86)</f>
        <v>0</v>
      </c>
      <c r="CB79" s="156">
        <f ca="1">IF(CA79&lt;Z79,0,1)</f>
        <v>0</v>
      </c>
      <c r="CC79" s="157">
        <f ca="1">AR79+IF(AV79="",0,AV79/100)</f>
        <v>0</v>
      </c>
      <c r="CD79" s="156">
        <f ca="1">IF(AR79=OFFSET(AR78,CD78,0),1,0)</f>
        <v>1</v>
      </c>
      <c r="CE79" s="156">
        <f ca="1">IF(AR79=OFFSET(AR78,CE78,0),1,0)</f>
        <v>1</v>
      </c>
      <c r="CF79" s="156">
        <f ca="1">IF(AR79=OFFSET(AR78,CF78,0),1,0)</f>
        <v>1</v>
      </c>
      <c r="CG79" s="156">
        <f ca="1">IF(AR79=OFFSET(AR78,CG78,0),1,0)</f>
        <v>1</v>
      </c>
      <c r="CH79" s="156">
        <f ca="1">IF(AR79=OFFSET(AR78,CH78,0),1,0)</f>
        <v>1</v>
      </c>
      <c r="CI79" s="156">
        <f ca="1">IF(AR79=OFFSET(AR78,CI78,0),1,0)</f>
        <v>1</v>
      </c>
      <c r="CJ79" s="156">
        <f ca="1">IF(AR79=OFFSET(AR78,CJ78,0),1,0)</f>
        <v>1</v>
      </c>
      <c r="CK79" s="156">
        <f ca="1">IF(AR79=OFFSET(AR78,CK78,0),1,0)</f>
        <v>1</v>
      </c>
      <c r="CL79" s="156">
        <f ca="1">OFFSET(AA79,0,1+(CL78-1)*2)</f>
        <v>0</v>
      </c>
      <c r="CM79" s="156">
        <f ca="1">OFFSET(AA79,0,1+(CM78-1)*2)</f>
        <v>0</v>
      </c>
      <c r="CN79" s="156">
        <f ca="1">OFFSET(AA79,0,1+(CN78-1)*2)</f>
        <v>0</v>
      </c>
      <c r="CO79" s="156">
        <f ca="1">OFFSET(AA79,0,1+(CO78-1)*2)</f>
        <v>0</v>
      </c>
      <c r="CP79" s="156">
        <f ca="1">OFFSET(AA79,0,1+(CP78-1)*2)</f>
        <v>0</v>
      </c>
      <c r="CQ79" s="156">
        <f ca="1">OFFSET(AA79,0,1+(CQ78-1)*2)</f>
        <v>0</v>
      </c>
      <c r="CR79" s="156">
        <f ca="1">OFFSET(AA79,0,1+(CR78-1)*2)</f>
        <v>0</v>
      </c>
      <c r="CS79" s="156">
        <f ca="1">OFFSET(AA79,0,1+(CS78-1)*2)</f>
        <v>0</v>
      </c>
      <c r="CT79" s="156">
        <f ca="1">OFFSET(AA79,0,2+(CT78-1)*2)</f>
        <v>0</v>
      </c>
      <c r="CU79" s="156">
        <f ca="1">OFFSET(AA79,0,2+(CU78-1)*2)</f>
        <v>0</v>
      </c>
      <c r="CV79" s="156">
        <f ca="1">OFFSET(AA79,0,2+(CV78-1)*2)</f>
        <v>0</v>
      </c>
      <c r="CW79" s="156">
        <f ca="1">OFFSET(AA79,0,2+(CW78-1)*2)</f>
        <v>0</v>
      </c>
      <c r="CX79" s="156">
        <f ca="1">OFFSET(AA79,0,2+(CX78-1)*2)</f>
        <v>0</v>
      </c>
      <c r="CY79" s="156">
        <f ca="1">OFFSET(AA79,0,2+(CY78-1)*2)</f>
        <v>0</v>
      </c>
      <c r="CZ79" s="156">
        <f ca="1">OFFSET(AA79,0,2+(CZ78-1)*2)</f>
        <v>0</v>
      </c>
      <c r="DA79" s="156">
        <f ca="1">OFFSET(AA79,0,2+(DA78-1)*2)</f>
        <v>0</v>
      </c>
      <c r="DB79" s="156">
        <f ca="1">SUM(CD79:CK79)</f>
        <v>8</v>
      </c>
      <c r="DE79" s="159"/>
      <c r="DF79" s="159"/>
      <c r="DG79" s="159">
        <v>3</v>
      </c>
      <c r="DH79" s="159">
        <v>6</v>
      </c>
      <c r="DI79" s="123">
        <f t="shared" si="94"/>
        <v>3</v>
      </c>
      <c r="DJ79" s="36" t="str">
        <f ca="1">OFFSET(gr_header,DG79+DE64,1+DF64)</f>
        <v/>
      </c>
      <c r="DK79" s="36" t="str">
        <f ca="1">OFFSET(gr_header,DH79+DE64,1+DF64)</f>
        <v/>
      </c>
      <c r="DL79" s="123">
        <f ca="1">OFFSET(gr_header,DG79+DE64,2*DH79+DF64)</f>
        <v>0</v>
      </c>
      <c r="DM79" s="123">
        <f ca="1">OFFSET(gr_header,DG79+DE64,2*DH79+1+DF64)</f>
        <v>0</v>
      </c>
      <c r="DN79" s="34"/>
      <c r="DO79" s="183">
        <f t="shared" ca="1" si="109"/>
        <v>0</v>
      </c>
      <c r="DP79" s="183">
        <f t="shared" ca="1" si="110"/>
        <v>0</v>
      </c>
      <c r="DQ79" s="183">
        <f t="shared" ca="1" si="111"/>
        <v>0</v>
      </c>
      <c r="DR79" s="183">
        <f t="shared" ca="1" si="112"/>
        <v>0</v>
      </c>
      <c r="DS79" s="182">
        <f t="shared" ca="1" si="113"/>
        <v>0</v>
      </c>
      <c r="DT79" s="182">
        <f t="shared" ca="1" si="114"/>
        <v>0</v>
      </c>
      <c r="DU79" s="182"/>
      <c r="DV79" s="182"/>
      <c r="DW79" s="182"/>
    </row>
    <row r="80" spans="2:127" ht="14.25" thickBot="1">
      <c r="B80" s="168">
        <v>2</v>
      </c>
      <c r="C80" s="169" t="str">
        <f ca="1">OFFSET(gr_anchor,B80,B78)</f>
        <v/>
      </c>
      <c r="D80" s="210" t="str">
        <f ca="1">IF(OFFSET(D79,D78-1,1+(B80-1)*2)="","",OFFSET(D79,D78-1,1+(B80-1)*2))</f>
        <v/>
      </c>
      <c r="E80" s="211" t="str">
        <f ca="1">IF(OFFSET(D79,D78-1,(B80-1)*2)="","",OFFSET(D79,D78-1,(B80-1)*2))</f>
        <v/>
      </c>
      <c r="F80" s="117"/>
      <c r="G80" s="118"/>
      <c r="H80" s="119"/>
      <c r="I80" s="120"/>
      <c r="J80" s="119"/>
      <c r="K80" s="120"/>
      <c r="L80" s="119"/>
      <c r="M80" s="120"/>
      <c r="N80" s="150"/>
      <c r="O80" s="150"/>
      <c r="P80" s="150"/>
      <c r="Q80" s="150"/>
      <c r="R80" s="150"/>
      <c r="S80" s="174"/>
      <c r="T80" s="177">
        <f ca="1">COUNTIF(OFFSET(E79,0,(B80-1)*2,8),3)*2+COUNTIF(OFFSET(D79,0,(B80-1)*2,8),3)</f>
        <v>0</v>
      </c>
      <c r="U80" s="177">
        <f ca="1">RANK(AZ80,AZ79:AZ86)*AY80</f>
        <v>0</v>
      </c>
      <c r="V80" s="175">
        <f t="shared" ref="V80:V86" ca="1" si="118">SUMPRODUCT(BA80:BH80,BI80:BP80)</f>
        <v>0</v>
      </c>
      <c r="W80" s="151">
        <f t="shared" ref="W80:W86" ca="1" si="119">SUMPRODUCT(BA80:BH80,BQ80:BX80)</f>
        <v>0</v>
      </c>
      <c r="X80" s="152" t="str">
        <f t="shared" ca="1" si="115"/>
        <v/>
      </c>
      <c r="Y80" s="153"/>
      <c r="Z80" s="168">
        <v>2</v>
      </c>
      <c r="AA80" s="169" t="str">
        <f ca="1">OFFSET(gr_anchor,Z80,Z78)</f>
        <v/>
      </c>
      <c r="AB80" s="210" t="str">
        <f ca="1">IF(OFFSET(AB79,AB78-1,1+(Z80-1)*2)="","",OFFSET(AB79,AB78-1,1+(Z80-1)*2))</f>
        <v/>
      </c>
      <c r="AC80" s="211" t="str">
        <f ca="1">IF(OFFSET(AB79,AB78-1,(Z80-1)*2)="","",OFFSET(AB79,AB78-1,(Z80-1)*2))</f>
        <v/>
      </c>
      <c r="AD80" s="117"/>
      <c r="AE80" s="118"/>
      <c r="AF80" s="119"/>
      <c r="AG80" s="120"/>
      <c r="AH80" s="119"/>
      <c r="AI80" s="120"/>
      <c r="AJ80" s="119"/>
      <c r="AK80" s="120"/>
      <c r="AL80" s="150"/>
      <c r="AM80" s="150"/>
      <c r="AN80" s="150"/>
      <c r="AO80" s="150"/>
      <c r="AP80" s="150"/>
      <c r="AQ80" s="174"/>
      <c r="AR80" s="177">
        <f ca="1">COUNTIF(OFFSET(AC79,0,(Z80-1)*2,8),3)*2+COUNTIF(OFFSET(AB79,0,(Z80-1)*2,8),3)</f>
        <v>0</v>
      </c>
      <c r="AS80" s="177">
        <f ca="1">RANK(CC80,CC79:CC86)*CB80</f>
        <v>0</v>
      </c>
      <c r="AT80" s="175">
        <f t="shared" ref="AT80:AT86" ca="1" si="120">SUMPRODUCT(CD80:CK80,CL80:CS80)</f>
        <v>0</v>
      </c>
      <c r="AU80" s="151">
        <f t="shared" ref="AU80:AU86" ca="1" si="121">SUMPRODUCT(CD80:CK80,CT80:DA80)</f>
        <v>0</v>
      </c>
      <c r="AV80" s="152" t="str">
        <f t="shared" ref="AV80:AV86" ca="1" si="122">IF(DB80=2,IF(AU80=0,3,AT80/AU80),IF(AT80=0,"",AT80/AU80))</f>
        <v/>
      </c>
      <c r="AW80" s="153"/>
      <c r="AX80" s="156">
        <f ca="1">COUNTA(C79:C86)-COUNTBLANK(C79:C86)</f>
        <v>0</v>
      </c>
      <c r="AY80" s="156">
        <f t="shared" ca="1" si="116"/>
        <v>0</v>
      </c>
      <c r="AZ80" s="157">
        <f t="shared" ref="AZ80:AZ86" ca="1" si="123">T80+IF(X80="",0,X80/100)</f>
        <v>0</v>
      </c>
      <c r="BA80" s="156">
        <f ca="1">IF(T80=OFFSET(T78,BA78,0),1,0)</f>
        <v>1</v>
      </c>
      <c r="BB80" s="156">
        <f ca="1">IF(T80=OFFSET(T78,BB78,0),1,0)</f>
        <v>1</v>
      </c>
      <c r="BC80" s="156">
        <f ca="1">IF(T80=OFFSET(T78,BC78,0),1,0)</f>
        <v>1</v>
      </c>
      <c r="BD80" s="156">
        <f ca="1">IF(T80=OFFSET(T78,BD78,0),1,0)</f>
        <v>1</v>
      </c>
      <c r="BE80" s="156">
        <f ca="1">IF(T80=OFFSET(T78,BE78,0),1,0)</f>
        <v>1</v>
      </c>
      <c r="BF80" s="156">
        <f ca="1">IF(T80=OFFSET(T78,BF78,0),1,0)</f>
        <v>1</v>
      </c>
      <c r="BG80" s="156">
        <f ca="1">IF(T80=OFFSET(T78,BG78,0),1,0)</f>
        <v>1</v>
      </c>
      <c r="BH80" s="156">
        <f ca="1">IF(T80=OFFSET(T78,BH78,0),1,0)</f>
        <v>1</v>
      </c>
      <c r="BI80" s="156" t="str">
        <f ca="1">OFFSET(C80,0,1+(BI78-1)*2)</f>
        <v/>
      </c>
      <c r="BJ80" s="156">
        <f ca="1">OFFSET(C80,0,1+(BJ78-1)*2)</f>
        <v>0</v>
      </c>
      <c r="BK80" s="156">
        <f ca="1">OFFSET(C80,0,1+(BK78-1)*2)</f>
        <v>0</v>
      </c>
      <c r="BL80" s="156">
        <f ca="1">OFFSET(C80,0,1+(BL78-1)*2)</f>
        <v>0</v>
      </c>
      <c r="BM80" s="156">
        <f ca="1">OFFSET(C80,0,1+(BM78-1)*2)</f>
        <v>0</v>
      </c>
      <c r="BN80" s="156">
        <f ca="1">OFFSET(C80,0,1+(BN78-1)*2)</f>
        <v>0</v>
      </c>
      <c r="BO80" s="156">
        <f ca="1">OFFSET(C80,0,1+(BO78-1)*2)</f>
        <v>0</v>
      </c>
      <c r="BP80" s="156">
        <f ca="1">OFFSET(C80,0,1+(BP78-1)*2)</f>
        <v>0</v>
      </c>
      <c r="BQ80" s="156" t="str">
        <f t="shared" ref="BQ80:BX86" ca="1" si="124">OFFSET($C80,0,2+(BQ$8-1)*2)</f>
        <v/>
      </c>
      <c r="BR80" s="156">
        <f t="shared" ca="1" si="124"/>
        <v>0</v>
      </c>
      <c r="BS80" s="156">
        <f t="shared" ca="1" si="124"/>
        <v>0</v>
      </c>
      <c r="BT80" s="156">
        <f t="shared" ca="1" si="124"/>
        <v>0</v>
      </c>
      <c r="BU80" s="156">
        <f t="shared" ca="1" si="124"/>
        <v>0</v>
      </c>
      <c r="BV80" s="156">
        <f t="shared" ca="1" si="124"/>
        <v>0</v>
      </c>
      <c r="BW80" s="156">
        <f t="shared" ca="1" si="124"/>
        <v>0</v>
      </c>
      <c r="BX80" s="156">
        <f t="shared" ca="1" si="124"/>
        <v>0</v>
      </c>
      <c r="BY80" s="156">
        <f t="shared" ref="BY80:BY86" ca="1" si="125">SUM(BA80:BH80)</f>
        <v>8</v>
      </c>
      <c r="CA80" s="156">
        <f ca="1">COUNTA(AA79:AA86)-COUNTBLANK(AA79:AA86)</f>
        <v>0</v>
      </c>
      <c r="CB80" s="156">
        <f t="shared" ref="CB80:CB86" ca="1" si="126">IF(CA80&lt;Z80,0,1)</f>
        <v>0</v>
      </c>
      <c r="CC80" s="157">
        <f t="shared" ref="CC80:CC86" ca="1" si="127">AR80+IF(AV80="",0,AV80/100)</f>
        <v>0</v>
      </c>
      <c r="CD80" s="156">
        <f ca="1">IF(AR80=OFFSET(AR78,CD78,0),1,0)</f>
        <v>1</v>
      </c>
      <c r="CE80" s="156">
        <f ca="1">IF(AR80=OFFSET(AR78,CE78,0),1,0)</f>
        <v>1</v>
      </c>
      <c r="CF80" s="156">
        <f ca="1">IF(AR80=OFFSET(AR78,CF78,0),1,0)</f>
        <v>1</v>
      </c>
      <c r="CG80" s="156">
        <f ca="1">IF(AR80=OFFSET(AR78,CG78,0),1,0)</f>
        <v>1</v>
      </c>
      <c r="CH80" s="156">
        <f ca="1">IF(AR80=OFFSET(AR78,CH78,0),1,0)</f>
        <v>1</v>
      </c>
      <c r="CI80" s="156">
        <f ca="1">IF(AR80=OFFSET(AR78,CI78,0),1,0)</f>
        <v>1</v>
      </c>
      <c r="CJ80" s="156">
        <f ca="1">IF(AR80=OFFSET(AR78,CJ78,0),1,0)</f>
        <v>1</v>
      </c>
      <c r="CK80" s="156">
        <f ca="1">IF(AR80=OFFSET(AR78,CK78,0),1,0)</f>
        <v>1</v>
      </c>
      <c r="CL80" s="156" t="str">
        <f ca="1">OFFSET(AA80,0,1+(CL78-1)*2)</f>
        <v/>
      </c>
      <c r="CM80" s="156">
        <f ca="1">OFFSET(AA80,0,1+(CM78-1)*2)</f>
        <v>0</v>
      </c>
      <c r="CN80" s="156">
        <f ca="1">OFFSET(AA80,0,1+(CN78-1)*2)</f>
        <v>0</v>
      </c>
      <c r="CO80" s="156">
        <f ca="1">OFFSET(AA80,0,1+(CO78-1)*2)</f>
        <v>0</v>
      </c>
      <c r="CP80" s="156">
        <f ca="1">OFFSET(AA80,0,1+(CP78-1)*2)</f>
        <v>0</v>
      </c>
      <c r="CQ80" s="156">
        <f ca="1">OFFSET(AA80,0,1+(CQ78-1)*2)</f>
        <v>0</v>
      </c>
      <c r="CR80" s="156">
        <f ca="1">OFFSET(AA80,0,1+(CR78-1)*2)</f>
        <v>0</v>
      </c>
      <c r="CS80" s="156">
        <f ca="1">OFFSET(AA80,0,1+(CS78-1)*2)</f>
        <v>0</v>
      </c>
      <c r="CT80" s="156" t="str">
        <f ca="1">OFFSET(AA80,0,2+(CT78-1)*2)</f>
        <v/>
      </c>
      <c r="CU80" s="156">
        <f ca="1">OFFSET(AA80,0,2+(CU78-1)*2)</f>
        <v>0</v>
      </c>
      <c r="CV80" s="156">
        <f ca="1">OFFSET(AA80,0,2+(CV78-1)*2)</f>
        <v>0</v>
      </c>
      <c r="CW80" s="156">
        <f ca="1">OFFSET(AA80,0,2+(CW78-1)*2)</f>
        <v>0</v>
      </c>
      <c r="CX80" s="156">
        <f ca="1">OFFSET(AA80,0,2+(CX78-1)*2)</f>
        <v>0</v>
      </c>
      <c r="CY80" s="156">
        <f ca="1">OFFSET(AA80,0,2+(CY78-1)*2)</f>
        <v>0</v>
      </c>
      <c r="CZ80" s="156">
        <f ca="1">OFFSET(AA80,0,2+(CZ78-1)*2)</f>
        <v>0</v>
      </c>
      <c r="DA80" s="156">
        <f ca="1">OFFSET(AA80,0,2+(DA78-1)*2)</f>
        <v>0</v>
      </c>
      <c r="DB80" s="156">
        <f t="shared" ref="DB80:DB86" ca="1" si="128">SUM(CD80:CK80)</f>
        <v>8</v>
      </c>
      <c r="DE80" s="159"/>
      <c r="DF80" s="159"/>
      <c r="DG80" s="159">
        <v>3</v>
      </c>
      <c r="DH80" s="159">
        <v>7</v>
      </c>
      <c r="DI80" s="123">
        <f t="shared" si="94"/>
        <v>3</v>
      </c>
      <c r="DJ80" s="36" t="str">
        <f ca="1">OFFSET(gr_header,DG80+DE64,1+DF64)</f>
        <v/>
      </c>
      <c r="DK80" s="36" t="str">
        <f ca="1">OFFSET(gr_header,DH80+DE64,1+DF64)</f>
        <v/>
      </c>
      <c r="DL80" s="123">
        <f ca="1">OFFSET(gr_header,DG80+DE64,2*DH80+DF64)</f>
        <v>0</v>
      </c>
      <c r="DM80" s="123">
        <f ca="1">OFFSET(gr_header,DG80+DE64,2*DH80+1+DF64)</f>
        <v>0</v>
      </c>
      <c r="DN80" s="34"/>
      <c r="DO80" s="183">
        <f t="shared" ca="1" si="109"/>
        <v>0</v>
      </c>
      <c r="DP80" s="183">
        <f t="shared" ca="1" si="110"/>
        <v>0</v>
      </c>
      <c r="DQ80" s="183">
        <f t="shared" ca="1" si="111"/>
        <v>0</v>
      </c>
      <c r="DR80" s="183">
        <f t="shared" ca="1" si="112"/>
        <v>0</v>
      </c>
      <c r="DS80" s="182">
        <f t="shared" ca="1" si="113"/>
        <v>0</v>
      </c>
      <c r="DT80" s="182">
        <f t="shared" ca="1" si="114"/>
        <v>0</v>
      </c>
      <c r="DU80" s="182"/>
      <c r="DV80" s="182"/>
      <c r="DW80" s="182"/>
    </row>
    <row r="81" spans="2:127" ht="14.25" thickBot="1">
      <c r="B81" s="168">
        <v>3</v>
      </c>
      <c r="C81" s="169" t="str">
        <f ca="1">OFFSET(gr_anchor,B81,B78)</f>
        <v/>
      </c>
      <c r="D81" s="210" t="str">
        <f ca="1">IF(OFFSET(D79,D78-1,1+(B81-1)*2)="","",OFFSET(D79,D78-1,1+(B81-1)*2))</f>
        <v/>
      </c>
      <c r="E81" s="211" t="str">
        <f ca="1">IF(OFFSET(D79,D78-1,(B81-1)*2)="","",OFFSET(D79,D78-1,(B81-1)*2))</f>
        <v/>
      </c>
      <c r="F81" s="210" t="str">
        <f ca="1">IF(OFFSET(D79,F78-1,1+(B81-1)*2)="","",OFFSET(D79,F78-1,1+(B81-1)*2))</f>
        <v/>
      </c>
      <c r="G81" s="211" t="str">
        <f ca="1">IF(OFFSET(D79,F78-1,(B81-1)*2)="","",OFFSET(D79,F78-1,(B81-1)*2))</f>
        <v/>
      </c>
      <c r="H81" s="170"/>
      <c r="I81" s="118"/>
      <c r="J81" s="119"/>
      <c r="K81" s="120"/>
      <c r="L81" s="119"/>
      <c r="M81" s="120"/>
      <c r="N81" s="150"/>
      <c r="O81" s="150"/>
      <c r="P81" s="150"/>
      <c r="Q81" s="150"/>
      <c r="R81" s="150"/>
      <c r="S81" s="174"/>
      <c r="T81" s="177">
        <f ca="1">COUNTIF(OFFSET(E79,0,(B81-1)*2,8),3)*2+COUNTIF(OFFSET(D79,0,(B81-1)*2,8),3)</f>
        <v>0</v>
      </c>
      <c r="U81" s="177">
        <f ca="1">RANK(AZ81,AZ79:AZ86)*AY81</f>
        <v>0</v>
      </c>
      <c r="V81" s="175">
        <f t="shared" ca="1" si="118"/>
        <v>0</v>
      </c>
      <c r="W81" s="151">
        <f t="shared" ca="1" si="119"/>
        <v>0</v>
      </c>
      <c r="X81" s="152" t="str">
        <f t="shared" ca="1" si="115"/>
        <v/>
      </c>
      <c r="Y81" s="153"/>
      <c r="Z81" s="168">
        <v>3</v>
      </c>
      <c r="AA81" s="169" t="str">
        <f ca="1">OFFSET(gr_anchor,Z81,Z78)</f>
        <v/>
      </c>
      <c r="AB81" s="210" t="str">
        <f ca="1">IF(OFFSET(AB79,AB78-1,1+(Z81-1)*2)="","",OFFSET(AB79,AB78-1,1+(Z81-1)*2))</f>
        <v/>
      </c>
      <c r="AC81" s="211" t="str">
        <f ca="1">IF(OFFSET(AB79,AB78-1,(Z81-1)*2)="","",OFFSET(AB79,AB78-1,(Z81-1)*2))</f>
        <v/>
      </c>
      <c r="AD81" s="210" t="str">
        <f ca="1">IF(OFFSET(AB79,AD78-1,1+(Z81-1)*2)="","",OFFSET(AB79,AD78-1,1+(Z81-1)*2))</f>
        <v/>
      </c>
      <c r="AE81" s="211" t="str">
        <f ca="1">IF(OFFSET(AB79,AD78-1,(Z81-1)*2)="","",OFFSET(AB79,AD78-1,(Z81-1)*2))</f>
        <v/>
      </c>
      <c r="AF81" s="170"/>
      <c r="AG81" s="118"/>
      <c r="AH81" s="119"/>
      <c r="AI81" s="120"/>
      <c r="AJ81" s="119"/>
      <c r="AK81" s="120"/>
      <c r="AL81" s="150"/>
      <c r="AM81" s="150"/>
      <c r="AN81" s="150"/>
      <c r="AO81" s="150"/>
      <c r="AP81" s="150"/>
      <c r="AQ81" s="174"/>
      <c r="AR81" s="177">
        <f ca="1">COUNTIF(OFFSET(AC79,0,(Z81-1)*2,8),3)*2+COUNTIF(OFFSET(AB79,0,(Z81-1)*2,8),3)</f>
        <v>0</v>
      </c>
      <c r="AS81" s="177">
        <f ca="1">RANK(CC81,CC79:CC86)*CB81</f>
        <v>0</v>
      </c>
      <c r="AT81" s="175">
        <f t="shared" ca="1" si="120"/>
        <v>0</v>
      </c>
      <c r="AU81" s="151">
        <f t="shared" ca="1" si="121"/>
        <v>0</v>
      </c>
      <c r="AV81" s="152" t="str">
        <f t="shared" ca="1" si="122"/>
        <v/>
      </c>
      <c r="AW81" s="153"/>
      <c r="AX81" s="156">
        <f ca="1">COUNTA(C79:C86)-COUNTBLANK(C79:C86)</f>
        <v>0</v>
      </c>
      <c r="AY81" s="156">
        <f t="shared" ca="1" si="116"/>
        <v>0</v>
      </c>
      <c r="AZ81" s="157">
        <f t="shared" ca="1" si="123"/>
        <v>0</v>
      </c>
      <c r="BA81" s="156">
        <f ca="1">IF(T81=OFFSET(T78,BA78,0),1,0)</f>
        <v>1</v>
      </c>
      <c r="BB81" s="156">
        <f ca="1">IF(T81=OFFSET(T78,BB78,0),1,0)</f>
        <v>1</v>
      </c>
      <c r="BC81" s="156">
        <f ca="1">IF(T81=OFFSET(T78,BC78,0),1,0)</f>
        <v>1</v>
      </c>
      <c r="BD81" s="156">
        <f ca="1">IF(T81=OFFSET(T78,BD78,0),1,0)</f>
        <v>1</v>
      </c>
      <c r="BE81" s="156">
        <f ca="1">IF(T81=OFFSET(T78,BE78,0),1,0)</f>
        <v>1</v>
      </c>
      <c r="BF81" s="156">
        <f ca="1">IF(T81=OFFSET(T78,BF78,0),1,0)</f>
        <v>1</v>
      </c>
      <c r="BG81" s="156">
        <f ca="1">IF(T81=OFFSET(T78,BG78,0),1,0)</f>
        <v>1</v>
      </c>
      <c r="BH81" s="156">
        <f ca="1">IF(T81=OFFSET(T78,BH78,0),1,0)</f>
        <v>1</v>
      </c>
      <c r="BI81" s="156" t="str">
        <f ca="1">OFFSET(C81,0,1+(BI78-1)*2)</f>
        <v/>
      </c>
      <c r="BJ81" s="156" t="str">
        <f ca="1">OFFSET(C81,0,1+(BJ78-1)*2)</f>
        <v/>
      </c>
      <c r="BK81" s="156">
        <f ca="1">OFFSET(C81,0,1+(BK78-1)*2)</f>
        <v>0</v>
      </c>
      <c r="BL81" s="156">
        <f ca="1">OFFSET(C81,0,1+(BL78-1)*2)</f>
        <v>0</v>
      </c>
      <c r="BM81" s="156">
        <f ca="1">OFFSET(C81,0,1+(BM78-1)*2)</f>
        <v>0</v>
      </c>
      <c r="BN81" s="156">
        <f ca="1">OFFSET(C81,0,1+(BN78-1)*2)</f>
        <v>0</v>
      </c>
      <c r="BO81" s="156">
        <f ca="1">OFFSET(C81,0,1+(BO78-1)*2)</f>
        <v>0</v>
      </c>
      <c r="BP81" s="156">
        <f ca="1">OFFSET(C81,0,1+(BP78-1)*2)</f>
        <v>0</v>
      </c>
      <c r="BQ81" s="156" t="str">
        <f t="shared" ca="1" si="124"/>
        <v/>
      </c>
      <c r="BR81" s="156" t="str">
        <f t="shared" ca="1" si="124"/>
        <v/>
      </c>
      <c r="BS81" s="156">
        <f t="shared" ca="1" si="124"/>
        <v>0</v>
      </c>
      <c r="BT81" s="156">
        <f t="shared" ca="1" si="124"/>
        <v>0</v>
      </c>
      <c r="BU81" s="156">
        <f t="shared" ca="1" si="124"/>
        <v>0</v>
      </c>
      <c r="BV81" s="156">
        <f t="shared" ca="1" si="124"/>
        <v>0</v>
      </c>
      <c r="BW81" s="156">
        <f t="shared" ca="1" si="124"/>
        <v>0</v>
      </c>
      <c r="BX81" s="156">
        <f t="shared" ca="1" si="124"/>
        <v>0</v>
      </c>
      <c r="BY81" s="156">
        <f t="shared" ca="1" si="125"/>
        <v>8</v>
      </c>
      <c r="CA81" s="156">
        <f ca="1">COUNTA(AA79:AA86)-COUNTBLANK(AA79:AA86)</f>
        <v>0</v>
      </c>
      <c r="CB81" s="156">
        <f t="shared" ca="1" si="126"/>
        <v>0</v>
      </c>
      <c r="CC81" s="157">
        <f t="shared" ca="1" si="127"/>
        <v>0</v>
      </c>
      <c r="CD81" s="156">
        <f ca="1">IF(AR81=OFFSET(AR78,CD78,0),1,0)</f>
        <v>1</v>
      </c>
      <c r="CE81" s="156">
        <f ca="1">IF(AR81=OFFSET(AR78,CE78,0),1,0)</f>
        <v>1</v>
      </c>
      <c r="CF81" s="156">
        <f ca="1">IF(AR81=OFFSET(AR78,CF78,0),1,0)</f>
        <v>1</v>
      </c>
      <c r="CG81" s="156">
        <f ca="1">IF(AR81=OFFSET(AR78,CG78,0),1,0)</f>
        <v>1</v>
      </c>
      <c r="CH81" s="156">
        <f ca="1">IF(AR81=OFFSET(AR78,CH78,0),1,0)</f>
        <v>1</v>
      </c>
      <c r="CI81" s="156">
        <f ca="1">IF(AR81=OFFSET(AR78,CI78,0),1,0)</f>
        <v>1</v>
      </c>
      <c r="CJ81" s="156">
        <f ca="1">IF(AR81=OFFSET(AR78,CJ78,0),1,0)</f>
        <v>1</v>
      </c>
      <c r="CK81" s="156">
        <f ca="1">IF(AR81=OFFSET(AR78,CK78,0),1,0)</f>
        <v>1</v>
      </c>
      <c r="CL81" s="156" t="str">
        <f ca="1">OFFSET(AA81,0,1+(CL78-1)*2)</f>
        <v/>
      </c>
      <c r="CM81" s="156" t="str">
        <f ca="1">OFFSET(AA81,0,1+(CM78-1)*2)</f>
        <v/>
      </c>
      <c r="CN81" s="156">
        <f ca="1">OFFSET(AA81,0,1+(CN78-1)*2)</f>
        <v>0</v>
      </c>
      <c r="CO81" s="156">
        <f ca="1">OFFSET(AA81,0,1+(CO78-1)*2)</f>
        <v>0</v>
      </c>
      <c r="CP81" s="156">
        <f ca="1">OFFSET(AA81,0,1+(CP78-1)*2)</f>
        <v>0</v>
      </c>
      <c r="CQ81" s="156">
        <f ca="1">OFFSET(AA81,0,1+(CQ78-1)*2)</f>
        <v>0</v>
      </c>
      <c r="CR81" s="156">
        <f ca="1">OFFSET(AA81,0,1+(CR78-1)*2)</f>
        <v>0</v>
      </c>
      <c r="CS81" s="156">
        <f ca="1">OFFSET(AA81,0,1+(CS78-1)*2)</f>
        <v>0</v>
      </c>
      <c r="CT81" s="156" t="str">
        <f ca="1">OFFSET(AA81,0,2+(CT78-1)*2)</f>
        <v/>
      </c>
      <c r="CU81" s="156" t="str">
        <f ca="1">OFFSET(AA81,0,2+(CU78-1)*2)</f>
        <v/>
      </c>
      <c r="CV81" s="156">
        <f ca="1">OFFSET(AA81,0,2+(CV78-1)*2)</f>
        <v>0</v>
      </c>
      <c r="CW81" s="156">
        <f ca="1">OFFSET(AA81,0,2+(CW78-1)*2)</f>
        <v>0</v>
      </c>
      <c r="CX81" s="156">
        <f ca="1">OFFSET(AA81,0,2+(CX78-1)*2)</f>
        <v>0</v>
      </c>
      <c r="CY81" s="156">
        <f ca="1">OFFSET(AA81,0,2+(CY78-1)*2)</f>
        <v>0</v>
      </c>
      <c r="CZ81" s="156">
        <f ca="1">OFFSET(AA81,0,2+(CZ78-1)*2)</f>
        <v>0</v>
      </c>
      <c r="DA81" s="156">
        <f ca="1">OFFSET(AA81,0,2+(DA78-1)*2)</f>
        <v>0</v>
      </c>
      <c r="DB81" s="156">
        <f t="shared" ca="1" si="128"/>
        <v>8</v>
      </c>
      <c r="DE81" s="159"/>
      <c r="DF81" s="159"/>
      <c r="DG81" s="159">
        <v>3</v>
      </c>
      <c r="DH81" s="159">
        <v>8</v>
      </c>
      <c r="DI81" s="123">
        <f t="shared" si="94"/>
        <v>3</v>
      </c>
      <c r="DJ81" s="36" t="str">
        <f ca="1">OFFSET(gr_header,DG81+DE64,1+DF64)</f>
        <v/>
      </c>
      <c r="DK81" s="36" t="str">
        <f ca="1">OFFSET(gr_header,DH81+DE64,1+DF64)</f>
        <v/>
      </c>
      <c r="DL81" s="123">
        <f ca="1">OFFSET(gr_header,DG81+DE64,2*DH81+DF64)</f>
        <v>0</v>
      </c>
      <c r="DM81" s="123">
        <f ca="1">OFFSET(gr_header,DG81+DE64,2*DH81+1+DF64)</f>
        <v>0</v>
      </c>
      <c r="DN81" s="34"/>
      <c r="DO81" s="183">
        <f t="shared" ca="1" si="109"/>
        <v>0</v>
      </c>
      <c r="DP81" s="183">
        <f t="shared" ca="1" si="110"/>
        <v>0</v>
      </c>
      <c r="DQ81" s="183">
        <f t="shared" ca="1" si="111"/>
        <v>0</v>
      </c>
      <c r="DR81" s="183">
        <f t="shared" ca="1" si="112"/>
        <v>0</v>
      </c>
      <c r="DS81" s="182">
        <f t="shared" ca="1" si="113"/>
        <v>0</v>
      </c>
      <c r="DT81" s="182">
        <f t="shared" ca="1" si="114"/>
        <v>0</v>
      </c>
      <c r="DU81" s="182"/>
      <c r="DV81" s="182"/>
      <c r="DW81" s="182"/>
    </row>
    <row r="82" spans="2:127" ht="14.25" thickBot="1">
      <c r="B82" s="168">
        <v>4</v>
      </c>
      <c r="C82" s="169" t="str">
        <f ca="1">OFFSET(gr_anchor,B82,B78)</f>
        <v/>
      </c>
      <c r="D82" s="210" t="str">
        <f ca="1">IF(OFFSET(D79,D78-1,1+(B82-1)*2)="","",OFFSET(D79,D78-1,1+(B82-1)*2))</f>
        <v/>
      </c>
      <c r="E82" s="211" t="str">
        <f ca="1">IF(OFFSET(D79,D78-1,(B82-1)*2)="","",OFFSET(D79,D78-1,(B82-1)*2))</f>
        <v/>
      </c>
      <c r="F82" s="210" t="str">
        <f ca="1">IF(OFFSET(D79,F78-1,1+(B82-1)*2)="","",OFFSET(D79,F78-1,1+(B82-1)*2))</f>
        <v/>
      </c>
      <c r="G82" s="211" t="str">
        <f ca="1">IF(OFFSET(D79,F78-1,(B82-1)*2)="","",OFFSET(D79,F78-1,(B82-1)*2))</f>
        <v/>
      </c>
      <c r="H82" s="210" t="str">
        <f ca="1">IF(OFFSET(D79,H78-1,1+(B82-1)*2)="","",OFFSET(D79,H78-1,1+(B82-1)*2))</f>
        <v/>
      </c>
      <c r="I82" s="211" t="str">
        <f ca="1">IF(OFFSET(D79,H78-1,(B82-1)*2)="","",OFFSET(D79,H78-1,(B82-1)*2))</f>
        <v/>
      </c>
      <c r="J82" s="170"/>
      <c r="K82" s="118"/>
      <c r="L82" s="119"/>
      <c r="M82" s="120"/>
      <c r="N82" s="150"/>
      <c r="O82" s="150"/>
      <c r="P82" s="150"/>
      <c r="Q82" s="150"/>
      <c r="R82" s="150"/>
      <c r="S82" s="174"/>
      <c r="T82" s="177">
        <f ca="1">COUNTIF(OFFSET(E79,0,(B82-1)*2,8),3)*2+COUNTIF(OFFSET(D79,0,(B82-1)*2,8),3)</f>
        <v>0</v>
      </c>
      <c r="U82" s="177">
        <f ca="1">RANK(AZ82,AZ79:AZ86)*AY82</f>
        <v>0</v>
      </c>
      <c r="V82" s="175">
        <f t="shared" ca="1" si="118"/>
        <v>0</v>
      </c>
      <c r="W82" s="151">
        <f t="shared" ca="1" si="119"/>
        <v>0</v>
      </c>
      <c r="X82" s="152" t="str">
        <f t="shared" ca="1" si="115"/>
        <v/>
      </c>
      <c r="Y82" s="153"/>
      <c r="Z82" s="168">
        <v>4</v>
      </c>
      <c r="AA82" s="169" t="str">
        <f ca="1">OFFSET(gr_anchor,Z82,Z78)</f>
        <v/>
      </c>
      <c r="AB82" s="210" t="str">
        <f ca="1">IF(OFFSET(AB79,AB78-1,1+(Z82-1)*2)="","",OFFSET(AB79,AB78-1,1+(Z82-1)*2))</f>
        <v/>
      </c>
      <c r="AC82" s="211" t="str">
        <f ca="1">IF(OFFSET(AB79,AB78-1,(Z82-1)*2)="","",OFFSET(AB79,AB78-1,(Z82-1)*2))</f>
        <v/>
      </c>
      <c r="AD82" s="210" t="str">
        <f ca="1">IF(OFFSET(AB79,AD78-1,1+(Z82-1)*2)="","",OFFSET(AB79,AD78-1,1+(Z82-1)*2))</f>
        <v/>
      </c>
      <c r="AE82" s="211" t="str">
        <f ca="1">IF(OFFSET(AB79,AD78-1,(Z82-1)*2)="","",OFFSET(AB79,AD78-1,(Z82-1)*2))</f>
        <v/>
      </c>
      <c r="AF82" s="210" t="str">
        <f ca="1">IF(OFFSET(AB79,AF78-1,1+(Z82-1)*2)="","",OFFSET(AB79,AF78-1,1+(Z82-1)*2))</f>
        <v/>
      </c>
      <c r="AG82" s="211" t="str">
        <f ca="1">IF(OFFSET(AB79,AF78-1,(Z82-1)*2)="","",OFFSET(AB79,AF78-1,(Z82-1)*2))</f>
        <v/>
      </c>
      <c r="AH82" s="170"/>
      <c r="AI82" s="118"/>
      <c r="AJ82" s="119"/>
      <c r="AK82" s="120"/>
      <c r="AL82" s="150"/>
      <c r="AM82" s="150"/>
      <c r="AN82" s="150"/>
      <c r="AO82" s="150"/>
      <c r="AP82" s="150"/>
      <c r="AQ82" s="174"/>
      <c r="AR82" s="177">
        <f ca="1">COUNTIF(OFFSET(AC79,0,(Z82-1)*2,8),3)*2+COUNTIF(OFFSET(AB79,0,(Z82-1)*2,8),3)</f>
        <v>0</v>
      </c>
      <c r="AS82" s="177">
        <f ca="1">RANK(CC82,CC79:CC86)*CB82</f>
        <v>0</v>
      </c>
      <c r="AT82" s="175">
        <f t="shared" ca="1" si="120"/>
        <v>0</v>
      </c>
      <c r="AU82" s="151">
        <f t="shared" ca="1" si="121"/>
        <v>0</v>
      </c>
      <c r="AV82" s="152" t="str">
        <f t="shared" ca="1" si="122"/>
        <v/>
      </c>
      <c r="AW82" s="153"/>
      <c r="AX82" s="156">
        <f ca="1">COUNTA(C79:C86)-COUNTBLANK(C79:C86)</f>
        <v>0</v>
      </c>
      <c r="AY82" s="156">
        <f t="shared" ca="1" si="116"/>
        <v>0</v>
      </c>
      <c r="AZ82" s="157">
        <f t="shared" ca="1" si="123"/>
        <v>0</v>
      </c>
      <c r="BA82" s="156">
        <f ca="1">IF(T82=OFFSET(T78,BA78,0),1,0)</f>
        <v>1</v>
      </c>
      <c r="BB82" s="156">
        <f ca="1">IF(T82=OFFSET(T78,BB78,0),1,0)</f>
        <v>1</v>
      </c>
      <c r="BC82" s="156">
        <f ca="1">IF(T82=OFFSET(T78,BC78,0),1,0)</f>
        <v>1</v>
      </c>
      <c r="BD82" s="156">
        <f ca="1">IF(T82=OFFSET(T78,BD78,0),1,0)</f>
        <v>1</v>
      </c>
      <c r="BE82" s="156">
        <f ca="1">IF(T82=OFFSET(T78,BE78,0),1,0)</f>
        <v>1</v>
      </c>
      <c r="BF82" s="156">
        <f ca="1">IF(T82=OFFSET(T78,BF78,0),1,0)</f>
        <v>1</v>
      </c>
      <c r="BG82" s="156">
        <f ca="1">IF(T82=OFFSET(T78,BG78,0),1,0)</f>
        <v>1</v>
      </c>
      <c r="BH82" s="156">
        <f ca="1">IF(T82=OFFSET(T78,BH78,0),1,0)</f>
        <v>1</v>
      </c>
      <c r="BI82" s="156" t="str">
        <f ca="1">OFFSET(C82,0,1+(BI78-1)*2)</f>
        <v/>
      </c>
      <c r="BJ82" s="156" t="str">
        <f ca="1">OFFSET(C82,0,1+(BJ78-1)*2)</f>
        <v/>
      </c>
      <c r="BK82" s="156" t="str">
        <f ca="1">OFFSET(C82,0,1+(BK78-1)*2)</f>
        <v/>
      </c>
      <c r="BL82" s="156">
        <f ca="1">OFFSET(C82,0,1+(BL78-1)*2)</f>
        <v>0</v>
      </c>
      <c r="BM82" s="156">
        <f ca="1">OFFSET(C82,0,1+(BM78-1)*2)</f>
        <v>0</v>
      </c>
      <c r="BN82" s="156">
        <f ca="1">OFFSET(C82,0,1+(BN78-1)*2)</f>
        <v>0</v>
      </c>
      <c r="BO82" s="156">
        <f ca="1">OFFSET(C82,0,1+(BO78-1)*2)</f>
        <v>0</v>
      </c>
      <c r="BP82" s="156">
        <f ca="1">OFFSET(C82,0,1+(BP78-1)*2)</f>
        <v>0</v>
      </c>
      <c r="BQ82" s="156" t="str">
        <f t="shared" ca="1" si="124"/>
        <v/>
      </c>
      <c r="BR82" s="156" t="str">
        <f t="shared" ca="1" si="124"/>
        <v/>
      </c>
      <c r="BS82" s="156" t="str">
        <f t="shared" ca="1" si="124"/>
        <v/>
      </c>
      <c r="BT82" s="156">
        <f t="shared" ca="1" si="124"/>
        <v>0</v>
      </c>
      <c r="BU82" s="156">
        <f t="shared" ca="1" si="124"/>
        <v>0</v>
      </c>
      <c r="BV82" s="156">
        <f t="shared" ca="1" si="124"/>
        <v>0</v>
      </c>
      <c r="BW82" s="156">
        <f t="shared" ca="1" si="124"/>
        <v>0</v>
      </c>
      <c r="BX82" s="156">
        <f t="shared" ca="1" si="124"/>
        <v>0</v>
      </c>
      <c r="BY82" s="156">
        <f t="shared" ca="1" si="125"/>
        <v>8</v>
      </c>
      <c r="CA82" s="156">
        <f ca="1">COUNTA(AA79:AA86)-COUNTBLANK(AA79:AA86)</f>
        <v>0</v>
      </c>
      <c r="CB82" s="156">
        <f t="shared" ca="1" si="126"/>
        <v>0</v>
      </c>
      <c r="CC82" s="157">
        <f t="shared" ca="1" si="127"/>
        <v>0</v>
      </c>
      <c r="CD82" s="156">
        <f ca="1">IF(AR82=OFFSET(AR78,CD78,0),1,0)</f>
        <v>1</v>
      </c>
      <c r="CE82" s="156">
        <f ca="1">IF(AR82=OFFSET(AR78,CE78,0),1,0)</f>
        <v>1</v>
      </c>
      <c r="CF82" s="156">
        <f ca="1">IF(AR82=OFFSET(AR78,CF78,0),1,0)</f>
        <v>1</v>
      </c>
      <c r="CG82" s="156">
        <f ca="1">IF(AR82=OFFSET(AR78,CG78,0),1,0)</f>
        <v>1</v>
      </c>
      <c r="CH82" s="156">
        <f ca="1">IF(AR82=OFFSET(AR78,CH78,0),1,0)</f>
        <v>1</v>
      </c>
      <c r="CI82" s="156">
        <f ca="1">IF(AR82=OFFSET(AR78,CI78,0),1,0)</f>
        <v>1</v>
      </c>
      <c r="CJ82" s="156">
        <f ca="1">IF(AR82=OFFSET(AR78,CJ78,0),1,0)</f>
        <v>1</v>
      </c>
      <c r="CK82" s="156">
        <f ca="1">IF(AR82=OFFSET(AR78,CK78,0),1,0)</f>
        <v>1</v>
      </c>
      <c r="CL82" s="156" t="str">
        <f ca="1">OFFSET(AA82,0,1+(CL78-1)*2)</f>
        <v/>
      </c>
      <c r="CM82" s="156" t="str">
        <f ca="1">OFFSET(AA82,0,1+(CM78-1)*2)</f>
        <v/>
      </c>
      <c r="CN82" s="156" t="str">
        <f ca="1">OFFSET(AA82,0,1+(CN78-1)*2)</f>
        <v/>
      </c>
      <c r="CO82" s="156">
        <f ca="1">OFFSET(AA82,0,1+(CO78-1)*2)</f>
        <v>0</v>
      </c>
      <c r="CP82" s="156">
        <f ca="1">OFFSET(AA82,0,1+(CP78-1)*2)</f>
        <v>0</v>
      </c>
      <c r="CQ82" s="156">
        <f ca="1">OFFSET(AA82,0,1+(CQ78-1)*2)</f>
        <v>0</v>
      </c>
      <c r="CR82" s="156">
        <f ca="1">OFFSET(AA82,0,1+(CR78-1)*2)</f>
        <v>0</v>
      </c>
      <c r="CS82" s="156">
        <f ca="1">OFFSET(AA82,0,1+(CS78-1)*2)</f>
        <v>0</v>
      </c>
      <c r="CT82" s="156" t="str">
        <f ca="1">OFFSET(AA82,0,2+(CT78-1)*2)</f>
        <v/>
      </c>
      <c r="CU82" s="156" t="str">
        <f ca="1">OFFSET(AA82,0,2+(CU78-1)*2)</f>
        <v/>
      </c>
      <c r="CV82" s="156" t="str">
        <f ca="1">OFFSET(AA82,0,2+(CV78-1)*2)</f>
        <v/>
      </c>
      <c r="CW82" s="156">
        <f ca="1">OFFSET(AA82,0,2+(CW78-1)*2)</f>
        <v>0</v>
      </c>
      <c r="CX82" s="156">
        <f ca="1">OFFSET(AA82,0,2+(CX78-1)*2)</f>
        <v>0</v>
      </c>
      <c r="CY82" s="156">
        <f ca="1">OFFSET(AA82,0,2+(CY78-1)*2)</f>
        <v>0</v>
      </c>
      <c r="CZ82" s="156">
        <f ca="1">OFFSET(AA82,0,2+(CZ78-1)*2)</f>
        <v>0</v>
      </c>
      <c r="DA82" s="156">
        <f ca="1">OFFSET(AA82,0,2+(DA78-1)*2)</f>
        <v>0</v>
      </c>
      <c r="DB82" s="156">
        <f t="shared" ca="1" si="128"/>
        <v>8</v>
      </c>
      <c r="DE82" s="159"/>
      <c r="DF82" s="159"/>
      <c r="DG82" s="159">
        <v>4</v>
      </c>
      <c r="DH82" s="159">
        <v>5</v>
      </c>
      <c r="DI82" s="123">
        <f t="shared" si="94"/>
        <v>3</v>
      </c>
      <c r="DJ82" s="36" t="str">
        <f ca="1">OFFSET(gr_header,DG82+DE64,1+DF64)</f>
        <v/>
      </c>
      <c r="DK82" s="36" t="str">
        <f ca="1">OFFSET(gr_header,DH82+DE64,1+DF64)</f>
        <v/>
      </c>
      <c r="DL82" s="123">
        <f ca="1">OFFSET(gr_header,DG82+DE64,2*DH82+DF64)</f>
        <v>0</v>
      </c>
      <c r="DM82" s="123">
        <f ca="1">OFFSET(gr_header,DG82+DE64,2*DH82+1+DF64)</f>
        <v>0</v>
      </c>
      <c r="DN82" s="34"/>
      <c r="DO82" s="183">
        <f t="shared" ca="1" si="109"/>
        <v>0</v>
      </c>
      <c r="DP82" s="183">
        <f t="shared" ca="1" si="110"/>
        <v>0</v>
      </c>
      <c r="DQ82" s="183">
        <f t="shared" ca="1" si="111"/>
        <v>0</v>
      </c>
      <c r="DR82" s="183">
        <f t="shared" ca="1" si="112"/>
        <v>0</v>
      </c>
      <c r="DS82" s="182">
        <f t="shared" ca="1" si="113"/>
        <v>0</v>
      </c>
      <c r="DT82" s="182">
        <f t="shared" ca="1" si="114"/>
        <v>0</v>
      </c>
      <c r="DU82" s="182"/>
      <c r="DV82" s="182"/>
      <c r="DW82" s="182"/>
    </row>
    <row r="83" spans="2:127" ht="14.25" thickBot="1">
      <c r="B83" s="171">
        <v>5</v>
      </c>
      <c r="C83" s="172" t="str">
        <f ca="1">OFFSET(gr_anchor,B83,B78)</f>
        <v/>
      </c>
      <c r="D83" s="210" t="str">
        <f ca="1">IF(OFFSET(D79,D78-1,1+(B83-1)*2)="","",OFFSET(D79,D78-1,1+(B83-1)*2))</f>
        <v/>
      </c>
      <c r="E83" s="211" t="str">
        <f ca="1">IF(OFFSET(D79,D78-1,(B83-1)*2)="","",OFFSET(D79,D78-1,(B83-1)*2))</f>
        <v/>
      </c>
      <c r="F83" s="210" t="str">
        <f ca="1">IF(OFFSET(D79,F78-1,1+(B83-1)*2)="","",OFFSET(D79,F78-1,1+(B83-1)*2))</f>
        <v/>
      </c>
      <c r="G83" s="211" t="str">
        <f ca="1">IF(OFFSET(D79,F78-1,(B83-1)*2)="","",OFFSET(D79,F78-1,(B83-1)*2))</f>
        <v/>
      </c>
      <c r="H83" s="210" t="str">
        <f ca="1">IF(OFFSET(D79,H78-1,1+(B83-1)*2)="","",OFFSET(D79,H78-1,1+(B83-1)*2))</f>
        <v/>
      </c>
      <c r="I83" s="211" t="str">
        <f ca="1">IF(OFFSET(D79,H78-1,(B83-1)*2)="","",OFFSET(D79,H78-1,(B83-1)*2))</f>
        <v/>
      </c>
      <c r="J83" s="210" t="str">
        <f ca="1">IF(OFFSET(D79,J78-1,1+(B83-1)*2)="","",OFFSET(D79,J78-1,1+(B83-1)*2))</f>
        <v/>
      </c>
      <c r="K83" s="211" t="str">
        <f ca="1">IF(OFFSET(D79,J78-1,(B83-1)*2)="","",OFFSET(D79,J78-1,(B83-1)*2))</f>
        <v/>
      </c>
      <c r="L83" s="117"/>
      <c r="M83" s="118"/>
      <c r="N83" s="150"/>
      <c r="O83" s="150"/>
      <c r="P83" s="150"/>
      <c r="Q83" s="150"/>
      <c r="R83" s="150"/>
      <c r="S83" s="174"/>
      <c r="T83" s="177">
        <f ca="1">COUNTIF(OFFSET(E79,0,(B83-1)*2,8),3)*2+COUNTIF(OFFSET(D79,0,(B83-1)*2,8),3)</f>
        <v>0</v>
      </c>
      <c r="U83" s="177">
        <f ca="1">RANK(AZ83,AZ79:AZ86)*AY83</f>
        <v>0</v>
      </c>
      <c r="V83" s="175">
        <f t="shared" ca="1" si="118"/>
        <v>0</v>
      </c>
      <c r="W83" s="151">
        <f t="shared" ca="1" si="119"/>
        <v>0</v>
      </c>
      <c r="X83" s="152" t="str">
        <f t="shared" ca="1" si="115"/>
        <v/>
      </c>
      <c r="Y83" s="153"/>
      <c r="Z83" s="171">
        <v>5</v>
      </c>
      <c r="AA83" s="172" t="str">
        <f ca="1">OFFSET(gr_anchor,Z83,Z78)</f>
        <v/>
      </c>
      <c r="AB83" s="210" t="str">
        <f ca="1">IF(OFFSET(AB79,AB78-1,1+(Z83-1)*2)="","",OFFSET(AB79,AB78-1,1+(Z83-1)*2))</f>
        <v/>
      </c>
      <c r="AC83" s="211" t="str">
        <f ca="1">IF(OFFSET(AB79,AB78-1,(Z83-1)*2)="","",OFFSET(AB79,AB78-1,(Z83-1)*2))</f>
        <v/>
      </c>
      <c r="AD83" s="210" t="str">
        <f ca="1">IF(OFFSET(AB79,AD78-1,1+(Z83-1)*2)="","",OFFSET(AB79,AD78-1,1+(Z83-1)*2))</f>
        <v/>
      </c>
      <c r="AE83" s="211" t="str">
        <f ca="1">IF(OFFSET(AB79,AD78-1,(Z83-1)*2)="","",OFFSET(AB79,AD78-1,(Z83-1)*2))</f>
        <v/>
      </c>
      <c r="AF83" s="210" t="str">
        <f ca="1">IF(OFFSET(AB79,AF78-1,1+(Z83-1)*2)="","",OFFSET(AB79,AF78-1,1+(Z83-1)*2))</f>
        <v/>
      </c>
      <c r="AG83" s="211" t="str">
        <f ca="1">IF(OFFSET(AB79,AF78-1,(Z83-1)*2)="","",OFFSET(AB79,AF78-1,(Z83-1)*2))</f>
        <v/>
      </c>
      <c r="AH83" s="210" t="str">
        <f ca="1">IF(OFFSET(AB79,AH78-1,1+(Z83-1)*2)="","",OFFSET(AB79,AH78-1,1+(Z83-1)*2))</f>
        <v/>
      </c>
      <c r="AI83" s="211" t="str">
        <f ca="1">IF(OFFSET(AB79,AH78-1,(Z83-1)*2)="","",OFFSET(AB79,AH78-1,(Z83-1)*2))</f>
        <v/>
      </c>
      <c r="AJ83" s="117"/>
      <c r="AK83" s="118"/>
      <c r="AL83" s="150"/>
      <c r="AM83" s="150"/>
      <c r="AN83" s="150"/>
      <c r="AO83" s="150"/>
      <c r="AP83" s="150"/>
      <c r="AQ83" s="174"/>
      <c r="AR83" s="176">
        <f ca="1">COUNTIF(OFFSET(AC79,0,(Z83-1)*2,8),3)*2+COUNTIF(OFFSET(AB79,0,(Z83-1)*2,8),3)</f>
        <v>0</v>
      </c>
      <c r="AS83" s="176">
        <f ca="1">RANK(CC83,CC79:CC86)*CB83</f>
        <v>0</v>
      </c>
      <c r="AT83" s="175">
        <f t="shared" ca="1" si="120"/>
        <v>0</v>
      </c>
      <c r="AU83" s="151">
        <f t="shared" ca="1" si="121"/>
        <v>0</v>
      </c>
      <c r="AV83" s="152" t="str">
        <f t="shared" ca="1" si="122"/>
        <v/>
      </c>
      <c r="AW83" s="153"/>
      <c r="AX83" s="156">
        <f ca="1">COUNTA(C79:C86)-COUNTBLANK(C79:C86)</f>
        <v>0</v>
      </c>
      <c r="AY83" s="156">
        <f t="shared" ca="1" si="116"/>
        <v>0</v>
      </c>
      <c r="AZ83" s="157">
        <f t="shared" ca="1" si="123"/>
        <v>0</v>
      </c>
      <c r="BA83" s="156">
        <f ca="1">IF(T83=OFFSET(T78,BA78,0),1,0)</f>
        <v>1</v>
      </c>
      <c r="BB83" s="156">
        <f ca="1">IF(T83=OFFSET(T78,BB78,0),1,0)</f>
        <v>1</v>
      </c>
      <c r="BC83" s="156">
        <f ca="1">IF(T83=OFFSET(T78,BC78,0),1,0)</f>
        <v>1</v>
      </c>
      <c r="BD83" s="156">
        <f ca="1">IF(T83=OFFSET(T78,BD78,0),1,0)</f>
        <v>1</v>
      </c>
      <c r="BE83" s="156">
        <f ca="1">IF(T83=OFFSET(T78,BE78,0),1,0)</f>
        <v>1</v>
      </c>
      <c r="BF83" s="156">
        <f ca="1">IF(T83=OFFSET(T78,BF78,0),1,0)</f>
        <v>1</v>
      </c>
      <c r="BG83" s="156">
        <f ca="1">IF(T83=OFFSET(T78,BG78,0),1,0)</f>
        <v>1</v>
      </c>
      <c r="BH83" s="156">
        <f ca="1">IF(T83=OFFSET(T78,BH78,0),1,0)</f>
        <v>1</v>
      </c>
      <c r="BI83" s="156" t="str">
        <f ca="1">OFFSET(C83,0,1+(BI78-1)*2)</f>
        <v/>
      </c>
      <c r="BJ83" s="156" t="str">
        <f ca="1">OFFSET(C83,0,1+(BJ78-1)*2)</f>
        <v/>
      </c>
      <c r="BK83" s="156" t="str">
        <f ca="1">OFFSET(C83,0,1+(BK78-1)*2)</f>
        <v/>
      </c>
      <c r="BL83" s="156" t="str">
        <f ca="1">OFFSET(C83,0,1+(BL78-1)*2)</f>
        <v/>
      </c>
      <c r="BM83" s="156">
        <f ca="1">OFFSET(C83,0,1+(BM78-1)*2)</f>
        <v>0</v>
      </c>
      <c r="BN83" s="156">
        <f ca="1">OFFSET(C83,0,1+(BN78-1)*2)</f>
        <v>0</v>
      </c>
      <c r="BO83" s="156">
        <f ca="1">OFFSET(C83,0,1+(BO78-1)*2)</f>
        <v>0</v>
      </c>
      <c r="BP83" s="156">
        <f ca="1">OFFSET(C83,0,1+(BP78-1)*2)</f>
        <v>0</v>
      </c>
      <c r="BQ83" s="156" t="str">
        <f t="shared" ca="1" si="124"/>
        <v/>
      </c>
      <c r="BR83" s="156" t="str">
        <f t="shared" ca="1" si="124"/>
        <v/>
      </c>
      <c r="BS83" s="156" t="str">
        <f t="shared" ca="1" si="124"/>
        <v/>
      </c>
      <c r="BT83" s="156" t="str">
        <f t="shared" ca="1" si="124"/>
        <v/>
      </c>
      <c r="BU83" s="156">
        <f t="shared" ca="1" si="124"/>
        <v>0</v>
      </c>
      <c r="BV83" s="156">
        <f t="shared" ca="1" si="124"/>
        <v>0</v>
      </c>
      <c r="BW83" s="156">
        <f t="shared" ca="1" si="124"/>
        <v>0</v>
      </c>
      <c r="BX83" s="156">
        <f t="shared" ca="1" si="124"/>
        <v>0</v>
      </c>
      <c r="BY83" s="156">
        <f t="shared" ca="1" si="125"/>
        <v>8</v>
      </c>
      <c r="CA83" s="156">
        <f ca="1">COUNTA(AA79:AA86)-COUNTBLANK(AA79:AA86)</f>
        <v>0</v>
      </c>
      <c r="CB83" s="156">
        <f t="shared" ca="1" si="126"/>
        <v>0</v>
      </c>
      <c r="CC83" s="157">
        <f t="shared" ca="1" si="127"/>
        <v>0</v>
      </c>
      <c r="CD83" s="156">
        <f ca="1">IF(AR83=OFFSET(AR78,CD78,0),1,0)</f>
        <v>1</v>
      </c>
      <c r="CE83" s="156">
        <f ca="1">IF(AR83=OFFSET(AR78,CE78,0),1,0)</f>
        <v>1</v>
      </c>
      <c r="CF83" s="156">
        <f ca="1">IF(AR83=OFFSET(AR78,CF78,0),1,0)</f>
        <v>1</v>
      </c>
      <c r="CG83" s="156">
        <f ca="1">IF(AR83=OFFSET(AR78,CG78,0),1,0)</f>
        <v>1</v>
      </c>
      <c r="CH83" s="156">
        <f ca="1">IF(AR83=OFFSET(AR78,CH78,0),1,0)</f>
        <v>1</v>
      </c>
      <c r="CI83" s="156">
        <f ca="1">IF(AR83=OFFSET(AR78,CI78,0),1,0)</f>
        <v>1</v>
      </c>
      <c r="CJ83" s="156">
        <f ca="1">IF(AR83=OFFSET(AR78,CJ78,0),1,0)</f>
        <v>1</v>
      </c>
      <c r="CK83" s="156">
        <f ca="1">IF(AR83=OFFSET(AR78,CK78,0),1,0)</f>
        <v>1</v>
      </c>
      <c r="CL83" s="156" t="str">
        <f ca="1">OFFSET(AA83,0,1+(CL78-1)*2)</f>
        <v/>
      </c>
      <c r="CM83" s="156" t="str">
        <f ca="1">OFFSET(AA83,0,1+(CM78-1)*2)</f>
        <v/>
      </c>
      <c r="CN83" s="156" t="str">
        <f ca="1">OFFSET(AA83,0,1+(CN78-1)*2)</f>
        <v/>
      </c>
      <c r="CO83" s="156" t="str">
        <f ca="1">OFFSET(AA83,0,1+(CO78-1)*2)</f>
        <v/>
      </c>
      <c r="CP83" s="156">
        <f ca="1">OFFSET(AA83,0,1+(CP78-1)*2)</f>
        <v>0</v>
      </c>
      <c r="CQ83" s="156">
        <f ca="1">OFFSET(AA83,0,1+(CQ78-1)*2)</f>
        <v>0</v>
      </c>
      <c r="CR83" s="156">
        <f ca="1">OFFSET(AA83,0,1+(CR78-1)*2)</f>
        <v>0</v>
      </c>
      <c r="CS83" s="156">
        <f ca="1">OFFSET(AA83,0,1+(CS78-1)*2)</f>
        <v>0</v>
      </c>
      <c r="CT83" s="156" t="str">
        <f ca="1">OFFSET(AA83,0,2+(CT78-1)*2)</f>
        <v/>
      </c>
      <c r="CU83" s="156" t="str">
        <f ca="1">OFFSET(AA83,0,2+(CU78-1)*2)</f>
        <v/>
      </c>
      <c r="CV83" s="156" t="str">
        <f ca="1">OFFSET(AA83,0,2+(CV78-1)*2)</f>
        <v/>
      </c>
      <c r="CW83" s="156" t="str">
        <f ca="1">OFFSET(AA83,0,2+(CW78-1)*2)</f>
        <v/>
      </c>
      <c r="CX83" s="156">
        <f ca="1">OFFSET(AA83,0,2+(CX78-1)*2)</f>
        <v>0</v>
      </c>
      <c r="CY83" s="156">
        <f ca="1">OFFSET(AA83,0,2+(CY78-1)*2)</f>
        <v>0</v>
      </c>
      <c r="CZ83" s="156">
        <f ca="1">OFFSET(AA83,0,2+(CZ78-1)*2)</f>
        <v>0</v>
      </c>
      <c r="DA83" s="156">
        <f ca="1">OFFSET(AA83,0,2+(DA78-1)*2)</f>
        <v>0</v>
      </c>
      <c r="DB83" s="156">
        <f t="shared" ca="1" si="128"/>
        <v>8</v>
      </c>
      <c r="DE83" s="159"/>
      <c r="DF83" s="159"/>
      <c r="DG83" s="159">
        <v>4</v>
      </c>
      <c r="DH83" s="159">
        <v>6</v>
      </c>
      <c r="DI83" s="123">
        <f t="shared" si="94"/>
        <v>3</v>
      </c>
      <c r="DJ83" s="36" t="str">
        <f ca="1">OFFSET(gr_header,DG83+DE64,1+DF64)</f>
        <v/>
      </c>
      <c r="DK83" s="36" t="str">
        <f ca="1">OFFSET(gr_header,DH83+DE64,1+DF64)</f>
        <v/>
      </c>
      <c r="DL83" s="123">
        <f ca="1">OFFSET(gr_header,DG83+DE64,2*DH83+DF64)</f>
        <v>0</v>
      </c>
      <c r="DM83" s="123">
        <f ca="1">OFFSET(gr_header,DG83+DE64,2*DH83+1+DF64)</f>
        <v>0</v>
      </c>
      <c r="DN83" s="34"/>
      <c r="DO83" s="183">
        <f t="shared" ca="1" si="109"/>
        <v>0</v>
      </c>
      <c r="DP83" s="183">
        <f t="shared" ca="1" si="110"/>
        <v>0</v>
      </c>
      <c r="DQ83" s="183">
        <f t="shared" ca="1" si="111"/>
        <v>0</v>
      </c>
      <c r="DR83" s="183">
        <f t="shared" ca="1" si="112"/>
        <v>0</v>
      </c>
      <c r="DS83" s="182">
        <f t="shared" ca="1" si="113"/>
        <v>0</v>
      </c>
      <c r="DT83" s="182">
        <f t="shared" ca="1" si="114"/>
        <v>0</v>
      </c>
      <c r="DU83" s="182"/>
      <c r="DV83" s="182"/>
      <c r="DW83" s="182"/>
    </row>
    <row r="84" spans="2:127" hidden="1" outlineLevel="1">
      <c r="B84" s="148">
        <v>6</v>
      </c>
      <c r="C84" s="154" t="str">
        <f ca="1">OFFSET(gr_anchor,B84,B78)</f>
        <v/>
      </c>
      <c r="D84" s="150" t="str">
        <f ca="1">IF(OFFSET(D79,D78-1,1+(B84-1)*2)="","",OFFSET(D79,D78-1,1+(B84-1)*2))</f>
        <v/>
      </c>
      <c r="E84" s="150" t="str">
        <f ca="1">IF(OFFSET(D79,D78-1,(B84-1)*2)="","",OFFSET(D79,D78-1,(B84-1)*2))</f>
        <v/>
      </c>
      <c r="F84" s="150" t="str">
        <f ca="1">IF(OFFSET(D79,F78-1,1+(B84-1)*2)="","",OFFSET(D79,F78-1,1+(B84-1)*2))</f>
        <v/>
      </c>
      <c r="G84" s="150" t="str">
        <f ca="1">IF(OFFSET(D79,F78-1,(B84-1)*2)="","",OFFSET(D79,F78-1,(B84-1)*2))</f>
        <v/>
      </c>
      <c r="H84" s="150" t="str">
        <f ca="1">IF(OFFSET(D79,H78-1,1+(B84-1)*2)="","",OFFSET(D79,H78-1,1+(B84-1)*2))</f>
        <v/>
      </c>
      <c r="I84" s="150" t="str">
        <f ca="1">IF(OFFSET(D79,H78-1,(B84-1)*2)="","",OFFSET(D79,H78-1,(B84-1)*2))</f>
        <v/>
      </c>
      <c r="J84" s="150" t="str">
        <f ca="1">IF(OFFSET(D79,J78-1,1+(B84-1)*2)="","",OFFSET(D79,J78-1,1+(B84-1)*2))</f>
        <v/>
      </c>
      <c r="K84" s="150" t="str">
        <f ca="1">IF(OFFSET(D79,J78-1,(B84-1)*2)="","",OFFSET(D79,J78-1,(B84-1)*2))</f>
        <v/>
      </c>
      <c r="L84" s="150" t="str">
        <f ca="1">IF(OFFSET(D79,L78-1,1+(B84-1)*2)="","",OFFSET(D79,L78-1,1+(B84-1)*2))</f>
        <v/>
      </c>
      <c r="M84" s="150" t="str">
        <f ca="1">IF(OFFSET(D79,L78-1,(B84-1)*2)="","",OFFSET(D79,L78-1,(B84-1)*2))</f>
        <v/>
      </c>
      <c r="N84" s="155"/>
      <c r="O84" s="149"/>
      <c r="P84" s="150"/>
      <c r="Q84" s="150"/>
      <c r="R84" s="150"/>
      <c r="S84" s="150"/>
      <c r="T84" s="163">
        <f ca="1">COUNTIF(OFFSET(E79,0,(B84-1)*2,8),3)*2+COUNTIF(OFFSET(D79,0,(B84-1)*2,8),3)</f>
        <v>0</v>
      </c>
      <c r="U84" s="163">
        <f ca="1">RANK(AZ84,AZ79:AZ86)*AY84</f>
        <v>0</v>
      </c>
      <c r="V84" s="151">
        <f t="shared" ca="1" si="118"/>
        <v>0</v>
      </c>
      <c r="W84" s="151">
        <f t="shared" ca="1" si="119"/>
        <v>0</v>
      </c>
      <c r="X84" s="152" t="str">
        <f t="shared" ca="1" si="115"/>
        <v/>
      </c>
      <c r="Y84" s="153"/>
      <c r="Z84" s="148">
        <v>6</v>
      </c>
      <c r="AA84" s="154" t="str">
        <f ca="1">OFFSET(gr_anchor,Z84,Z78)</f>
        <v/>
      </c>
      <c r="AB84" s="150" t="str">
        <f ca="1">IF(OFFSET(AB79,AB78-1,1+(Z84-1)*2)="","",OFFSET(AB79,AB78-1,1+(Z84-1)*2))</f>
        <v/>
      </c>
      <c r="AC84" s="150" t="str">
        <f ca="1">IF(OFFSET(AB79,AB78-1,(Z84-1)*2)="","",OFFSET(AB79,AB78-1,(Z84-1)*2))</f>
        <v/>
      </c>
      <c r="AD84" s="150" t="str">
        <f ca="1">IF(OFFSET(AB79,AD78-1,1+(Z84-1)*2)="","",OFFSET(AB79,AD78-1,1+(Z84-1)*2))</f>
        <v/>
      </c>
      <c r="AE84" s="150" t="str">
        <f ca="1">IF(OFFSET(AB79,AD78-1,(Z84-1)*2)="","",OFFSET(AB79,AD78-1,(Z84-1)*2))</f>
        <v/>
      </c>
      <c r="AF84" s="150" t="str">
        <f ca="1">IF(OFFSET(AB79,AF78-1,1+(Z84-1)*2)="","",OFFSET(AB79,AF78-1,1+(Z84-1)*2))</f>
        <v/>
      </c>
      <c r="AG84" s="150" t="str">
        <f ca="1">IF(OFFSET(AB79,AF78-1,(Z84-1)*2)="","",OFFSET(AB79,AF78-1,(Z84-1)*2))</f>
        <v/>
      </c>
      <c r="AH84" s="150" t="str">
        <f ca="1">IF(OFFSET(AB79,AH78-1,1+(Z84-1)*2)="","",OFFSET(AB79,AH78-1,1+(Z84-1)*2))</f>
        <v/>
      </c>
      <c r="AI84" s="150" t="str">
        <f ca="1">IF(OFFSET(AB79,AH78-1,(Z84-1)*2)="","",OFFSET(AB79,AH78-1,(Z84-1)*2))</f>
        <v/>
      </c>
      <c r="AJ84" s="150" t="str">
        <f ca="1">IF(OFFSET(AB79,AJ78-1,1+(Z84-1)*2)="","",OFFSET(AB79,AJ78-1,1+(Z84-1)*2))</f>
        <v/>
      </c>
      <c r="AK84" s="150" t="str">
        <f ca="1">IF(OFFSET(AB79,AJ78-1,(Z84-1)*2)="","",OFFSET(AB79,AJ78-1,(Z84-1)*2))</f>
        <v/>
      </c>
      <c r="AL84" s="155"/>
      <c r="AM84" s="149"/>
      <c r="AN84" s="150"/>
      <c r="AO84" s="150"/>
      <c r="AP84" s="150"/>
      <c r="AQ84" s="150"/>
      <c r="AR84" s="163">
        <f ca="1">COUNTIF(OFFSET(AC79,0,(Z84-1)*2,8),3)*2+COUNTIF(OFFSET(AB79,0,(Z84-1)*2,8),3)</f>
        <v>0</v>
      </c>
      <c r="AS84" s="163">
        <f ca="1">RANK(CC84,CC79:CC86)*CB84</f>
        <v>0</v>
      </c>
      <c r="AT84" s="151">
        <f t="shared" ca="1" si="120"/>
        <v>0</v>
      </c>
      <c r="AU84" s="151">
        <f t="shared" ca="1" si="121"/>
        <v>0</v>
      </c>
      <c r="AV84" s="152" t="str">
        <f t="shared" ca="1" si="122"/>
        <v/>
      </c>
      <c r="AW84" s="153"/>
      <c r="AX84" s="156">
        <f ca="1">COUNTA(C79:C86)-COUNTBLANK(C79:C86)</f>
        <v>0</v>
      </c>
      <c r="AY84" s="156">
        <f t="shared" ca="1" si="116"/>
        <v>0</v>
      </c>
      <c r="AZ84" s="157">
        <f t="shared" ca="1" si="123"/>
        <v>0</v>
      </c>
      <c r="BA84" s="156">
        <f ca="1">IF(T84=OFFSET(T78,BA78,0),1,0)</f>
        <v>1</v>
      </c>
      <c r="BB84" s="156">
        <f ca="1">IF(T84=OFFSET(T78,BB78,0),1,0)</f>
        <v>1</v>
      </c>
      <c r="BC84" s="156">
        <f ca="1">IF(T84=OFFSET(T78,BC78,0),1,0)</f>
        <v>1</v>
      </c>
      <c r="BD84" s="156">
        <f ca="1">IF(T84=OFFSET(T78,BD78,0),1,0)</f>
        <v>1</v>
      </c>
      <c r="BE84" s="156">
        <f ca="1">IF(T84=OFFSET(T78,BE78,0),1,0)</f>
        <v>1</v>
      </c>
      <c r="BF84" s="156">
        <f ca="1">IF(T84=OFFSET(T78,BF78,0),1,0)</f>
        <v>1</v>
      </c>
      <c r="BG84" s="156">
        <f ca="1">IF(T84=OFFSET(T78,BG78,0),1,0)</f>
        <v>1</v>
      </c>
      <c r="BH84" s="156">
        <f ca="1">IF(T84=OFFSET(T78,BH78,0),1,0)</f>
        <v>1</v>
      </c>
      <c r="BI84" s="156" t="str">
        <f ca="1">OFFSET(C84,0,1+(BI78-1)*2)</f>
        <v/>
      </c>
      <c r="BJ84" s="156" t="str">
        <f ca="1">OFFSET(C84,0,1+(BJ78-1)*2)</f>
        <v/>
      </c>
      <c r="BK84" s="156" t="str">
        <f ca="1">OFFSET(C84,0,1+(BK78-1)*2)</f>
        <v/>
      </c>
      <c r="BL84" s="156" t="str">
        <f ca="1">OFFSET(C84,0,1+(BL78-1)*2)</f>
        <v/>
      </c>
      <c r="BM84" s="156" t="str">
        <f ca="1">OFFSET(C84,0,1+(BM78-1)*2)</f>
        <v/>
      </c>
      <c r="BN84" s="156">
        <f ca="1">OFFSET(C84,0,1+(BN78-1)*2)</f>
        <v>0</v>
      </c>
      <c r="BO84" s="156">
        <f ca="1">OFFSET(C84,0,1+(BO78-1)*2)</f>
        <v>0</v>
      </c>
      <c r="BP84" s="156">
        <f ca="1">OFFSET(C84,0,1+(BP78-1)*2)</f>
        <v>0</v>
      </c>
      <c r="BQ84" s="156" t="str">
        <f t="shared" ca="1" si="124"/>
        <v/>
      </c>
      <c r="BR84" s="156" t="str">
        <f t="shared" ca="1" si="124"/>
        <v/>
      </c>
      <c r="BS84" s="156" t="str">
        <f t="shared" ca="1" si="124"/>
        <v/>
      </c>
      <c r="BT84" s="156" t="str">
        <f t="shared" ca="1" si="124"/>
        <v/>
      </c>
      <c r="BU84" s="156" t="str">
        <f t="shared" ca="1" si="124"/>
        <v/>
      </c>
      <c r="BV84" s="156">
        <f t="shared" ca="1" si="124"/>
        <v>0</v>
      </c>
      <c r="BW84" s="156">
        <f t="shared" ca="1" si="124"/>
        <v>0</v>
      </c>
      <c r="BX84" s="156">
        <f t="shared" ca="1" si="124"/>
        <v>0</v>
      </c>
      <c r="BY84" s="156">
        <f t="shared" ca="1" si="125"/>
        <v>8</v>
      </c>
      <c r="CA84" s="156">
        <f ca="1">COUNTA(AA79:AA86)-COUNTBLANK(AA79:AA86)</f>
        <v>0</v>
      </c>
      <c r="CB84" s="156">
        <f t="shared" ca="1" si="126"/>
        <v>0</v>
      </c>
      <c r="CC84" s="157">
        <f t="shared" ca="1" si="127"/>
        <v>0</v>
      </c>
      <c r="CD84" s="156">
        <f ca="1">IF(AR84=OFFSET(AR78,CD78,0),1,0)</f>
        <v>1</v>
      </c>
      <c r="CE84" s="156">
        <f ca="1">IF(AR84=OFFSET(AR78,CE78,0),1,0)</f>
        <v>1</v>
      </c>
      <c r="CF84" s="156">
        <f ca="1">IF(AR84=OFFSET(AR78,CF78,0),1,0)</f>
        <v>1</v>
      </c>
      <c r="CG84" s="156">
        <f ca="1">IF(AR84=OFFSET(AR78,CG78,0),1,0)</f>
        <v>1</v>
      </c>
      <c r="CH84" s="156">
        <f ca="1">IF(AR84=OFFSET(AR78,CH78,0),1,0)</f>
        <v>1</v>
      </c>
      <c r="CI84" s="156">
        <f ca="1">IF(AR84=OFFSET(AR78,CI78,0),1,0)</f>
        <v>1</v>
      </c>
      <c r="CJ84" s="156">
        <f ca="1">IF(AR84=OFFSET(AR78,CJ78,0),1,0)</f>
        <v>1</v>
      </c>
      <c r="CK84" s="156">
        <f ca="1">IF(AR84=OFFSET(AR78,CK78,0),1,0)</f>
        <v>1</v>
      </c>
      <c r="CL84" s="156" t="str">
        <f ca="1">OFFSET(AA84,0,1+(CL78-1)*2)</f>
        <v/>
      </c>
      <c r="CM84" s="156" t="str">
        <f ca="1">OFFSET(AA84,0,1+(CM78-1)*2)</f>
        <v/>
      </c>
      <c r="CN84" s="156" t="str">
        <f ca="1">OFFSET(AA84,0,1+(CN78-1)*2)</f>
        <v/>
      </c>
      <c r="CO84" s="156" t="str">
        <f ca="1">OFFSET(AA84,0,1+(CO78-1)*2)</f>
        <v/>
      </c>
      <c r="CP84" s="156" t="str">
        <f ca="1">OFFSET(AA84,0,1+(CP78-1)*2)</f>
        <v/>
      </c>
      <c r="CQ84" s="156">
        <f ca="1">OFFSET(AA84,0,1+(CQ78-1)*2)</f>
        <v>0</v>
      </c>
      <c r="CR84" s="156">
        <f ca="1">OFFSET(AA84,0,1+(CR78-1)*2)</f>
        <v>0</v>
      </c>
      <c r="CS84" s="156">
        <f ca="1">OFFSET(AA84,0,1+(CS78-1)*2)</f>
        <v>0</v>
      </c>
      <c r="CT84" s="156" t="str">
        <f ca="1">OFFSET(AA84,0,2+(CT78-1)*2)</f>
        <v/>
      </c>
      <c r="CU84" s="156" t="str">
        <f ca="1">OFFSET(AA84,0,2+(CU78-1)*2)</f>
        <v/>
      </c>
      <c r="CV84" s="156" t="str">
        <f ca="1">OFFSET(AA84,0,2+(CV78-1)*2)</f>
        <v/>
      </c>
      <c r="CW84" s="156" t="str">
        <f ca="1">OFFSET(AA84,0,2+(CW78-1)*2)</f>
        <v/>
      </c>
      <c r="CX84" s="156" t="str">
        <f ca="1">OFFSET(AA84,0,2+(CX78-1)*2)</f>
        <v/>
      </c>
      <c r="CY84" s="156">
        <f ca="1">OFFSET(AA84,0,2+(CY78-1)*2)</f>
        <v>0</v>
      </c>
      <c r="CZ84" s="156">
        <f ca="1">OFFSET(AA84,0,2+(CZ78-1)*2)</f>
        <v>0</v>
      </c>
      <c r="DA84" s="156">
        <f ca="1">OFFSET(AA84,0,2+(DA78-1)*2)</f>
        <v>0</v>
      </c>
      <c r="DB84" s="156">
        <f t="shared" ca="1" si="128"/>
        <v>8</v>
      </c>
      <c r="DE84" s="159"/>
      <c r="DF84" s="159"/>
      <c r="DG84" s="159">
        <v>4</v>
      </c>
      <c r="DH84" s="159">
        <v>7</v>
      </c>
      <c r="DI84" s="123">
        <f t="shared" si="94"/>
        <v>3</v>
      </c>
      <c r="DJ84" s="36" t="str">
        <f ca="1">OFFSET(gr_header,DG84+DE64,1+DF64)</f>
        <v/>
      </c>
      <c r="DK84" s="36" t="str">
        <f ca="1">OFFSET(gr_header,DH84+DE64,1+DF64)</f>
        <v/>
      </c>
      <c r="DL84" s="123">
        <f ca="1">OFFSET(gr_header,DG84+DE64,2*DH84+DF64)</f>
        <v>0</v>
      </c>
      <c r="DM84" s="123">
        <f ca="1">OFFSET(gr_header,DG84+DE64,2*DH84+1+DF64)</f>
        <v>0</v>
      </c>
      <c r="DN84" s="34"/>
      <c r="DO84" s="183">
        <f t="shared" ca="1" si="109"/>
        <v>0</v>
      </c>
      <c r="DP84" s="183">
        <f t="shared" ca="1" si="110"/>
        <v>0</v>
      </c>
      <c r="DQ84" s="183">
        <f t="shared" ca="1" si="111"/>
        <v>0</v>
      </c>
      <c r="DR84" s="183">
        <f t="shared" ca="1" si="112"/>
        <v>0</v>
      </c>
      <c r="DS84" s="182">
        <f t="shared" ca="1" si="113"/>
        <v>0</v>
      </c>
      <c r="DT84" s="182">
        <f t="shared" ca="1" si="114"/>
        <v>0</v>
      </c>
      <c r="DU84" s="182"/>
      <c r="DV84" s="182"/>
      <c r="DW84" s="182"/>
    </row>
    <row r="85" spans="2:127" hidden="1" outlineLevel="1">
      <c r="B85" s="148">
        <v>7</v>
      </c>
      <c r="C85" s="154" t="str">
        <f ca="1">OFFSET(gr_anchor,B85,B78)</f>
        <v/>
      </c>
      <c r="D85" s="150" t="str">
        <f ca="1">IF(OFFSET(D79,D78-1,1+(B85-1)*2)="","",OFFSET(D79,D78-1,1+(B85-1)*2))</f>
        <v/>
      </c>
      <c r="E85" s="150" t="str">
        <f ca="1">IF(OFFSET(D79,D78-1,(B85-1)*2)="","",OFFSET(D79,D78-1,(B85-1)*2))</f>
        <v/>
      </c>
      <c r="F85" s="150" t="str">
        <f ca="1">IF(OFFSET(D79,F78-1,1+(B85-1)*2)="","",OFFSET(D79,F78-1,1+(B85-1)*2))</f>
        <v/>
      </c>
      <c r="G85" s="150" t="str">
        <f ca="1">IF(OFFSET(D79,F78-1,(B85-1)*2)="","",OFFSET(D79,F78-1,(B85-1)*2))</f>
        <v/>
      </c>
      <c r="H85" s="150" t="str">
        <f ca="1">IF(OFFSET(D79,H78-1,1+(B85-1)*2)="","",OFFSET(D79,H78-1,1+(B85-1)*2))</f>
        <v/>
      </c>
      <c r="I85" s="150" t="str">
        <f ca="1">IF(OFFSET(D79,H78-1,(B85-1)*2)="","",OFFSET(D79,H78-1,(B85-1)*2))</f>
        <v/>
      </c>
      <c r="J85" s="150" t="str">
        <f ca="1">IF(OFFSET(D79,J78-1,1+(B85-1)*2)="","",OFFSET(D79,J78-1,1+(B85-1)*2))</f>
        <v/>
      </c>
      <c r="K85" s="150" t="str">
        <f ca="1">IF(OFFSET(D79,J78-1,(B85-1)*2)="","",OFFSET(D79,J78-1,(B85-1)*2))</f>
        <v/>
      </c>
      <c r="L85" s="150" t="str">
        <f ca="1">IF(OFFSET(D79,L78-1,1+(B85-1)*2)="","",OFFSET(D79,L78-1,1+(B85-1)*2))</f>
        <v/>
      </c>
      <c r="M85" s="150" t="str">
        <f ca="1">IF(OFFSET(D79,L78-1,(B85-1)*2)="","",OFFSET(D79,L78-1,(B85-1)*2))</f>
        <v/>
      </c>
      <c r="N85" s="150" t="str">
        <f ca="1">IF(OFFSET(D79,N78-1,1+(B85-1)*2)="","",OFFSET(D79,N78-1,1+(B85-1)*2))</f>
        <v/>
      </c>
      <c r="O85" s="150" t="str">
        <f ca="1">IF(OFFSET(D79,N78-1,(B85-1)*2)="","",OFFSET(D79,N78-1,(B85-1)*2))</f>
        <v/>
      </c>
      <c r="P85" s="155"/>
      <c r="Q85" s="149"/>
      <c r="R85" s="150"/>
      <c r="S85" s="150"/>
      <c r="T85" s="151">
        <f ca="1">COUNTIF(OFFSET(E79,0,(B85-1)*2,8),3)*2+COUNTIF(OFFSET(D79,0,(B85-1)*2,8),3)</f>
        <v>0</v>
      </c>
      <c r="U85" s="151">
        <f ca="1">RANK(AZ85,AZ79:AZ86)*AY85</f>
        <v>0</v>
      </c>
      <c r="V85" s="151">
        <f t="shared" ca="1" si="118"/>
        <v>0</v>
      </c>
      <c r="W85" s="151">
        <f t="shared" ca="1" si="119"/>
        <v>0</v>
      </c>
      <c r="X85" s="152" t="str">
        <f t="shared" ca="1" si="115"/>
        <v/>
      </c>
      <c r="Y85" s="153"/>
      <c r="Z85" s="148">
        <v>7</v>
      </c>
      <c r="AA85" s="154" t="str">
        <f ca="1">OFFSET(gr_anchor,Z85,Z78)</f>
        <v/>
      </c>
      <c r="AB85" s="150" t="str">
        <f ca="1">IF(OFFSET(AB79,AB78-1,1+(Z85-1)*2)="","",OFFSET(AB79,AB78-1,1+(Z85-1)*2))</f>
        <v/>
      </c>
      <c r="AC85" s="150" t="str">
        <f ca="1">IF(OFFSET(AB79,AB78-1,(Z85-1)*2)="","",OFFSET(AB79,AB78-1,(Z85-1)*2))</f>
        <v/>
      </c>
      <c r="AD85" s="150" t="str">
        <f ca="1">IF(OFFSET(AB79,AD78-1,1+(Z85-1)*2)="","",OFFSET(AB79,AD78-1,1+(Z85-1)*2))</f>
        <v/>
      </c>
      <c r="AE85" s="150" t="str">
        <f ca="1">IF(OFFSET(AB79,AD78-1,(Z85-1)*2)="","",OFFSET(AB79,AD78-1,(Z85-1)*2))</f>
        <v/>
      </c>
      <c r="AF85" s="150" t="str">
        <f ca="1">IF(OFFSET(AB79,AF78-1,1+(Z85-1)*2)="","",OFFSET(AB79,AF78-1,1+(Z85-1)*2))</f>
        <v/>
      </c>
      <c r="AG85" s="150" t="str">
        <f ca="1">IF(OFFSET(AB79,AF78-1,(Z85-1)*2)="","",OFFSET(AB79,AF78-1,(Z85-1)*2))</f>
        <v/>
      </c>
      <c r="AH85" s="150" t="str">
        <f ca="1">IF(OFFSET(AB79,AH78-1,1+(Z85-1)*2)="","",OFFSET(AB79,AH78-1,1+(Z85-1)*2))</f>
        <v/>
      </c>
      <c r="AI85" s="150" t="str">
        <f ca="1">IF(OFFSET(AB79,AH78-1,(Z85-1)*2)="","",OFFSET(AB79,AH78-1,(Z85-1)*2))</f>
        <v/>
      </c>
      <c r="AJ85" s="150" t="str">
        <f ca="1">IF(OFFSET(AB79,AJ78-1,1+(Z85-1)*2)="","",OFFSET(AB79,AJ78-1,1+(Z85-1)*2))</f>
        <v/>
      </c>
      <c r="AK85" s="150" t="str">
        <f ca="1">IF(OFFSET(AB79,AJ78-1,(Z85-1)*2)="","",OFFSET(AB79,AJ78-1,(Z85-1)*2))</f>
        <v/>
      </c>
      <c r="AL85" s="150" t="str">
        <f ca="1">IF(OFFSET(AB79,AL78-1,1+(Z85-1)*2)="","",OFFSET(AB79,AL78-1,1+(Z85-1)*2))</f>
        <v/>
      </c>
      <c r="AM85" s="150" t="str">
        <f ca="1">IF(OFFSET(AB79,AL78-1,(Z85-1)*2)="","",OFFSET(AB79,AL78-1,(Z85-1)*2))</f>
        <v/>
      </c>
      <c r="AN85" s="155"/>
      <c r="AO85" s="149"/>
      <c r="AP85" s="150"/>
      <c r="AQ85" s="150"/>
      <c r="AR85" s="151">
        <f ca="1">COUNTIF(OFFSET(AC79,0,(Z85-1)*2,8),3)*2+COUNTIF(OFFSET(AB79,0,(Z85-1)*2,8),3)</f>
        <v>0</v>
      </c>
      <c r="AS85" s="151">
        <f ca="1">RANK(CC85,CC79:CC86)*CB85</f>
        <v>0</v>
      </c>
      <c r="AT85" s="151">
        <f t="shared" ca="1" si="120"/>
        <v>0</v>
      </c>
      <c r="AU85" s="151">
        <f t="shared" ca="1" si="121"/>
        <v>0</v>
      </c>
      <c r="AV85" s="152" t="str">
        <f t="shared" ca="1" si="122"/>
        <v/>
      </c>
      <c r="AW85" s="153"/>
      <c r="AX85" s="156">
        <f ca="1">COUNTA(C79:C86)-COUNTBLANK(C79:C86)</f>
        <v>0</v>
      </c>
      <c r="AY85" s="156">
        <f t="shared" ca="1" si="116"/>
        <v>0</v>
      </c>
      <c r="AZ85" s="157">
        <f t="shared" ca="1" si="123"/>
        <v>0</v>
      </c>
      <c r="BA85" s="156">
        <f ca="1">IF(T85=OFFSET(T78,BA78,0),1,0)</f>
        <v>1</v>
      </c>
      <c r="BB85" s="156">
        <f ca="1">IF(T85=OFFSET(T78,BB78,0),1,0)</f>
        <v>1</v>
      </c>
      <c r="BC85" s="156">
        <f ca="1">IF(T85=OFFSET(T78,BC78,0),1,0)</f>
        <v>1</v>
      </c>
      <c r="BD85" s="156">
        <f ca="1">IF(T85=OFFSET(T78,BD78,0),1,0)</f>
        <v>1</v>
      </c>
      <c r="BE85" s="156">
        <f ca="1">IF(T85=OFFSET(T78,BE78,0),1,0)</f>
        <v>1</v>
      </c>
      <c r="BF85" s="156">
        <f ca="1">IF(T85=OFFSET(T78,BF78,0),1,0)</f>
        <v>1</v>
      </c>
      <c r="BG85" s="156">
        <f ca="1">IF(T85=OFFSET(T78,BG78,0),1,0)</f>
        <v>1</v>
      </c>
      <c r="BH85" s="156">
        <f ca="1">IF(T85=OFFSET(T78,BH78,0),1,0)</f>
        <v>1</v>
      </c>
      <c r="BI85" s="156" t="str">
        <f ca="1">OFFSET(C85,0,1+(BI78-1)*2)</f>
        <v/>
      </c>
      <c r="BJ85" s="156" t="str">
        <f ca="1">OFFSET(C85,0,1+(BJ78-1)*2)</f>
        <v/>
      </c>
      <c r="BK85" s="156" t="str">
        <f ca="1">OFFSET(C85,0,1+(BK78-1)*2)</f>
        <v/>
      </c>
      <c r="BL85" s="156" t="str">
        <f ca="1">OFFSET(C85,0,1+(BL78-1)*2)</f>
        <v/>
      </c>
      <c r="BM85" s="156" t="str">
        <f ca="1">OFFSET(C85,0,1+(BM78-1)*2)</f>
        <v/>
      </c>
      <c r="BN85" s="156" t="str">
        <f ca="1">OFFSET(C85,0,1+(BN78-1)*2)</f>
        <v/>
      </c>
      <c r="BO85" s="156">
        <f ca="1">OFFSET(C85,0,1+(BO78-1)*2)</f>
        <v>0</v>
      </c>
      <c r="BP85" s="156">
        <f ca="1">OFFSET(C85,0,1+(BP78-1)*2)</f>
        <v>0</v>
      </c>
      <c r="BQ85" s="156" t="str">
        <f t="shared" ca="1" si="124"/>
        <v/>
      </c>
      <c r="BR85" s="156" t="str">
        <f t="shared" ca="1" si="124"/>
        <v/>
      </c>
      <c r="BS85" s="156" t="str">
        <f t="shared" ca="1" si="124"/>
        <v/>
      </c>
      <c r="BT85" s="156" t="str">
        <f t="shared" ca="1" si="124"/>
        <v/>
      </c>
      <c r="BU85" s="156" t="str">
        <f t="shared" ca="1" si="124"/>
        <v/>
      </c>
      <c r="BV85" s="156" t="str">
        <f t="shared" ca="1" si="124"/>
        <v/>
      </c>
      <c r="BW85" s="156">
        <f t="shared" ca="1" si="124"/>
        <v>0</v>
      </c>
      <c r="BX85" s="156">
        <f t="shared" ca="1" si="124"/>
        <v>0</v>
      </c>
      <c r="BY85" s="156">
        <f t="shared" ca="1" si="125"/>
        <v>8</v>
      </c>
      <c r="CA85" s="156">
        <f ca="1">COUNTA(AA79:AA86)-COUNTBLANK(AA79:AA86)</f>
        <v>0</v>
      </c>
      <c r="CB85" s="156">
        <f t="shared" ca="1" si="126"/>
        <v>0</v>
      </c>
      <c r="CC85" s="157">
        <f t="shared" ca="1" si="127"/>
        <v>0</v>
      </c>
      <c r="CD85" s="156">
        <f ca="1">IF(AR85=OFFSET(AR78,CD78,0),1,0)</f>
        <v>1</v>
      </c>
      <c r="CE85" s="156">
        <f ca="1">IF(AR85=OFFSET(AR78,CE78,0),1,0)</f>
        <v>1</v>
      </c>
      <c r="CF85" s="156">
        <f ca="1">IF(AR85=OFFSET(AR78,CF78,0),1,0)</f>
        <v>1</v>
      </c>
      <c r="CG85" s="156">
        <f ca="1">IF(AR85=OFFSET(AR78,CG78,0),1,0)</f>
        <v>1</v>
      </c>
      <c r="CH85" s="156">
        <f ca="1">IF(AR85=OFFSET(AR78,CH78,0),1,0)</f>
        <v>1</v>
      </c>
      <c r="CI85" s="156">
        <f ca="1">IF(AR85=OFFSET(AR78,CI78,0),1,0)</f>
        <v>1</v>
      </c>
      <c r="CJ85" s="156">
        <f ca="1">IF(AR85=OFFSET(AR78,CJ78,0),1,0)</f>
        <v>1</v>
      </c>
      <c r="CK85" s="156">
        <f ca="1">IF(AR85=OFFSET(AR78,CK78,0),1,0)</f>
        <v>1</v>
      </c>
      <c r="CL85" s="156" t="str">
        <f ca="1">OFFSET(AA85,0,1+(CL78-1)*2)</f>
        <v/>
      </c>
      <c r="CM85" s="156" t="str">
        <f ca="1">OFFSET(AA85,0,1+(CM78-1)*2)</f>
        <v/>
      </c>
      <c r="CN85" s="156" t="str">
        <f ca="1">OFFSET(AA85,0,1+(CN78-1)*2)</f>
        <v/>
      </c>
      <c r="CO85" s="156" t="str">
        <f ca="1">OFFSET(AA85,0,1+(CO78-1)*2)</f>
        <v/>
      </c>
      <c r="CP85" s="156" t="str">
        <f ca="1">OFFSET(AA85,0,1+(CP78-1)*2)</f>
        <v/>
      </c>
      <c r="CQ85" s="156" t="str">
        <f ca="1">OFFSET(AA85,0,1+(CQ78-1)*2)</f>
        <v/>
      </c>
      <c r="CR85" s="156">
        <f ca="1">OFFSET(AA85,0,1+(CR78-1)*2)</f>
        <v>0</v>
      </c>
      <c r="CS85" s="156">
        <f ca="1">OFFSET(AA85,0,1+(CS78-1)*2)</f>
        <v>0</v>
      </c>
      <c r="CT85" s="156" t="str">
        <f ca="1">OFFSET(AA85,0,2+(CT78-1)*2)</f>
        <v/>
      </c>
      <c r="CU85" s="156" t="str">
        <f ca="1">OFFSET(AA85,0,2+(CU78-1)*2)</f>
        <v/>
      </c>
      <c r="CV85" s="156" t="str">
        <f ca="1">OFFSET(AA85,0,2+(CV78-1)*2)</f>
        <v/>
      </c>
      <c r="CW85" s="156" t="str">
        <f ca="1">OFFSET(AA85,0,2+(CW78-1)*2)</f>
        <v/>
      </c>
      <c r="CX85" s="156" t="str">
        <f ca="1">OFFSET(AA85,0,2+(CX78-1)*2)</f>
        <v/>
      </c>
      <c r="CY85" s="156" t="str">
        <f ca="1">OFFSET(AA85,0,2+(CY78-1)*2)</f>
        <v/>
      </c>
      <c r="CZ85" s="156">
        <f ca="1">OFFSET(AA85,0,2+(CZ78-1)*2)</f>
        <v>0</v>
      </c>
      <c r="DA85" s="156">
        <f ca="1">OFFSET(AA85,0,2+(DA78-1)*2)</f>
        <v>0</v>
      </c>
      <c r="DB85" s="156">
        <f t="shared" ca="1" si="128"/>
        <v>8</v>
      </c>
      <c r="DE85" s="159"/>
      <c r="DF85" s="159"/>
      <c r="DG85" s="159">
        <v>4</v>
      </c>
      <c r="DH85" s="159">
        <v>8</v>
      </c>
      <c r="DI85" s="123">
        <f t="shared" si="94"/>
        <v>3</v>
      </c>
      <c r="DJ85" s="36" t="str">
        <f ca="1">OFFSET(gr_header,DG85+DE64,1+DF64)</f>
        <v/>
      </c>
      <c r="DK85" s="36" t="str">
        <f ca="1">OFFSET(gr_header,DH85+DE64,1+DF64)</f>
        <v/>
      </c>
      <c r="DL85" s="123">
        <f ca="1">OFFSET(gr_header,DG85+DE64,2*DH85+DF64)</f>
        <v>0</v>
      </c>
      <c r="DM85" s="123">
        <f ca="1">OFFSET(gr_header,DG85+DE64,2*DH85+1+DF64)</f>
        <v>0</v>
      </c>
      <c r="DN85" s="34"/>
      <c r="DO85" s="183">
        <f t="shared" ca="1" si="109"/>
        <v>0</v>
      </c>
      <c r="DP85" s="183">
        <f t="shared" ca="1" si="110"/>
        <v>0</v>
      </c>
      <c r="DQ85" s="183">
        <f t="shared" ca="1" si="111"/>
        <v>0</v>
      </c>
      <c r="DR85" s="183">
        <f t="shared" ca="1" si="112"/>
        <v>0</v>
      </c>
      <c r="DS85" s="182">
        <f t="shared" ca="1" si="113"/>
        <v>0</v>
      </c>
      <c r="DT85" s="182">
        <f t="shared" ca="1" si="114"/>
        <v>0</v>
      </c>
      <c r="DU85" s="182"/>
      <c r="DV85" s="182"/>
      <c r="DW85" s="182"/>
    </row>
    <row r="86" spans="2:127" hidden="1" outlineLevel="1">
      <c r="B86" s="148">
        <v>8</v>
      </c>
      <c r="C86" s="154" t="str">
        <f ca="1">OFFSET(gr_anchor,B86,B78)</f>
        <v/>
      </c>
      <c r="D86" s="150" t="str">
        <f ca="1">IF(OFFSET(D79,D78-1,1+(B86-1)*2)="","",OFFSET(D79,D78-1,1+(B86-1)*2))</f>
        <v/>
      </c>
      <c r="E86" s="150" t="str">
        <f ca="1">IF(OFFSET(D79,D78-1,(B86-1)*2)="","",OFFSET(D79,D78-1,(B86-1)*2))</f>
        <v/>
      </c>
      <c r="F86" s="150" t="str">
        <f ca="1">IF(OFFSET(D79,F78-1,1+(B86-1)*2)="","",OFFSET(D79,F78-1,1+(B86-1)*2))</f>
        <v/>
      </c>
      <c r="G86" s="150" t="str">
        <f ca="1">IF(OFFSET(D79,F78-1,(B86-1)*2)="","",OFFSET(D79,F78-1,(B86-1)*2))</f>
        <v/>
      </c>
      <c r="H86" s="150" t="str">
        <f ca="1">IF(OFFSET(D79,H78-1,1+(B86-1)*2)="","",OFFSET(D79,H78-1,1+(B86-1)*2))</f>
        <v/>
      </c>
      <c r="I86" s="150" t="str">
        <f ca="1">IF(OFFSET(D79,H78-1,(B86-1)*2)="","",OFFSET(D79,H78-1,(B86-1)*2))</f>
        <v/>
      </c>
      <c r="J86" s="150" t="str">
        <f ca="1">IF(OFFSET(D79,J78-1,1+(B86-1)*2)="","",OFFSET(D79,J78-1,1+(B86-1)*2))</f>
        <v/>
      </c>
      <c r="K86" s="150" t="str">
        <f ca="1">IF(OFFSET(D79,J78-1,(B86-1)*2)="","",OFFSET(D79,J78-1,(B86-1)*2))</f>
        <v/>
      </c>
      <c r="L86" s="150" t="str">
        <f ca="1">IF(OFFSET(D79,L78-1,1+(B86-1)*2)="","",OFFSET(D79,L78-1,1+(B86-1)*2))</f>
        <v/>
      </c>
      <c r="M86" s="150" t="str">
        <f ca="1">IF(OFFSET(D79,L78-1,(B86-1)*2)="","",OFFSET(D79,L78-1,(B86-1)*2))</f>
        <v/>
      </c>
      <c r="N86" s="150" t="str">
        <f ca="1">IF(OFFSET(D79,N78-1,1+(B86-1)*2)="","",OFFSET(D79,N78-1,1+(B86-1)*2))</f>
        <v/>
      </c>
      <c r="O86" s="150" t="str">
        <f ca="1">IF(OFFSET(D79,N78-1,(B86-1)*2)="","",OFFSET(D79,N78-1,(B86-1)*2))</f>
        <v/>
      </c>
      <c r="P86" s="150" t="str">
        <f ca="1">IF(OFFSET(D79,P78-1,1+(B86-1)*2)="","",OFFSET(D79,P78-1,1+(B86-1)*2))</f>
        <v/>
      </c>
      <c r="Q86" s="150" t="str">
        <f ca="1">IF(OFFSET(D79,P78-1,(B86-1)*2)="","",OFFSET(D79,P78-1,(B86-1)*2))</f>
        <v/>
      </c>
      <c r="R86" s="155"/>
      <c r="S86" s="149"/>
      <c r="T86" s="151">
        <f ca="1">COUNTIF(OFFSET(E79,0,(B86-1)*2,8),3)*2+COUNTIF(OFFSET(D79,0,(B86-1)*2,8),3)</f>
        <v>0</v>
      </c>
      <c r="U86" s="151">
        <f ca="1">RANK(AZ86,AZ79:AZ86)*AY86</f>
        <v>0</v>
      </c>
      <c r="V86" s="151">
        <f t="shared" ca="1" si="118"/>
        <v>0</v>
      </c>
      <c r="W86" s="151">
        <f t="shared" ca="1" si="119"/>
        <v>0</v>
      </c>
      <c r="X86" s="152" t="str">
        <f t="shared" ca="1" si="115"/>
        <v/>
      </c>
      <c r="Y86" s="153"/>
      <c r="Z86" s="148">
        <v>8</v>
      </c>
      <c r="AA86" s="154" t="str">
        <f ca="1">OFFSET(gr_anchor,Z86,Z78)</f>
        <v/>
      </c>
      <c r="AB86" s="150" t="str">
        <f ca="1">IF(OFFSET(AB79,AB78-1,1+(Z86-1)*2)="","",OFFSET(AB79,AB78-1,1+(Z86-1)*2))</f>
        <v/>
      </c>
      <c r="AC86" s="150" t="str">
        <f ca="1">IF(OFFSET(AB79,AB78-1,(Z86-1)*2)="","",OFFSET(AB79,AB78-1,(Z86-1)*2))</f>
        <v/>
      </c>
      <c r="AD86" s="150" t="str">
        <f ca="1">IF(OFFSET(AB79,AD78-1,1+(Z86-1)*2)="","",OFFSET(AB79,AD78-1,1+(Z86-1)*2))</f>
        <v/>
      </c>
      <c r="AE86" s="150" t="str">
        <f ca="1">IF(OFFSET(AB79,AD78-1,(Z86-1)*2)="","",OFFSET(AB79,AD78-1,(Z86-1)*2))</f>
        <v/>
      </c>
      <c r="AF86" s="150" t="str">
        <f ca="1">IF(OFFSET(AB79,AF78-1,1+(Z86-1)*2)="","",OFFSET(AB79,AF78-1,1+(Z86-1)*2))</f>
        <v/>
      </c>
      <c r="AG86" s="150" t="str">
        <f ca="1">IF(OFFSET(AB79,AF78-1,(Z86-1)*2)="","",OFFSET(AB79,AF78-1,(Z86-1)*2))</f>
        <v/>
      </c>
      <c r="AH86" s="150" t="str">
        <f ca="1">IF(OFFSET(AB79,AH78-1,1+(Z86-1)*2)="","",OFFSET(AB79,AH78-1,1+(Z86-1)*2))</f>
        <v/>
      </c>
      <c r="AI86" s="150" t="str">
        <f ca="1">IF(OFFSET(AB79,AH78-1,(Z86-1)*2)="","",OFFSET(AB79,AH78-1,(Z86-1)*2))</f>
        <v/>
      </c>
      <c r="AJ86" s="150" t="str">
        <f ca="1">IF(OFFSET(AB79,AJ78-1,1+(Z86-1)*2)="","",OFFSET(AB79,AJ78-1,1+(Z86-1)*2))</f>
        <v/>
      </c>
      <c r="AK86" s="150" t="str">
        <f ca="1">IF(OFFSET(AB79,AJ78-1,(Z86-1)*2)="","",OFFSET(AB79,AJ78-1,(Z86-1)*2))</f>
        <v/>
      </c>
      <c r="AL86" s="150" t="str">
        <f ca="1">IF(OFFSET(AB79,AL78-1,1+(Z86-1)*2)="","",OFFSET(AB79,AL78-1,1+(Z86-1)*2))</f>
        <v/>
      </c>
      <c r="AM86" s="150" t="str">
        <f ca="1">IF(OFFSET(AB79,AL78-1,(Z86-1)*2)="","",OFFSET(AB79,AL78-1,(Z86-1)*2))</f>
        <v/>
      </c>
      <c r="AN86" s="150" t="str">
        <f ca="1">IF(OFFSET(AB79,AN78-1,1+(Z86-1)*2)="","",OFFSET(AB79,AN78-1,1+(Z86-1)*2))</f>
        <v/>
      </c>
      <c r="AO86" s="150" t="str">
        <f ca="1">IF(OFFSET(AB79,AN78-1,(Z86-1)*2)="","",OFFSET(AB79,AN78-1,(Z86-1)*2))</f>
        <v/>
      </c>
      <c r="AP86" s="155"/>
      <c r="AQ86" s="149"/>
      <c r="AR86" s="151">
        <f ca="1">COUNTIF(OFFSET(AC79,0,(Z86-1)*2,8),3)*2+COUNTIF(OFFSET(AB79,0,(Z86-1)*2,8),3)</f>
        <v>0</v>
      </c>
      <c r="AS86" s="151">
        <f ca="1">RANK(CC86,CC79:CC86)*CB86</f>
        <v>0</v>
      </c>
      <c r="AT86" s="151">
        <f t="shared" ca="1" si="120"/>
        <v>0</v>
      </c>
      <c r="AU86" s="151">
        <f t="shared" ca="1" si="121"/>
        <v>0</v>
      </c>
      <c r="AV86" s="152" t="str">
        <f t="shared" ca="1" si="122"/>
        <v/>
      </c>
      <c r="AW86" s="153"/>
      <c r="AX86" s="156">
        <f ca="1">COUNTA(C79:C86)-COUNTBLANK(C79:C86)</f>
        <v>0</v>
      </c>
      <c r="AY86" s="156">
        <f t="shared" ca="1" si="116"/>
        <v>0</v>
      </c>
      <c r="AZ86" s="157">
        <f t="shared" ca="1" si="123"/>
        <v>0</v>
      </c>
      <c r="BA86" s="156">
        <f ca="1">IF(T86=OFFSET(T78,BA78,0),1,0)</f>
        <v>1</v>
      </c>
      <c r="BB86" s="156">
        <f ca="1">IF(T86=OFFSET(T78,BB78,0),1,0)</f>
        <v>1</v>
      </c>
      <c r="BC86" s="156">
        <f ca="1">IF(T86=OFFSET(T78,BC78,0),1,0)</f>
        <v>1</v>
      </c>
      <c r="BD86" s="156">
        <f ca="1">IF(T86=OFFSET(T78,BD78,0),1,0)</f>
        <v>1</v>
      </c>
      <c r="BE86" s="156">
        <f ca="1">IF(T86=OFFSET(T78,BE78,0),1,0)</f>
        <v>1</v>
      </c>
      <c r="BF86" s="156">
        <f ca="1">IF(T86=OFFSET(T78,BF78,0),1,0)</f>
        <v>1</v>
      </c>
      <c r="BG86" s="156">
        <f ca="1">IF(T86=OFFSET(T78,BG78,0),1,0)</f>
        <v>1</v>
      </c>
      <c r="BH86" s="156">
        <f ca="1">IF(T86=OFFSET(T78,BH78,0),1,0)</f>
        <v>1</v>
      </c>
      <c r="BI86" s="156" t="str">
        <f ca="1">OFFSET(C86,0,1+(BI78-1)*2)</f>
        <v/>
      </c>
      <c r="BJ86" s="156" t="str">
        <f ca="1">OFFSET(C86,0,1+(BJ78-1)*2)</f>
        <v/>
      </c>
      <c r="BK86" s="156" t="str">
        <f ca="1">OFFSET(C86,0,1+(BK78-1)*2)</f>
        <v/>
      </c>
      <c r="BL86" s="156" t="str">
        <f ca="1">OFFSET(C86,0,1+(BL78-1)*2)</f>
        <v/>
      </c>
      <c r="BM86" s="156" t="str">
        <f ca="1">OFFSET(C86,0,1+(BM78-1)*2)</f>
        <v/>
      </c>
      <c r="BN86" s="156" t="str">
        <f ca="1">OFFSET(C86,0,1+(BN78-1)*2)</f>
        <v/>
      </c>
      <c r="BO86" s="156" t="str">
        <f ca="1">OFFSET(C86,0,1+(BO78-1)*2)</f>
        <v/>
      </c>
      <c r="BP86" s="156">
        <f ca="1">OFFSET(C86,0,1+(BP78-1)*2)</f>
        <v>0</v>
      </c>
      <c r="BQ86" s="156" t="str">
        <f t="shared" ca="1" si="124"/>
        <v/>
      </c>
      <c r="BR86" s="156" t="str">
        <f t="shared" ca="1" si="124"/>
        <v/>
      </c>
      <c r="BS86" s="156" t="str">
        <f t="shared" ca="1" si="124"/>
        <v/>
      </c>
      <c r="BT86" s="156" t="str">
        <f t="shared" ca="1" si="124"/>
        <v/>
      </c>
      <c r="BU86" s="156" t="str">
        <f t="shared" ca="1" si="124"/>
        <v/>
      </c>
      <c r="BV86" s="156" t="str">
        <f t="shared" ca="1" si="124"/>
        <v/>
      </c>
      <c r="BW86" s="156" t="str">
        <f t="shared" ca="1" si="124"/>
        <v/>
      </c>
      <c r="BX86" s="156">
        <f t="shared" ca="1" si="124"/>
        <v>0</v>
      </c>
      <c r="BY86" s="156">
        <f t="shared" ca="1" si="125"/>
        <v>8</v>
      </c>
      <c r="CA86" s="156">
        <f ca="1">COUNTA(AA79:AA86)-COUNTBLANK(AA79:AA86)</f>
        <v>0</v>
      </c>
      <c r="CB86" s="156">
        <f t="shared" ca="1" si="126"/>
        <v>0</v>
      </c>
      <c r="CC86" s="157">
        <f t="shared" ca="1" si="127"/>
        <v>0</v>
      </c>
      <c r="CD86" s="156">
        <f ca="1">IF(AR86=OFFSET(AR78,CD78,0),1,0)</f>
        <v>1</v>
      </c>
      <c r="CE86" s="156">
        <f ca="1">IF(AR86=OFFSET(AR78,CE78,0),1,0)</f>
        <v>1</v>
      </c>
      <c r="CF86" s="156">
        <f ca="1">IF(AR86=OFFSET(AR78,CF78,0),1,0)</f>
        <v>1</v>
      </c>
      <c r="CG86" s="156">
        <f ca="1">IF(AR86=OFFSET(AR78,CG78,0),1,0)</f>
        <v>1</v>
      </c>
      <c r="CH86" s="156">
        <f ca="1">IF(AR86=OFFSET(AR78,CH78,0),1,0)</f>
        <v>1</v>
      </c>
      <c r="CI86" s="156">
        <f ca="1">IF(AR86=OFFSET(AR78,CI78,0),1,0)</f>
        <v>1</v>
      </c>
      <c r="CJ86" s="156">
        <f ca="1">IF(AR86=OFFSET(AR78,CJ78,0),1,0)</f>
        <v>1</v>
      </c>
      <c r="CK86" s="156">
        <f ca="1">IF(AR86=OFFSET(AR78,CK78,0),1,0)</f>
        <v>1</v>
      </c>
      <c r="CL86" s="156" t="str">
        <f ca="1">OFFSET(AA86,0,1+(CL78-1)*2)</f>
        <v/>
      </c>
      <c r="CM86" s="156" t="str">
        <f ca="1">OFFSET(AA86,0,1+(CM78-1)*2)</f>
        <v/>
      </c>
      <c r="CN86" s="156" t="str">
        <f ca="1">OFFSET(AA86,0,1+(CN78-1)*2)</f>
        <v/>
      </c>
      <c r="CO86" s="156" t="str">
        <f ca="1">OFFSET(AA86,0,1+(CO78-1)*2)</f>
        <v/>
      </c>
      <c r="CP86" s="156" t="str">
        <f ca="1">OFFSET(AA86,0,1+(CP78-1)*2)</f>
        <v/>
      </c>
      <c r="CQ86" s="156" t="str">
        <f ca="1">OFFSET(AA86,0,1+(CQ78-1)*2)</f>
        <v/>
      </c>
      <c r="CR86" s="156" t="str">
        <f ca="1">OFFSET(AA86,0,1+(CR78-1)*2)</f>
        <v/>
      </c>
      <c r="CS86" s="156">
        <f ca="1">OFFSET(AA86,0,1+(CS78-1)*2)</f>
        <v>0</v>
      </c>
      <c r="CT86" s="156" t="str">
        <f ca="1">OFFSET(AA86,0,2+(CT78-1)*2)</f>
        <v/>
      </c>
      <c r="CU86" s="156" t="str">
        <f ca="1">OFFSET(AA86,0,2+(CU78-1)*2)</f>
        <v/>
      </c>
      <c r="CV86" s="156" t="str">
        <f ca="1">OFFSET(AA86,0,2+(CV78-1)*2)</f>
        <v/>
      </c>
      <c r="CW86" s="156" t="str">
        <f ca="1">OFFSET(AA86,0,2+(CW78-1)*2)</f>
        <v/>
      </c>
      <c r="CX86" s="156" t="str">
        <f ca="1">OFFSET(AA86,0,2+(CX78-1)*2)</f>
        <v/>
      </c>
      <c r="CY86" s="156" t="str">
        <f ca="1">OFFSET(AA86,0,2+(CY78-1)*2)</f>
        <v/>
      </c>
      <c r="CZ86" s="156" t="str">
        <f ca="1">OFFSET(AA86,0,2+(CZ78-1)*2)</f>
        <v/>
      </c>
      <c r="DA86" s="156">
        <f ca="1">OFFSET(AA86,0,2+(DA78-1)*2)</f>
        <v>0</v>
      </c>
      <c r="DB86" s="156">
        <f t="shared" ca="1" si="128"/>
        <v>8</v>
      </c>
      <c r="DE86" s="159"/>
      <c r="DF86" s="159"/>
      <c r="DG86" s="159">
        <v>5</v>
      </c>
      <c r="DH86" s="159">
        <v>6</v>
      </c>
      <c r="DI86" s="123">
        <f t="shared" si="94"/>
        <v>3</v>
      </c>
      <c r="DJ86" s="36" t="str">
        <f ca="1">OFFSET(gr_header,DG86+DE64,1+DF64)</f>
        <v/>
      </c>
      <c r="DK86" s="36" t="str">
        <f ca="1">OFFSET(gr_header,DH86+DE64,1+DF64)</f>
        <v/>
      </c>
      <c r="DL86" s="123">
        <f ca="1">OFFSET(gr_header,DG86+DE64,2*DH86+DF64)</f>
        <v>0</v>
      </c>
      <c r="DM86" s="123">
        <f ca="1">OFFSET(gr_header,DG86+DE64,2*DH86+1+DF64)</f>
        <v>0</v>
      </c>
      <c r="DN86" s="34"/>
      <c r="DO86" s="183">
        <f t="shared" ca="1" si="109"/>
        <v>0</v>
      </c>
      <c r="DP86" s="183">
        <f t="shared" ca="1" si="110"/>
        <v>0</v>
      </c>
      <c r="DQ86" s="183">
        <f t="shared" ca="1" si="111"/>
        <v>0</v>
      </c>
      <c r="DR86" s="183">
        <f t="shared" ca="1" si="112"/>
        <v>0</v>
      </c>
      <c r="DS86" s="182">
        <f t="shared" ca="1" si="113"/>
        <v>0</v>
      </c>
      <c r="DT86" s="182">
        <f t="shared" ca="1" si="114"/>
        <v>0</v>
      </c>
      <c r="DU86" s="182"/>
      <c r="DV86" s="182"/>
      <c r="DW86" s="182"/>
    </row>
    <row r="87" spans="2:127" collapsed="1">
      <c r="DE87" s="159"/>
      <c r="DF87" s="159"/>
      <c r="DG87" s="159">
        <v>5</v>
      </c>
      <c r="DH87" s="159">
        <v>7</v>
      </c>
      <c r="DI87" s="123">
        <f t="shared" si="94"/>
        <v>3</v>
      </c>
      <c r="DJ87" s="36" t="str">
        <f ca="1">OFFSET(gr_header,DG87+DE64,1+DF64)</f>
        <v/>
      </c>
      <c r="DK87" s="36" t="str">
        <f ca="1">OFFSET(gr_header,DH87+DE64,1+DF64)</f>
        <v/>
      </c>
      <c r="DL87" s="123">
        <f ca="1">OFFSET(gr_header,DG87+DE64,2*DH87+DF64)</f>
        <v>0</v>
      </c>
      <c r="DM87" s="123">
        <f ca="1">OFFSET(gr_header,DG87+DE64,2*DH87+1+DF64)</f>
        <v>0</v>
      </c>
      <c r="DN87" s="34"/>
      <c r="DO87" s="183">
        <f t="shared" ca="1" si="109"/>
        <v>0</v>
      </c>
      <c r="DP87" s="183">
        <f t="shared" ca="1" si="110"/>
        <v>0</v>
      </c>
      <c r="DQ87" s="183">
        <f t="shared" ca="1" si="111"/>
        <v>0</v>
      </c>
      <c r="DR87" s="183">
        <f t="shared" ca="1" si="112"/>
        <v>0</v>
      </c>
      <c r="DS87" s="182">
        <f t="shared" ca="1" si="113"/>
        <v>0</v>
      </c>
      <c r="DT87" s="182">
        <f t="shared" ca="1" si="114"/>
        <v>0</v>
      </c>
      <c r="DU87" s="182"/>
      <c r="DV87" s="182"/>
      <c r="DW87" s="182"/>
    </row>
    <row r="88" spans="2:127">
      <c r="DE88" s="159"/>
      <c r="DF88" s="159"/>
      <c r="DG88" s="159">
        <v>5</v>
      </c>
      <c r="DH88" s="159">
        <v>8</v>
      </c>
      <c r="DI88" s="123">
        <f t="shared" si="94"/>
        <v>3</v>
      </c>
      <c r="DJ88" s="36" t="str">
        <f ca="1">OFFSET(gr_header,DG88+DE64,1+DF64)</f>
        <v/>
      </c>
      <c r="DK88" s="36" t="str">
        <f ca="1">OFFSET(gr_header,DH88+DE64,1+DF64)</f>
        <v/>
      </c>
      <c r="DL88" s="123">
        <f ca="1">OFFSET(gr_header,DG88+DE64,2*DH88+DF64)</f>
        <v>0</v>
      </c>
      <c r="DM88" s="123">
        <f ca="1">OFFSET(gr_header,DG88+DE64,2*DH88+1+DF64)</f>
        <v>0</v>
      </c>
      <c r="DN88" s="34"/>
      <c r="DO88" s="183">
        <f t="shared" ca="1" si="109"/>
        <v>0</v>
      </c>
      <c r="DP88" s="183">
        <f t="shared" ca="1" si="110"/>
        <v>0</v>
      </c>
      <c r="DQ88" s="183">
        <f t="shared" ca="1" si="111"/>
        <v>0</v>
      </c>
      <c r="DR88" s="183">
        <f t="shared" ca="1" si="112"/>
        <v>0</v>
      </c>
      <c r="DS88" s="182">
        <f t="shared" ca="1" si="113"/>
        <v>0</v>
      </c>
      <c r="DT88" s="182">
        <f t="shared" ca="1" si="114"/>
        <v>0</v>
      </c>
      <c r="DU88" s="182"/>
      <c r="DV88" s="182"/>
      <c r="DW88" s="182"/>
    </row>
    <row r="89" spans="2:127">
      <c r="DE89" s="159"/>
      <c r="DF89" s="159"/>
      <c r="DG89" s="159">
        <v>6</v>
      </c>
      <c r="DH89" s="159">
        <v>7</v>
      </c>
      <c r="DI89" s="123">
        <f t="shared" si="94"/>
        <v>3</v>
      </c>
      <c r="DJ89" s="36" t="str">
        <f ca="1">OFFSET(gr_header,DG89+DE64,1+DF64)</f>
        <v/>
      </c>
      <c r="DK89" s="36" t="str">
        <f ca="1">OFFSET(gr_header,DH89+DE64,1+DF64)</f>
        <v/>
      </c>
      <c r="DL89" s="123">
        <f ca="1">OFFSET(gr_header,DG89+DE64,2*DH89+DF64)</f>
        <v>0</v>
      </c>
      <c r="DM89" s="123">
        <f ca="1">OFFSET(gr_header,DG89+DE64,2*DH89+1+DF64)</f>
        <v>0</v>
      </c>
      <c r="DN89" s="34"/>
      <c r="DO89" s="183">
        <f t="shared" ca="1" si="109"/>
        <v>0</v>
      </c>
      <c r="DP89" s="183">
        <f t="shared" ca="1" si="110"/>
        <v>0</v>
      </c>
      <c r="DQ89" s="183">
        <f t="shared" ca="1" si="111"/>
        <v>0</v>
      </c>
      <c r="DR89" s="183">
        <f t="shared" ca="1" si="112"/>
        <v>0</v>
      </c>
      <c r="DS89" s="182">
        <f t="shared" ca="1" si="113"/>
        <v>0</v>
      </c>
      <c r="DT89" s="182">
        <f t="shared" ca="1" si="114"/>
        <v>0</v>
      </c>
      <c r="DU89" s="182"/>
      <c r="DV89" s="182"/>
      <c r="DW89" s="182"/>
    </row>
    <row r="90" spans="2:127">
      <c r="DE90" s="159"/>
      <c r="DF90" s="159"/>
      <c r="DG90" s="159">
        <v>6</v>
      </c>
      <c r="DH90" s="159">
        <v>8</v>
      </c>
      <c r="DI90" s="123">
        <f t="shared" si="94"/>
        <v>3</v>
      </c>
      <c r="DJ90" s="36" t="str">
        <f ca="1">OFFSET(gr_header,DG90+DE64,1+DF64)</f>
        <v/>
      </c>
      <c r="DK90" s="36" t="str">
        <f ca="1">OFFSET(gr_header,DH90+DE64,1+DF64)</f>
        <v/>
      </c>
      <c r="DL90" s="123">
        <f ca="1">OFFSET(gr_header,DG90+DE64,2*DH90+DF64)</f>
        <v>0</v>
      </c>
      <c r="DM90" s="123">
        <f ca="1">OFFSET(gr_header,DG90+DE64,2*DH90+1+DF64)</f>
        <v>0</v>
      </c>
      <c r="DN90" s="34"/>
      <c r="DO90" s="183">
        <f t="shared" ca="1" si="109"/>
        <v>0</v>
      </c>
      <c r="DP90" s="183">
        <f t="shared" ca="1" si="110"/>
        <v>0</v>
      </c>
      <c r="DQ90" s="183">
        <f t="shared" ca="1" si="111"/>
        <v>0</v>
      </c>
      <c r="DR90" s="183">
        <f t="shared" ca="1" si="112"/>
        <v>0</v>
      </c>
      <c r="DS90" s="182">
        <f t="shared" ca="1" si="113"/>
        <v>0</v>
      </c>
      <c r="DT90" s="182">
        <f t="shared" ca="1" si="114"/>
        <v>0</v>
      </c>
      <c r="DU90" s="182"/>
      <c r="DV90" s="182"/>
      <c r="DW90" s="182"/>
    </row>
    <row r="91" spans="2:127">
      <c r="DE91" s="159"/>
      <c r="DF91" s="159"/>
      <c r="DG91" s="159">
        <v>7</v>
      </c>
      <c r="DH91" s="159">
        <v>8</v>
      </c>
      <c r="DI91" s="123">
        <f t="shared" si="94"/>
        <v>3</v>
      </c>
      <c r="DJ91" s="36" t="str">
        <f ca="1">OFFSET(gr_header,DG91+DE64,1+DF64)</f>
        <v/>
      </c>
      <c r="DK91" s="36" t="str">
        <f ca="1">OFFSET(gr_header,DH91+DE64,1+DF64)</f>
        <v/>
      </c>
      <c r="DL91" s="123">
        <f ca="1">OFFSET(gr_header,DG91+DE64,2*DH91+DF64)</f>
        <v>0</v>
      </c>
      <c r="DM91" s="123">
        <f ca="1">OFFSET(gr_header,DG91+DE91,2*DH91+1+DF91)</f>
        <v>0</v>
      </c>
      <c r="DN91" s="34"/>
      <c r="DO91" s="183">
        <f t="shared" ca="1" si="109"/>
        <v>0</v>
      </c>
      <c r="DP91" s="183">
        <f t="shared" ca="1" si="110"/>
        <v>0</v>
      </c>
      <c r="DQ91" s="183">
        <f t="shared" ca="1" si="111"/>
        <v>0</v>
      </c>
      <c r="DR91" s="183">
        <f t="shared" ca="1" si="112"/>
        <v>0</v>
      </c>
      <c r="DS91" s="182">
        <f t="shared" ca="1" si="113"/>
        <v>0</v>
      </c>
      <c r="DT91" s="182">
        <f t="shared" ca="1" si="114"/>
        <v>0</v>
      </c>
      <c r="DU91" s="182"/>
      <c r="DV91" s="182"/>
      <c r="DW91" s="182"/>
    </row>
    <row r="92" spans="2:127">
      <c r="DE92" s="123">
        <f>DE93*shift1</f>
        <v>10</v>
      </c>
      <c r="DF92" s="123">
        <f>DF93*shift2</f>
        <v>24</v>
      </c>
      <c r="DG92" s="123">
        <v>1</v>
      </c>
      <c r="DH92" s="123">
        <v>2</v>
      </c>
      <c r="DI92" s="147">
        <f>DI64+1</f>
        <v>4</v>
      </c>
      <c r="DJ92" s="36" t="str">
        <f ca="1">OFFSET(gr_header,DG92+DE92,1+DF92)</f>
        <v/>
      </c>
      <c r="DK92" s="36" t="str">
        <f ca="1">OFFSET(gr_header,DH92+DE92,1+DF92)</f>
        <v/>
      </c>
      <c r="DL92" s="123">
        <f ca="1">OFFSET(gr_header,DG92+DE92,2*DH92+DF92)</f>
        <v>0</v>
      </c>
      <c r="DM92" s="123">
        <f ca="1">OFFSET(gr_header,DG92+DE92,2*DH92+1+DF92)</f>
        <v>0</v>
      </c>
      <c r="DN92" s="34"/>
      <c r="DO92" s="183">
        <f t="shared" ca="1" si="109"/>
        <v>0</v>
      </c>
      <c r="DP92" s="183">
        <f t="shared" ca="1" si="110"/>
        <v>0</v>
      </c>
      <c r="DQ92" s="183">
        <f t="shared" ca="1" si="111"/>
        <v>0</v>
      </c>
      <c r="DR92" s="183">
        <f t="shared" ca="1" si="112"/>
        <v>0</v>
      </c>
      <c r="DS92" s="182">
        <f t="shared" ca="1" si="113"/>
        <v>0</v>
      </c>
      <c r="DT92" s="182">
        <f t="shared" ca="1" si="114"/>
        <v>0</v>
      </c>
      <c r="DU92" s="182"/>
      <c r="DV92" s="182"/>
      <c r="DW92" s="182"/>
    </row>
    <row r="93" spans="2:127">
      <c r="DE93" s="123">
        <f>INT((DI92-1)/2)</f>
        <v>1</v>
      </c>
      <c r="DF93" s="123">
        <f>1-(INT((DI92+1)/2)*2-DI92)</f>
        <v>1</v>
      </c>
      <c r="DG93" s="123">
        <v>1</v>
      </c>
      <c r="DH93" s="123">
        <v>3</v>
      </c>
      <c r="DI93" s="123">
        <f>DI92</f>
        <v>4</v>
      </c>
      <c r="DJ93" s="36" t="str">
        <f ca="1">OFFSET(gr_header,DG93+DE92,1+DF92)</f>
        <v/>
      </c>
      <c r="DK93" s="36" t="str">
        <f ca="1">OFFSET(gr_header,DH93+DE92,1+DF92)</f>
        <v/>
      </c>
      <c r="DL93" s="123">
        <f ca="1">OFFSET(gr_header,DG93+DE92,2*DH93+DF92)</f>
        <v>0</v>
      </c>
      <c r="DM93" s="123">
        <f ca="1">OFFSET(gr_header,DG93+DE92,2*DH93+1+DF92)</f>
        <v>0</v>
      </c>
      <c r="DN93" s="34"/>
      <c r="DO93" s="183">
        <f t="shared" ca="1" si="109"/>
        <v>0</v>
      </c>
      <c r="DP93" s="183">
        <f t="shared" ca="1" si="110"/>
        <v>0</v>
      </c>
      <c r="DQ93" s="183">
        <f t="shared" ca="1" si="111"/>
        <v>0</v>
      </c>
      <c r="DR93" s="183">
        <f t="shared" ca="1" si="112"/>
        <v>0</v>
      </c>
      <c r="DS93" s="182">
        <f t="shared" ca="1" si="113"/>
        <v>0</v>
      </c>
      <c r="DT93" s="182">
        <f t="shared" ca="1" si="114"/>
        <v>0</v>
      </c>
      <c r="DU93" s="182"/>
      <c r="DV93" s="182"/>
      <c r="DW93" s="182"/>
    </row>
    <row r="94" spans="2:127">
      <c r="DG94" s="123">
        <v>1</v>
      </c>
      <c r="DH94" s="123">
        <v>4</v>
      </c>
      <c r="DI94" s="123">
        <f t="shared" ref="DI94:DI119" si="129">DI93</f>
        <v>4</v>
      </c>
      <c r="DJ94" s="36" t="str">
        <f ca="1">OFFSET(gr_header,DG94+DE92,1+DF92)</f>
        <v/>
      </c>
      <c r="DK94" s="36" t="str">
        <f ca="1">OFFSET(gr_header,DH94+DE92,1+DF92)</f>
        <v/>
      </c>
      <c r="DL94" s="123">
        <f ca="1">OFFSET(gr_header,DG94+DE92,2*DH94+DF92)</f>
        <v>0</v>
      </c>
      <c r="DM94" s="123">
        <f ca="1">OFFSET(gr_header,DG94+DE92,2*DH94+1+DF92)</f>
        <v>0</v>
      </c>
      <c r="DN94" s="34"/>
      <c r="DO94" s="183">
        <f t="shared" ca="1" si="109"/>
        <v>0</v>
      </c>
      <c r="DP94" s="183">
        <f t="shared" ca="1" si="110"/>
        <v>0</v>
      </c>
      <c r="DQ94" s="183">
        <f t="shared" ca="1" si="111"/>
        <v>0</v>
      </c>
      <c r="DR94" s="183">
        <f t="shared" ca="1" si="112"/>
        <v>0</v>
      </c>
      <c r="DS94" s="182">
        <f t="shared" ca="1" si="113"/>
        <v>0</v>
      </c>
      <c r="DT94" s="182">
        <f t="shared" ca="1" si="114"/>
        <v>0</v>
      </c>
      <c r="DU94" s="182"/>
      <c r="DV94" s="182"/>
      <c r="DW94" s="182"/>
    </row>
    <row r="95" spans="2:127">
      <c r="DG95" s="123">
        <v>1</v>
      </c>
      <c r="DH95" s="123">
        <v>5</v>
      </c>
      <c r="DI95" s="123">
        <f t="shared" si="129"/>
        <v>4</v>
      </c>
      <c r="DJ95" s="36" t="str">
        <f ca="1">OFFSET(gr_header,DG95+DE92,1+DF92)</f>
        <v/>
      </c>
      <c r="DK95" s="36" t="str">
        <f ca="1">OFFSET(gr_header,DH95+DE92,1+DF92)</f>
        <v/>
      </c>
      <c r="DL95" s="123">
        <f ca="1">OFFSET(gr_header,DG95+DE92,2*DH95+DF92)</f>
        <v>0</v>
      </c>
      <c r="DM95" s="123">
        <f ca="1">OFFSET(gr_header,DG95+DE92,2*DH95+1+DF92)</f>
        <v>0</v>
      </c>
      <c r="DN95" s="34"/>
      <c r="DO95" s="183">
        <f t="shared" ca="1" si="109"/>
        <v>0</v>
      </c>
      <c r="DP95" s="183">
        <f t="shared" ca="1" si="110"/>
        <v>0</v>
      </c>
      <c r="DQ95" s="183">
        <f t="shared" ca="1" si="111"/>
        <v>0</v>
      </c>
      <c r="DR95" s="183">
        <f t="shared" ca="1" si="112"/>
        <v>0</v>
      </c>
      <c r="DS95" s="182">
        <f t="shared" ca="1" si="113"/>
        <v>0</v>
      </c>
      <c r="DT95" s="182">
        <f t="shared" ca="1" si="114"/>
        <v>0</v>
      </c>
      <c r="DU95" s="182"/>
      <c r="DV95" s="182"/>
      <c r="DW95" s="182"/>
    </row>
    <row r="96" spans="2:127">
      <c r="DG96" s="123">
        <v>1</v>
      </c>
      <c r="DH96" s="123">
        <v>6</v>
      </c>
      <c r="DI96" s="123">
        <f t="shared" si="129"/>
        <v>4</v>
      </c>
      <c r="DJ96" s="36" t="str">
        <f ca="1">OFFSET(gr_header,DG96+DE92,1+DF92)</f>
        <v/>
      </c>
      <c r="DK96" s="36" t="str">
        <f ca="1">OFFSET(gr_header,DH96+DE92,1+DF92)</f>
        <v/>
      </c>
      <c r="DL96" s="123">
        <f ca="1">OFFSET(gr_header,DG96+DE92,2*DH96+DF92)</f>
        <v>0</v>
      </c>
      <c r="DM96" s="123">
        <f ca="1">OFFSET(gr_header,DG96+DE92,2*DH96+1+DF92)</f>
        <v>0</v>
      </c>
      <c r="DN96" s="34"/>
      <c r="DO96" s="183">
        <f t="shared" ca="1" si="109"/>
        <v>0</v>
      </c>
      <c r="DP96" s="183">
        <f t="shared" ca="1" si="110"/>
        <v>0</v>
      </c>
      <c r="DQ96" s="183">
        <f t="shared" ca="1" si="111"/>
        <v>0</v>
      </c>
      <c r="DR96" s="183">
        <f t="shared" ca="1" si="112"/>
        <v>0</v>
      </c>
      <c r="DS96" s="182">
        <f t="shared" ca="1" si="113"/>
        <v>0</v>
      </c>
      <c r="DT96" s="182">
        <f t="shared" ca="1" si="114"/>
        <v>0</v>
      </c>
      <c r="DU96" s="182"/>
      <c r="DV96" s="182"/>
      <c r="DW96" s="182"/>
    </row>
    <row r="97" spans="109:127">
      <c r="DG97" s="123">
        <v>1</v>
      </c>
      <c r="DH97" s="123">
        <v>7</v>
      </c>
      <c r="DI97" s="123">
        <f t="shared" si="129"/>
        <v>4</v>
      </c>
      <c r="DJ97" s="36" t="str">
        <f ca="1">OFFSET(gr_header,DG97+DE92,1+DF92)</f>
        <v/>
      </c>
      <c r="DK97" s="36" t="str">
        <f ca="1">OFFSET(gr_header,DH97+DE92,1+DF92)</f>
        <v/>
      </c>
      <c r="DL97" s="123">
        <f ca="1">OFFSET(gr_header,DG97+DE92,2*DH97+DF92)</f>
        <v>0</v>
      </c>
      <c r="DM97" s="123">
        <f ca="1">OFFSET(gr_header,DG97+DE92,2*DH97+1+DF92)</f>
        <v>0</v>
      </c>
      <c r="DN97" s="34"/>
      <c r="DO97" s="183">
        <f t="shared" ca="1" si="109"/>
        <v>0</v>
      </c>
      <c r="DP97" s="183">
        <f t="shared" ca="1" si="110"/>
        <v>0</v>
      </c>
      <c r="DQ97" s="183">
        <f t="shared" ca="1" si="111"/>
        <v>0</v>
      </c>
      <c r="DR97" s="183">
        <f t="shared" ca="1" si="112"/>
        <v>0</v>
      </c>
      <c r="DS97" s="182">
        <f t="shared" ca="1" si="113"/>
        <v>0</v>
      </c>
      <c r="DT97" s="182">
        <f t="shared" ca="1" si="114"/>
        <v>0</v>
      </c>
      <c r="DU97" s="182"/>
      <c r="DV97" s="182"/>
      <c r="DW97" s="182"/>
    </row>
    <row r="98" spans="109:127">
      <c r="DE98" s="159"/>
      <c r="DF98" s="159"/>
      <c r="DG98" s="159">
        <v>1</v>
      </c>
      <c r="DH98" s="123">
        <v>8</v>
      </c>
      <c r="DI98" s="123">
        <f t="shared" si="129"/>
        <v>4</v>
      </c>
      <c r="DJ98" s="36" t="str">
        <f ca="1">OFFSET(gr_header,DG98+DE92,1+DF92)</f>
        <v/>
      </c>
      <c r="DK98" s="36" t="str">
        <f ca="1">OFFSET(gr_header,DH98+DE92,1+DF92)</f>
        <v/>
      </c>
      <c r="DL98" s="123">
        <f ca="1">OFFSET(gr_header,DG98+DE92,2*DH98+DF92)</f>
        <v>0</v>
      </c>
      <c r="DM98" s="123">
        <f ca="1">OFFSET(gr_header,DG98+DE92,2*DH98+1+DF92)</f>
        <v>0</v>
      </c>
      <c r="DN98" s="34"/>
      <c r="DO98" s="183">
        <f t="shared" ca="1" si="109"/>
        <v>0</v>
      </c>
      <c r="DP98" s="183">
        <f t="shared" ca="1" si="110"/>
        <v>0</v>
      </c>
      <c r="DQ98" s="183">
        <f t="shared" ca="1" si="111"/>
        <v>0</v>
      </c>
      <c r="DR98" s="183">
        <f t="shared" ca="1" si="112"/>
        <v>0</v>
      </c>
      <c r="DS98" s="182">
        <f t="shared" ca="1" si="113"/>
        <v>0</v>
      </c>
      <c r="DT98" s="182">
        <f t="shared" ca="1" si="114"/>
        <v>0</v>
      </c>
      <c r="DU98" s="182"/>
      <c r="DV98" s="182"/>
      <c r="DW98" s="182"/>
    </row>
    <row r="99" spans="109:127">
      <c r="DE99" s="159"/>
      <c r="DF99" s="159"/>
      <c r="DG99" s="159">
        <v>2</v>
      </c>
      <c r="DH99" s="159">
        <v>3</v>
      </c>
      <c r="DI99" s="123">
        <f t="shared" si="129"/>
        <v>4</v>
      </c>
      <c r="DJ99" s="36" t="str">
        <f ca="1">OFFSET(gr_header,DG99+DE92,1+DF92)</f>
        <v/>
      </c>
      <c r="DK99" s="36" t="str">
        <f ca="1">OFFSET(gr_header,DH99+DE92,1+DF92)</f>
        <v/>
      </c>
      <c r="DL99" s="123">
        <f ca="1">OFFSET(gr_header,DG99+DE92,2*DH99+DF92)</f>
        <v>0</v>
      </c>
      <c r="DM99" s="123">
        <f ca="1">OFFSET(gr_header,DG99+DE92,2*DH99+1+DF92)</f>
        <v>0</v>
      </c>
      <c r="DN99" s="34"/>
      <c r="DO99" s="183">
        <f t="shared" ca="1" si="109"/>
        <v>0</v>
      </c>
      <c r="DP99" s="183">
        <f t="shared" ca="1" si="110"/>
        <v>0</v>
      </c>
      <c r="DQ99" s="183">
        <f t="shared" ca="1" si="111"/>
        <v>0</v>
      </c>
      <c r="DR99" s="183">
        <f t="shared" ca="1" si="112"/>
        <v>0</v>
      </c>
      <c r="DS99" s="182">
        <f t="shared" ca="1" si="113"/>
        <v>0</v>
      </c>
      <c r="DT99" s="182">
        <f t="shared" ca="1" si="114"/>
        <v>0</v>
      </c>
      <c r="DU99" s="182"/>
      <c r="DV99" s="182"/>
      <c r="DW99" s="182"/>
    </row>
    <row r="100" spans="109:127">
      <c r="DE100" s="159"/>
      <c r="DF100" s="159"/>
      <c r="DG100" s="159">
        <v>2</v>
      </c>
      <c r="DH100" s="159">
        <v>4</v>
      </c>
      <c r="DI100" s="123">
        <f t="shared" si="129"/>
        <v>4</v>
      </c>
      <c r="DJ100" s="36" t="str">
        <f ca="1">OFFSET(gr_header,DG100+DE92,1+DF92)</f>
        <v/>
      </c>
      <c r="DK100" s="36" t="str">
        <f ca="1">OFFSET(gr_header,DH100+DE92,1+DF92)</f>
        <v/>
      </c>
      <c r="DL100" s="123">
        <f ca="1">OFFSET(gr_header,DG100+DE92,2*DH100+DF92)</f>
        <v>0</v>
      </c>
      <c r="DM100" s="123">
        <f ca="1">OFFSET(gr_header,DG100+DE92,2*DH100+1+DF92)</f>
        <v>0</v>
      </c>
      <c r="DN100" s="34"/>
      <c r="DO100" s="183">
        <f t="shared" ca="1" si="109"/>
        <v>0</v>
      </c>
      <c r="DP100" s="183">
        <f t="shared" ca="1" si="110"/>
        <v>0</v>
      </c>
      <c r="DQ100" s="183">
        <f t="shared" ca="1" si="111"/>
        <v>0</v>
      </c>
      <c r="DR100" s="183">
        <f t="shared" ca="1" si="112"/>
        <v>0</v>
      </c>
      <c r="DS100" s="182">
        <f t="shared" ca="1" si="113"/>
        <v>0</v>
      </c>
      <c r="DT100" s="182">
        <f t="shared" ca="1" si="114"/>
        <v>0</v>
      </c>
      <c r="DU100" s="182"/>
      <c r="DV100" s="182"/>
      <c r="DW100" s="182"/>
    </row>
    <row r="101" spans="109:127">
      <c r="DE101" s="159"/>
      <c r="DF101" s="159"/>
      <c r="DG101" s="159">
        <v>2</v>
      </c>
      <c r="DH101" s="159">
        <v>5</v>
      </c>
      <c r="DI101" s="123">
        <f t="shared" si="129"/>
        <v>4</v>
      </c>
      <c r="DJ101" s="36" t="str">
        <f ca="1">OFFSET(gr_header,DG101+DE92,1+DF92)</f>
        <v/>
      </c>
      <c r="DK101" s="36" t="str">
        <f ca="1">OFFSET(gr_header,DH101+DE92,1+DF92)</f>
        <v/>
      </c>
      <c r="DL101" s="123">
        <f ca="1">OFFSET(gr_header,DG101+DE92,2*DH101+DF92)</f>
        <v>0</v>
      </c>
      <c r="DM101" s="123">
        <f ca="1">OFFSET(gr_header,DG101+DE92,2*DH101+1+DF92)</f>
        <v>0</v>
      </c>
      <c r="DN101" s="34"/>
      <c r="DO101" s="183">
        <f t="shared" ca="1" si="109"/>
        <v>0</v>
      </c>
      <c r="DP101" s="183">
        <f t="shared" ca="1" si="110"/>
        <v>0</v>
      </c>
      <c r="DQ101" s="183">
        <f t="shared" ca="1" si="111"/>
        <v>0</v>
      </c>
      <c r="DR101" s="183">
        <f t="shared" ca="1" si="112"/>
        <v>0</v>
      </c>
      <c r="DS101" s="182">
        <f t="shared" ca="1" si="113"/>
        <v>0</v>
      </c>
      <c r="DT101" s="182">
        <f t="shared" ca="1" si="114"/>
        <v>0</v>
      </c>
      <c r="DU101" s="182"/>
      <c r="DV101" s="182"/>
      <c r="DW101" s="182"/>
    </row>
    <row r="102" spans="109:127">
      <c r="DE102" s="159"/>
      <c r="DF102" s="159"/>
      <c r="DG102" s="159">
        <v>2</v>
      </c>
      <c r="DH102" s="159">
        <v>6</v>
      </c>
      <c r="DI102" s="123">
        <f t="shared" si="129"/>
        <v>4</v>
      </c>
      <c r="DJ102" s="36" t="str">
        <f ca="1">OFFSET(gr_header,DG102+DE92,1+DF92)</f>
        <v/>
      </c>
      <c r="DK102" s="36" t="str">
        <f ca="1">OFFSET(gr_header,DH102+DE92,1+DF92)</f>
        <v/>
      </c>
      <c r="DL102" s="123">
        <f ca="1">OFFSET(gr_header,DG102+DE92,2*DH102+DF92)</f>
        <v>0</v>
      </c>
      <c r="DM102" s="123">
        <f ca="1">OFFSET(gr_header,DG102+DE92,2*DH102+1+DF92)</f>
        <v>0</v>
      </c>
      <c r="DN102" s="34"/>
      <c r="DO102" s="183">
        <f t="shared" ca="1" si="109"/>
        <v>0</v>
      </c>
      <c r="DP102" s="183">
        <f t="shared" ca="1" si="110"/>
        <v>0</v>
      </c>
      <c r="DQ102" s="183">
        <f t="shared" ca="1" si="111"/>
        <v>0</v>
      </c>
      <c r="DR102" s="183">
        <f t="shared" ca="1" si="112"/>
        <v>0</v>
      </c>
      <c r="DS102" s="182">
        <f t="shared" ca="1" si="113"/>
        <v>0</v>
      </c>
      <c r="DT102" s="182">
        <f t="shared" ca="1" si="114"/>
        <v>0</v>
      </c>
      <c r="DU102" s="182"/>
      <c r="DV102" s="182"/>
      <c r="DW102" s="182"/>
    </row>
    <row r="103" spans="109:127">
      <c r="DE103" s="159"/>
      <c r="DF103" s="159"/>
      <c r="DG103" s="159">
        <v>2</v>
      </c>
      <c r="DH103" s="159">
        <v>7</v>
      </c>
      <c r="DI103" s="123">
        <f t="shared" si="129"/>
        <v>4</v>
      </c>
      <c r="DJ103" s="36" t="str">
        <f ca="1">OFFSET(gr_header,DG103+DE92,1+DF92)</f>
        <v/>
      </c>
      <c r="DK103" s="36" t="str">
        <f ca="1">OFFSET(gr_header,DH103+DE92,1+DF92)</f>
        <v/>
      </c>
      <c r="DL103" s="123">
        <f ca="1">OFFSET(gr_header,DG103+DE92,2*DH103+DF92)</f>
        <v>0</v>
      </c>
      <c r="DM103" s="123">
        <f ca="1">OFFSET(gr_header,DG103+DE92,2*DH103+1+DF92)</f>
        <v>0</v>
      </c>
      <c r="DN103" s="34"/>
      <c r="DO103" s="183">
        <f t="shared" ca="1" si="109"/>
        <v>0</v>
      </c>
      <c r="DP103" s="183">
        <f t="shared" ca="1" si="110"/>
        <v>0</v>
      </c>
      <c r="DQ103" s="183">
        <f t="shared" ca="1" si="111"/>
        <v>0</v>
      </c>
      <c r="DR103" s="183">
        <f t="shared" ca="1" si="112"/>
        <v>0</v>
      </c>
      <c r="DS103" s="182">
        <f t="shared" ca="1" si="113"/>
        <v>0</v>
      </c>
      <c r="DT103" s="182">
        <f t="shared" ca="1" si="114"/>
        <v>0</v>
      </c>
      <c r="DU103" s="182"/>
      <c r="DV103" s="182"/>
      <c r="DW103" s="182"/>
    </row>
    <row r="104" spans="109:127">
      <c r="DE104" s="159"/>
      <c r="DF104" s="159"/>
      <c r="DG104" s="159">
        <v>2</v>
      </c>
      <c r="DH104" s="159">
        <v>8</v>
      </c>
      <c r="DI104" s="123">
        <f t="shared" si="129"/>
        <v>4</v>
      </c>
      <c r="DJ104" s="36" t="str">
        <f ca="1">OFFSET(gr_header,DG104+DE92,1+DF92)</f>
        <v/>
      </c>
      <c r="DK104" s="36" t="str">
        <f ca="1">OFFSET(gr_header,DH104+DE92,1+DF92)</f>
        <v/>
      </c>
      <c r="DL104" s="123">
        <f ca="1">OFFSET(gr_header,DG104+DE92,2*DH104+DF92)</f>
        <v>0</v>
      </c>
      <c r="DM104" s="123">
        <f ca="1">OFFSET(gr_header,DG104+DE92,2*DH104+1+DF92)</f>
        <v>0</v>
      </c>
      <c r="DN104" s="34"/>
      <c r="DO104" s="183">
        <f t="shared" ca="1" si="109"/>
        <v>0</v>
      </c>
      <c r="DP104" s="183">
        <f t="shared" ca="1" si="110"/>
        <v>0</v>
      </c>
      <c r="DQ104" s="183">
        <f t="shared" ca="1" si="111"/>
        <v>0</v>
      </c>
      <c r="DR104" s="183">
        <f t="shared" ca="1" si="112"/>
        <v>0</v>
      </c>
      <c r="DS104" s="182">
        <f t="shared" ca="1" si="113"/>
        <v>0</v>
      </c>
      <c r="DT104" s="182">
        <f t="shared" ca="1" si="114"/>
        <v>0</v>
      </c>
      <c r="DU104" s="182"/>
      <c r="DV104" s="182"/>
      <c r="DW104" s="182"/>
    </row>
    <row r="105" spans="109:127">
      <c r="DE105" s="159"/>
      <c r="DF105" s="159"/>
      <c r="DG105" s="159">
        <v>3</v>
      </c>
      <c r="DH105" s="159">
        <v>4</v>
      </c>
      <c r="DI105" s="123">
        <f t="shared" si="129"/>
        <v>4</v>
      </c>
      <c r="DJ105" s="36" t="str">
        <f ca="1">OFFSET(gr_header,DG105+DE92,1+DF92)</f>
        <v/>
      </c>
      <c r="DK105" s="36" t="str">
        <f ca="1">OFFSET(gr_header,DH105+DE92,1+DF92)</f>
        <v/>
      </c>
      <c r="DL105" s="123">
        <f ca="1">OFFSET(gr_header,DG105+DE92,2*DH105+DF92)</f>
        <v>0</v>
      </c>
      <c r="DM105" s="123">
        <f ca="1">OFFSET(gr_header,DG105+DE92,2*DH105+1+DF92)</f>
        <v>0</v>
      </c>
      <c r="DN105" s="34"/>
      <c r="DO105" s="183">
        <f t="shared" ca="1" si="109"/>
        <v>0</v>
      </c>
      <c r="DP105" s="183">
        <f t="shared" ca="1" si="110"/>
        <v>0</v>
      </c>
      <c r="DQ105" s="183">
        <f t="shared" ca="1" si="111"/>
        <v>0</v>
      </c>
      <c r="DR105" s="183">
        <f t="shared" ca="1" si="112"/>
        <v>0</v>
      </c>
      <c r="DS105" s="182">
        <f t="shared" ca="1" si="113"/>
        <v>0</v>
      </c>
      <c r="DT105" s="182">
        <f t="shared" ca="1" si="114"/>
        <v>0</v>
      </c>
      <c r="DU105" s="182"/>
      <c r="DV105" s="182"/>
      <c r="DW105" s="182"/>
    </row>
    <row r="106" spans="109:127">
      <c r="DE106" s="159"/>
      <c r="DF106" s="159"/>
      <c r="DG106" s="159">
        <v>3</v>
      </c>
      <c r="DH106" s="159">
        <v>5</v>
      </c>
      <c r="DI106" s="123">
        <f t="shared" si="129"/>
        <v>4</v>
      </c>
      <c r="DJ106" s="36" t="str">
        <f ca="1">OFFSET(gr_header,DG106+DE92,1+DF92)</f>
        <v/>
      </c>
      <c r="DK106" s="36" t="str">
        <f ca="1">OFFSET(gr_header,DH106+DE92,1+DF92)</f>
        <v/>
      </c>
      <c r="DL106" s="123">
        <f ca="1">OFFSET(gr_header,DG106+DE92,2*DH106+DF92)</f>
        <v>0</v>
      </c>
      <c r="DM106" s="123">
        <f ca="1">OFFSET(gr_header,DG106+DE92,2*DH106+1+DF92)</f>
        <v>0</v>
      </c>
      <c r="DN106" s="34"/>
      <c r="DO106" s="183">
        <f t="shared" ca="1" si="109"/>
        <v>0</v>
      </c>
      <c r="DP106" s="183">
        <f t="shared" ca="1" si="110"/>
        <v>0</v>
      </c>
      <c r="DQ106" s="183">
        <f t="shared" ca="1" si="111"/>
        <v>0</v>
      </c>
      <c r="DR106" s="183">
        <f t="shared" ca="1" si="112"/>
        <v>0</v>
      </c>
      <c r="DS106" s="182">
        <f t="shared" ca="1" si="113"/>
        <v>0</v>
      </c>
      <c r="DT106" s="182">
        <f t="shared" ca="1" si="114"/>
        <v>0</v>
      </c>
      <c r="DU106" s="182"/>
      <c r="DV106" s="182"/>
      <c r="DW106" s="182"/>
    </row>
    <row r="107" spans="109:127">
      <c r="DE107" s="159"/>
      <c r="DF107" s="159"/>
      <c r="DG107" s="159">
        <v>3</v>
      </c>
      <c r="DH107" s="159">
        <v>6</v>
      </c>
      <c r="DI107" s="123">
        <f t="shared" si="129"/>
        <v>4</v>
      </c>
      <c r="DJ107" s="36" t="str">
        <f ca="1">OFFSET(gr_header,DG107+DE92,1+DF92)</f>
        <v/>
      </c>
      <c r="DK107" s="36" t="str">
        <f ca="1">OFFSET(gr_header,DH107+DE92,1+DF92)</f>
        <v/>
      </c>
      <c r="DL107" s="123">
        <f ca="1">OFFSET(gr_header,DG107+DE92,2*DH107+DF92)</f>
        <v>0</v>
      </c>
      <c r="DM107" s="123">
        <f ca="1">OFFSET(gr_header,DG107+DE92,2*DH107+1+DF92)</f>
        <v>0</v>
      </c>
      <c r="DN107" s="34"/>
      <c r="DO107" s="183">
        <f t="shared" ca="1" si="109"/>
        <v>0</v>
      </c>
      <c r="DP107" s="183">
        <f t="shared" ca="1" si="110"/>
        <v>0</v>
      </c>
      <c r="DQ107" s="183">
        <f t="shared" ca="1" si="111"/>
        <v>0</v>
      </c>
      <c r="DR107" s="183">
        <f t="shared" ca="1" si="112"/>
        <v>0</v>
      </c>
      <c r="DS107" s="182">
        <f t="shared" ca="1" si="113"/>
        <v>0</v>
      </c>
      <c r="DT107" s="182">
        <f t="shared" ca="1" si="114"/>
        <v>0</v>
      </c>
      <c r="DU107" s="182"/>
      <c r="DV107" s="182"/>
      <c r="DW107" s="182"/>
    </row>
    <row r="108" spans="109:127">
      <c r="DE108" s="159"/>
      <c r="DF108" s="159"/>
      <c r="DG108" s="159">
        <v>3</v>
      </c>
      <c r="DH108" s="159">
        <v>7</v>
      </c>
      <c r="DI108" s="123">
        <f t="shared" si="129"/>
        <v>4</v>
      </c>
      <c r="DJ108" s="36" t="str">
        <f ca="1">OFFSET(gr_header,DG108+DE92,1+DF92)</f>
        <v/>
      </c>
      <c r="DK108" s="36" t="str">
        <f ca="1">OFFSET(gr_header,DH108+DE92,1+DF92)</f>
        <v/>
      </c>
      <c r="DL108" s="123">
        <f ca="1">OFFSET(gr_header,DG108+DE92,2*DH108+DF92)</f>
        <v>0</v>
      </c>
      <c r="DM108" s="123">
        <f ca="1">OFFSET(gr_header,DG108+DE92,2*DH108+1+DF92)</f>
        <v>0</v>
      </c>
      <c r="DN108" s="34"/>
      <c r="DO108" s="183">
        <f t="shared" ca="1" si="109"/>
        <v>0</v>
      </c>
      <c r="DP108" s="183">
        <f t="shared" ca="1" si="110"/>
        <v>0</v>
      </c>
      <c r="DQ108" s="183">
        <f t="shared" ca="1" si="111"/>
        <v>0</v>
      </c>
      <c r="DR108" s="183">
        <f t="shared" ca="1" si="112"/>
        <v>0</v>
      </c>
      <c r="DS108" s="182">
        <f t="shared" ca="1" si="113"/>
        <v>0</v>
      </c>
      <c r="DT108" s="182">
        <f t="shared" ca="1" si="114"/>
        <v>0</v>
      </c>
      <c r="DU108" s="182"/>
      <c r="DV108" s="182"/>
      <c r="DW108" s="182"/>
    </row>
    <row r="109" spans="109:127">
      <c r="DE109" s="159"/>
      <c r="DF109" s="159"/>
      <c r="DG109" s="159">
        <v>3</v>
      </c>
      <c r="DH109" s="159">
        <v>8</v>
      </c>
      <c r="DI109" s="123">
        <f t="shared" si="129"/>
        <v>4</v>
      </c>
      <c r="DJ109" s="36" t="str">
        <f ca="1">OFFSET(gr_header,DG109+DE92,1+DF92)</f>
        <v/>
      </c>
      <c r="DK109" s="36" t="str">
        <f ca="1">OFFSET(gr_header,DH109+DE92,1+DF92)</f>
        <v/>
      </c>
      <c r="DL109" s="123">
        <f ca="1">OFFSET(gr_header,DG109+DE92,2*DH109+DF92)</f>
        <v>0</v>
      </c>
      <c r="DM109" s="123">
        <f ca="1">OFFSET(gr_header,DG109+DE92,2*DH109+1+DF92)</f>
        <v>0</v>
      </c>
      <c r="DN109" s="34"/>
      <c r="DO109" s="183">
        <f t="shared" ca="1" si="109"/>
        <v>0</v>
      </c>
      <c r="DP109" s="183">
        <f t="shared" ca="1" si="110"/>
        <v>0</v>
      </c>
      <c r="DQ109" s="183">
        <f t="shared" ca="1" si="111"/>
        <v>0</v>
      </c>
      <c r="DR109" s="183">
        <f t="shared" ca="1" si="112"/>
        <v>0</v>
      </c>
      <c r="DS109" s="182">
        <f t="shared" ca="1" si="113"/>
        <v>0</v>
      </c>
      <c r="DT109" s="182">
        <f t="shared" ca="1" si="114"/>
        <v>0</v>
      </c>
      <c r="DU109" s="182"/>
      <c r="DV109" s="182"/>
      <c r="DW109" s="182"/>
    </row>
    <row r="110" spans="109:127">
      <c r="DE110" s="159"/>
      <c r="DF110" s="159"/>
      <c r="DG110" s="159">
        <v>4</v>
      </c>
      <c r="DH110" s="159">
        <v>5</v>
      </c>
      <c r="DI110" s="123">
        <f t="shared" si="129"/>
        <v>4</v>
      </c>
      <c r="DJ110" s="36" t="str">
        <f ca="1">OFFSET(gr_header,DG110+DE92,1+DF92)</f>
        <v/>
      </c>
      <c r="DK110" s="36" t="str">
        <f ca="1">OFFSET(gr_header,DH110+DE92,1+DF92)</f>
        <v/>
      </c>
      <c r="DL110" s="123">
        <f ca="1">OFFSET(gr_header,DG110+DE92,2*DH110+DF92)</f>
        <v>0</v>
      </c>
      <c r="DM110" s="123">
        <f ca="1">OFFSET(gr_header,DG110+DE92,2*DH110+1+DF92)</f>
        <v>0</v>
      </c>
      <c r="DN110" s="34"/>
      <c r="DO110" s="183">
        <f t="shared" ca="1" si="109"/>
        <v>0</v>
      </c>
      <c r="DP110" s="183">
        <f t="shared" ca="1" si="110"/>
        <v>0</v>
      </c>
      <c r="DQ110" s="183">
        <f t="shared" ca="1" si="111"/>
        <v>0</v>
      </c>
      <c r="DR110" s="183">
        <f t="shared" ca="1" si="112"/>
        <v>0</v>
      </c>
      <c r="DS110" s="182">
        <f t="shared" ca="1" si="113"/>
        <v>0</v>
      </c>
      <c r="DT110" s="182">
        <f t="shared" ca="1" si="114"/>
        <v>0</v>
      </c>
      <c r="DU110" s="182"/>
      <c r="DV110" s="182"/>
      <c r="DW110" s="182"/>
    </row>
    <row r="111" spans="109:127">
      <c r="DE111" s="159"/>
      <c r="DF111" s="159"/>
      <c r="DG111" s="159">
        <v>4</v>
      </c>
      <c r="DH111" s="159">
        <v>6</v>
      </c>
      <c r="DI111" s="123">
        <f t="shared" si="129"/>
        <v>4</v>
      </c>
      <c r="DJ111" s="36" t="str">
        <f ca="1">OFFSET(gr_header,DG111+DE92,1+DF92)</f>
        <v/>
      </c>
      <c r="DK111" s="36" t="str">
        <f ca="1">OFFSET(gr_header,DH111+DE92,1+DF92)</f>
        <v/>
      </c>
      <c r="DL111" s="123">
        <f ca="1">OFFSET(gr_header,DG111+DE92,2*DH111+DF92)</f>
        <v>0</v>
      </c>
      <c r="DM111" s="123">
        <f ca="1">OFFSET(gr_header,DG111+DE92,2*DH111+1+DF92)</f>
        <v>0</v>
      </c>
      <c r="DN111" s="34"/>
      <c r="DO111" s="183">
        <f t="shared" ca="1" si="109"/>
        <v>0</v>
      </c>
      <c r="DP111" s="183">
        <f t="shared" ca="1" si="110"/>
        <v>0</v>
      </c>
      <c r="DQ111" s="183">
        <f t="shared" ca="1" si="111"/>
        <v>0</v>
      </c>
      <c r="DR111" s="183">
        <f t="shared" ca="1" si="112"/>
        <v>0</v>
      </c>
      <c r="DS111" s="182">
        <f t="shared" ca="1" si="113"/>
        <v>0</v>
      </c>
      <c r="DT111" s="182">
        <f t="shared" ca="1" si="114"/>
        <v>0</v>
      </c>
      <c r="DU111" s="182"/>
      <c r="DV111" s="182"/>
      <c r="DW111" s="182"/>
    </row>
    <row r="112" spans="109:127">
      <c r="DE112" s="159"/>
      <c r="DF112" s="159"/>
      <c r="DG112" s="159">
        <v>4</v>
      </c>
      <c r="DH112" s="159">
        <v>7</v>
      </c>
      <c r="DI112" s="123">
        <f t="shared" si="129"/>
        <v>4</v>
      </c>
      <c r="DJ112" s="36" t="str">
        <f ca="1">OFFSET(gr_header,DG112+DE92,1+DF92)</f>
        <v/>
      </c>
      <c r="DK112" s="36" t="str">
        <f ca="1">OFFSET(gr_header,DH112+DE92,1+DF92)</f>
        <v/>
      </c>
      <c r="DL112" s="123">
        <f ca="1">OFFSET(gr_header,DG112+DE92,2*DH112+DF92)</f>
        <v>0</v>
      </c>
      <c r="DM112" s="123">
        <f ca="1">OFFSET(gr_header,DG112+DE92,2*DH112+1+DF92)</f>
        <v>0</v>
      </c>
      <c r="DN112" s="34"/>
      <c r="DO112" s="183">
        <f t="shared" ca="1" si="109"/>
        <v>0</v>
      </c>
      <c r="DP112" s="183">
        <f t="shared" ca="1" si="110"/>
        <v>0</v>
      </c>
      <c r="DQ112" s="183">
        <f t="shared" ca="1" si="111"/>
        <v>0</v>
      </c>
      <c r="DR112" s="183">
        <f t="shared" ca="1" si="112"/>
        <v>0</v>
      </c>
      <c r="DS112" s="182">
        <f t="shared" ca="1" si="113"/>
        <v>0</v>
      </c>
      <c r="DT112" s="182">
        <f t="shared" ca="1" si="114"/>
        <v>0</v>
      </c>
      <c r="DU112" s="182"/>
      <c r="DV112" s="182"/>
      <c r="DW112" s="182"/>
    </row>
    <row r="113" spans="109:127">
      <c r="DE113" s="159"/>
      <c r="DF113" s="159"/>
      <c r="DG113" s="159">
        <v>4</v>
      </c>
      <c r="DH113" s="159">
        <v>8</v>
      </c>
      <c r="DI113" s="123">
        <f t="shared" si="129"/>
        <v>4</v>
      </c>
      <c r="DJ113" s="36" t="str">
        <f ca="1">OFFSET(gr_header,DG113+DE92,1+DF92)</f>
        <v/>
      </c>
      <c r="DK113" s="36" t="str">
        <f ca="1">OFFSET(gr_header,DH113+DE92,1+DF92)</f>
        <v/>
      </c>
      <c r="DL113" s="123">
        <f ca="1">OFFSET(gr_header,DG113+DE92,2*DH113+DF92)</f>
        <v>0</v>
      </c>
      <c r="DM113" s="123">
        <f ca="1">OFFSET(gr_header,DG113+DE92,2*DH113+1+DF92)</f>
        <v>0</v>
      </c>
      <c r="DN113" s="34"/>
      <c r="DO113" s="183">
        <f t="shared" ca="1" si="109"/>
        <v>0</v>
      </c>
      <c r="DP113" s="183">
        <f t="shared" ca="1" si="110"/>
        <v>0</v>
      </c>
      <c r="DQ113" s="183">
        <f t="shared" ca="1" si="111"/>
        <v>0</v>
      </c>
      <c r="DR113" s="183">
        <f t="shared" ca="1" si="112"/>
        <v>0</v>
      </c>
      <c r="DS113" s="182">
        <f t="shared" ca="1" si="113"/>
        <v>0</v>
      </c>
      <c r="DT113" s="182">
        <f t="shared" ca="1" si="114"/>
        <v>0</v>
      </c>
      <c r="DU113" s="182"/>
      <c r="DV113" s="182"/>
      <c r="DW113" s="182"/>
    </row>
    <row r="114" spans="109:127">
      <c r="DE114" s="159"/>
      <c r="DF114" s="159"/>
      <c r="DG114" s="159">
        <v>5</v>
      </c>
      <c r="DH114" s="159">
        <v>6</v>
      </c>
      <c r="DI114" s="123">
        <f t="shared" si="129"/>
        <v>4</v>
      </c>
      <c r="DJ114" s="36" t="str">
        <f ca="1">OFFSET(gr_header,DG114+DE92,1+DF92)</f>
        <v/>
      </c>
      <c r="DK114" s="36" t="str">
        <f ca="1">OFFSET(gr_header,DH114+DE92,1+DF92)</f>
        <v/>
      </c>
      <c r="DL114" s="123">
        <f ca="1">OFFSET(gr_header,DG114+DE92,2*DH114+DF92)</f>
        <v>0</v>
      </c>
      <c r="DM114" s="123">
        <f ca="1">OFFSET(gr_header,DG114+DE92,2*DH114+1+DF92)</f>
        <v>0</v>
      </c>
      <c r="DN114" s="34"/>
      <c r="DO114" s="183">
        <f t="shared" ca="1" si="109"/>
        <v>0</v>
      </c>
      <c r="DP114" s="183">
        <f t="shared" ca="1" si="110"/>
        <v>0</v>
      </c>
      <c r="DQ114" s="183">
        <f t="shared" ca="1" si="111"/>
        <v>0</v>
      </c>
      <c r="DR114" s="183">
        <f t="shared" ca="1" si="112"/>
        <v>0</v>
      </c>
      <c r="DS114" s="182">
        <f t="shared" ca="1" si="113"/>
        <v>0</v>
      </c>
      <c r="DT114" s="182">
        <f t="shared" ca="1" si="114"/>
        <v>0</v>
      </c>
      <c r="DU114" s="182"/>
      <c r="DV114" s="182"/>
      <c r="DW114" s="182"/>
    </row>
    <row r="115" spans="109:127">
      <c r="DE115" s="159"/>
      <c r="DF115" s="159"/>
      <c r="DG115" s="159">
        <v>5</v>
      </c>
      <c r="DH115" s="159">
        <v>7</v>
      </c>
      <c r="DI115" s="123">
        <f t="shared" si="129"/>
        <v>4</v>
      </c>
      <c r="DJ115" s="36" t="str">
        <f ca="1">OFFSET(gr_header,DG115+DE92,1+DF92)</f>
        <v/>
      </c>
      <c r="DK115" s="36" t="str">
        <f ca="1">OFFSET(gr_header,DH115+DE92,1+DF92)</f>
        <v/>
      </c>
      <c r="DL115" s="123">
        <f ca="1">OFFSET(gr_header,DG115+DE92,2*DH115+DF92)</f>
        <v>0</v>
      </c>
      <c r="DM115" s="123">
        <f ca="1">OFFSET(gr_header,DG115+DE92,2*DH115+1+DF92)</f>
        <v>0</v>
      </c>
      <c r="DN115" s="34"/>
      <c r="DO115" s="183">
        <f t="shared" ca="1" si="109"/>
        <v>0</v>
      </c>
      <c r="DP115" s="183">
        <f t="shared" ca="1" si="110"/>
        <v>0</v>
      </c>
      <c r="DQ115" s="183">
        <f t="shared" ca="1" si="111"/>
        <v>0</v>
      </c>
      <c r="DR115" s="183">
        <f t="shared" ca="1" si="112"/>
        <v>0</v>
      </c>
      <c r="DS115" s="182">
        <f t="shared" ca="1" si="113"/>
        <v>0</v>
      </c>
      <c r="DT115" s="182">
        <f t="shared" ca="1" si="114"/>
        <v>0</v>
      </c>
      <c r="DU115" s="182"/>
      <c r="DV115" s="182"/>
      <c r="DW115" s="182"/>
    </row>
    <row r="116" spans="109:127">
      <c r="DE116" s="159"/>
      <c r="DF116" s="159"/>
      <c r="DG116" s="159">
        <v>5</v>
      </c>
      <c r="DH116" s="159">
        <v>8</v>
      </c>
      <c r="DI116" s="123">
        <f t="shared" si="129"/>
        <v>4</v>
      </c>
      <c r="DJ116" s="36" t="str">
        <f ca="1">OFFSET(gr_header,DG116+DE92,1+DF92)</f>
        <v/>
      </c>
      <c r="DK116" s="36" t="str">
        <f ca="1">OFFSET(gr_header,DH116+DE92,1+DF92)</f>
        <v/>
      </c>
      <c r="DL116" s="123">
        <f ca="1">OFFSET(gr_header,DG116+DE92,2*DH116+DF92)</f>
        <v>0</v>
      </c>
      <c r="DM116" s="123">
        <f ca="1">OFFSET(gr_header,DG116+DE92,2*DH116+1+DF92)</f>
        <v>0</v>
      </c>
      <c r="DN116" s="34"/>
      <c r="DO116" s="183">
        <f t="shared" ca="1" si="109"/>
        <v>0</v>
      </c>
      <c r="DP116" s="183">
        <f t="shared" ca="1" si="110"/>
        <v>0</v>
      </c>
      <c r="DQ116" s="183">
        <f t="shared" ca="1" si="111"/>
        <v>0</v>
      </c>
      <c r="DR116" s="183">
        <f t="shared" ca="1" si="112"/>
        <v>0</v>
      </c>
      <c r="DS116" s="182">
        <f t="shared" ca="1" si="113"/>
        <v>0</v>
      </c>
      <c r="DT116" s="182">
        <f t="shared" ca="1" si="114"/>
        <v>0</v>
      </c>
      <c r="DU116" s="182"/>
      <c r="DV116" s="182"/>
      <c r="DW116" s="182"/>
    </row>
    <row r="117" spans="109:127">
      <c r="DE117" s="159"/>
      <c r="DF117" s="159"/>
      <c r="DG117" s="159">
        <v>6</v>
      </c>
      <c r="DH117" s="159">
        <v>7</v>
      </c>
      <c r="DI117" s="123">
        <f t="shared" si="129"/>
        <v>4</v>
      </c>
      <c r="DJ117" s="36" t="str">
        <f ca="1">OFFSET(gr_header,DG117+DE92,1+DF92)</f>
        <v/>
      </c>
      <c r="DK117" s="36" t="str">
        <f ca="1">OFFSET(gr_header,DH117+DE92,1+DF92)</f>
        <v/>
      </c>
      <c r="DL117" s="123">
        <f ca="1">OFFSET(gr_header,DG117+DE92,2*DH117+DF92)</f>
        <v>0</v>
      </c>
      <c r="DM117" s="123">
        <f ca="1">OFFSET(gr_header,DG117+DE92,2*DH117+1+DF92)</f>
        <v>0</v>
      </c>
      <c r="DN117" s="34"/>
      <c r="DO117" s="183">
        <f t="shared" ca="1" si="109"/>
        <v>0</v>
      </c>
      <c r="DP117" s="183">
        <f t="shared" ca="1" si="110"/>
        <v>0</v>
      </c>
      <c r="DQ117" s="183">
        <f t="shared" ca="1" si="111"/>
        <v>0</v>
      </c>
      <c r="DR117" s="183">
        <f t="shared" ca="1" si="112"/>
        <v>0</v>
      </c>
      <c r="DS117" s="182">
        <f t="shared" ca="1" si="113"/>
        <v>0</v>
      </c>
      <c r="DT117" s="182">
        <f t="shared" ca="1" si="114"/>
        <v>0</v>
      </c>
      <c r="DU117" s="182"/>
      <c r="DV117" s="182"/>
      <c r="DW117" s="182"/>
    </row>
    <row r="118" spans="109:127">
      <c r="DE118" s="159"/>
      <c r="DF118" s="159"/>
      <c r="DG118" s="159">
        <v>6</v>
      </c>
      <c r="DH118" s="159">
        <v>8</v>
      </c>
      <c r="DI118" s="123">
        <f t="shared" si="129"/>
        <v>4</v>
      </c>
      <c r="DJ118" s="36" t="str">
        <f ca="1">OFFSET(gr_header,DG118+DE92,1+DF92)</f>
        <v/>
      </c>
      <c r="DK118" s="36" t="str">
        <f ca="1">OFFSET(gr_header,DH118+DE92,1+DF92)</f>
        <v/>
      </c>
      <c r="DL118" s="123">
        <f ca="1">OFFSET(gr_header,DG118+DE92,2*DH118+DF92)</f>
        <v>0</v>
      </c>
      <c r="DM118" s="123">
        <f ca="1">OFFSET(gr_header,DG118+DE92,2*DH118+1+DF92)</f>
        <v>0</v>
      </c>
      <c r="DN118" s="34"/>
      <c r="DO118" s="183">
        <f t="shared" ca="1" si="109"/>
        <v>0</v>
      </c>
      <c r="DP118" s="183">
        <f t="shared" ca="1" si="110"/>
        <v>0</v>
      </c>
      <c r="DQ118" s="183">
        <f t="shared" ca="1" si="111"/>
        <v>0</v>
      </c>
      <c r="DR118" s="183">
        <f t="shared" ca="1" si="112"/>
        <v>0</v>
      </c>
      <c r="DS118" s="182">
        <f t="shared" ca="1" si="113"/>
        <v>0</v>
      </c>
      <c r="DT118" s="182">
        <f t="shared" ca="1" si="114"/>
        <v>0</v>
      </c>
      <c r="DU118" s="182"/>
      <c r="DV118" s="182"/>
      <c r="DW118" s="182"/>
    </row>
    <row r="119" spans="109:127">
      <c r="DE119" s="159"/>
      <c r="DF119" s="159"/>
      <c r="DG119" s="159">
        <v>7</v>
      </c>
      <c r="DH119" s="159">
        <v>8</v>
      </c>
      <c r="DI119" s="123">
        <f t="shared" si="129"/>
        <v>4</v>
      </c>
      <c r="DJ119" s="36" t="str">
        <f ca="1">OFFSET(gr_header,DG119+DE92,1+DF92)</f>
        <v/>
      </c>
      <c r="DK119" s="36" t="str">
        <f ca="1">OFFSET(gr_header,DH119+DE92,1+DF92)</f>
        <v/>
      </c>
      <c r="DL119" s="123">
        <f ca="1">OFFSET(gr_header,DG119+DE92,2*DH119+DF92)</f>
        <v>0</v>
      </c>
      <c r="DM119" s="123">
        <f ca="1">OFFSET(gr_header,DG119+DE119,2*DH119+1+DF119)</f>
        <v>0</v>
      </c>
      <c r="DN119" s="34"/>
      <c r="DO119" s="183">
        <f t="shared" ca="1" si="109"/>
        <v>0</v>
      </c>
      <c r="DP119" s="183">
        <f t="shared" ca="1" si="110"/>
        <v>0</v>
      </c>
      <c r="DQ119" s="183">
        <f t="shared" ca="1" si="111"/>
        <v>0</v>
      </c>
      <c r="DR119" s="183">
        <f t="shared" ca="1" si="112"/>
        <v>0</v>
      </c>
      <c r="DS119" s="182">
        <f t="shared" ca="1" si="113"/>
        <v>0</v>
      </c>
      <c r="DT119" s="182">
        <f t="shared" ca="1" si="114"/>
        <v>0</v>
      </c>
      <c r="DU119" s="182"/>
      <c r="DV119" s="182"/>
      <c r="DW119" s="182"/>
    </row>
    <row r="120" spans="109:127">
      <c r="DE120" s="123">
        <f>DE121*shift1</f>
        <v>20</v>
      </c>
      <c r="DF120" s="123">
        <f>DF121*shift2</f>
        <v>0</v>
      </c>
      <c r="DG120" s="123">
        <v>1</v>
      </c>
      <c r="DH120" s="123">
        <v>2</v>
      </c>
      <c r="DI120" s="147">
        <f>DI92+1</f>
        <v>5</v>
      </c>
      <c r="DJ120" s="36" t="str">
        <f ca="1">OFFSET(gr_header,DG120+DE120,1+DF120)</f>
        <v/>
      </c>
      <c r="DK120" s="36" t="str">
        <f ca="1">OFFSET(gr_header,DH120+DE120,1+DF120)</f>
        <v/>
      </c>
      <c r="DL120" s="123">
        <f ca="1">OFFSET(gr_header,DG120+DE120,2*DH120+DF120)</f>
        <v>0</v>
      </c>
      <c r="DM120" s="123">
        <f ca="1">OFFSET(gr_header,DG120+DE120,2*DH120+1+DF120)</f>
        <v>0</v>
      </c>
      <c r="DN120" s="34"/>
      <c r="DO120" s="183">
        <f t="shared" ca="1" si="109"/>
        <v>0</v>
      </c>
      <c r="DP120" s="183">
        <f t="shared" ca="1" si="110"/>
        <v>0</v>
      </c>
      <c r="DQ120" s="183">
        <f t="shared" ca="1" si="111"/>
        <v>0</v>
      </c>
      <c r="DR120" s="183">
        <f t="shared" ca="1" si="112"/>
        <v>0</v>
      </c>
      <c r="DS120" s="182">
        <f t="shared" ref="DS120:DS183" ca="1" si="130">DL120</f>
        <v>0</v>
      </c>
      <c r="DT120" s="182">
        <f t="shared" ref="DT120:DT183" ca="1" si="131">DM120</f>
        <v>0</v>
      </c>
      <c r="DU120" s="182"/>
      <c r="DV120" s="182"/>
      <c r="DW120" s="182"/>
    </row>
    <row r="121" spans="109:127">
      <c r="DE121" s="123">
        <f>INT((DI120-1)/2)</f>
        <v>2</v>
      </c>
      <c r="DF121" s="123">
        <f>1-(INT((DI120+1)/2)*2-DI120)</f>
        <v>0</v>
      </c>
      <c r="DG121" s="123">
        <v>1</v>
      </c>
      <c r="DH121" s="123">
        <v>3</v>
      </c>
      <c r="DI121" s="123">
        <f>DI120</f>
        <v>5</v>
      </c>
      <c r="DJ121" s="36" t="str">
        <f ca="1">OFFSET(gr_header,DG121+DE120,1+DF120)</f>
        <v/>
      </c>
      <c r="DK121" s="36" t="str">
        <f ca="1">OFFSET(gr_header,DH121+DE120,1+DF120)</f>
        <v/>
      </c>
      <c r="DL121" s="123">
        <f ca="1">OFFSET(gr_header,DG121+DE120,2*DH121+DF120)</f>
        <v>0</v>
      </c>
      <c r="DM121" s="123">
        <f ca="1">OFFSET(gr_header,DG121+DE120,2*DH121+1+DF120)</f>
        <v>0</v>
      </c>
      <c r="DN121" s="34"/>
      <c r="DO121" s="183">
        <f t="shared" ca="1" si="109"/>
        <v>0</v>
      </c>
      <c r="DP121" s="183">
        <f t="shared" ca="1" si="110"/>
        <v>0</v>
      </c>
      <c r="DQ121" s="183">
        <f t="shared" ca="1" si="111"/>
        <v>0</v>
      </c>
      <c r="DR121" s="183">
        <f t="shared" ca="1" si="112"/>
        <v>0</v>
      </c>
      <c r="DS121" s="182">
        <f t="shared" ca="1" si="130"/>
        <v>0</v>
      </c>
      <c r="DT121" s="182">
        <f t="shared" ca="1" si="131"/>
        <v>0</v>
      </c>
      <c r="DU121" s="182"/>
      <c r="DV121" s="182"/>
      <c r="DW121" s="182"/>
    </row>
    <row r="122" spans="109:127">
      <c r="DG122" s="123">
        <v>1</v>
      </c>
      <c r="DH122" s="123">
        <v>4</v>
      </c>
      <c r="DI122" s="123">
        <f t="shared" ref="DI122:DI147" si="132">DI121</f>
        <v>5</v>
      </c>
      <c r="DJ122" s="36" t="str">
        <f ca="1">OFFSET(gr_header,DG122+DE120,1+DF120)</f>
        <v/>
      </c>
      <c r="DK122" s="36" t="str">
        <f ca="1">OFFSET(gr_header,DH122+DE120,1+DF120)</f>
        <v/>
      </c>
      <c r="DL122" s="123">
        <f ca="1">OFFSET(gr_header,DG122+DE120,2*DH122+DF120)</f>
        <v>0</v>
      </c>
      <c r="DM122" s="123">
        <f ca="1">OFFSET(gr_header,DG122+DE120,2*DH122+1+DF120)</f>
        <v>0</v>
      </c>
      <c r="DN122" s="34"/>
      <c r="DO122" s="183">
        <f t="shared" ca="1" si="109"/>
        <v>0</v>
      </c>
      <c r="DP122" s="183">
        <f t="shared" ca="1" si="110"/>
        <v>0</v>
      </c>
      <c r="DQ122" s="183">
        <f t="shared" ca="1" si="111"/>
        <v>0</v>
      </c>
      <c r="DR122" s="183">
        <f t="shared" ca="1" si="112"/>
        <v>0</v>
      </c>
      <c r="DS122" s="182">
        <f t="shared" ca="1" si="130"/>
        <v>0</v>
      </c>
      <c r="DT122" s="182">
        <f t="shared" ca="1" si="131"/>
        <v>0</v>
      </c>
      <c r="DU122" s="182"/>
      <c r="DV122" s="182"/>
      <c r="DW122" s="182"/>
    </row>
    <row r="123" spans="109:127">
      <c r="DG123" s="123">
        <v>1</v>
      </c>
      <c r="DH123" s="123">
        <v>5</v>
      </c>
      <c r="DI123" s="123">
        <f t="shared" si="132"/>
        <v>5</v>
      </c>
      <c r="DJ123" s="36" t="str">
        <f ca="1">OFFSET(gr_header,DG123+DE120,1+DF120)</f>
        <v/>
      </c>
      <c r="DK123" s="36" t="str">
        <f ca="1">OFFSET(gr_header,DH123+DE120,1+DF120)</f>
        <v/>
      </c>
      <c r="DL123" s="123">
        <f ca="1">OFFSET(gr_header,DG123+DE120,2*DH123+DF120)</f>
        <v>0</v>
      </c>
      <c r="DM123" s="123">
        <f ca="1">OFFSET(gr_header,DG123+DE120,2*DH123+1+DF120)</f>
        <v>0</v>
      </c>
      <c r="DN123" s="34"/>
      <c r="DO123" s="183">
        <f t="shared" ca="1" si="109"/>
        <v>0</v>
      </c>
      <c r="DP123" s="183">
        <f t="shared" ca="1" si="110"/>
        <v>0</v>
      </c>
      <c r="DQ123" s="183">
        <f t="shared" ca="1" si="111"/>
        <v>0</v>
      </c>
      <c r="DR123" s="183">
        <f t="shared" ca="1" si="112"/>
        <v>0</v>
      </c>
      <c r="DS123" s="182">
        <f t="shared" ca="1" si="130"/>
        <v>0</v>
      </c>
      <c r="DT123" s="182">
        <f t="shared" ca="1" si="131"/>
        <v>0</v>
      </c>
      <c r="DU123" s="182"/>
      <c r="DV123" s="182"/>
      <c r="DW123" s="182"/>
    </row>
    <row r="124" spans="109:127">
      <c r="DG124" s="123">
        <v>1</v>
      </c>
      <c r="DH124" s="123">
        <v>6</v>
      </c>
      <c r="DI124" s="123">
        <f t="shared" si="132"/>
        <v>5</v>
      </c>
      <c r="DJ124" s="36" t="str">
        <f ca="1">OFFSET(gr_header,DG124+DE120,1+DF120)</f>
        <v/>
      </c>
      <c r="DK124" s="36" t="str">
        <f ca="1">OFFSET(gr_header,DH124+DE120,1+DF120)</f>
        <v/>
      </c>
      <c r="DL124" s="123">
        <f ca="1">OFFSET(gr_header,DG124+DE120,2*DH124+DF120)</f>
        <v>0</v>
      </c>
      <c r="DM124" s="123">
        <f ca="1">OFFSET(gr_header,DG124+DE120,2*DH124+1+DF120)</f>
        <v>0</v>
      </c>
      <c r="DN124" s="34"/>
      <c r="DO124" s="183">
        <f t="shared" ca="1" si="109"/>
        <v>0</v>
      </c>
      <c r="DP124" s="183">
        <f t="shared" ca="1" si="110"/>
        <v>0</v>
      </c>
      <c r="DQ124" s="183">
        <f t="shared" ca="1" si="111"/>
        <v>0</v>
      </c>
      <c r="DR124" s="183">
        <f t="shared" ca="1" si="112"/>
        <v>0</v>
      </c>
      <c r="DS124" s="182">
        <f t="shared" ca="1" si="130"/>
        <v>0</v>
      </c>
      <c r="DT124" s="182">
        <f t="shared" ca="1" si="131"/>
        <v>0</v>
      </c>
      <c r="DU124" s="182"/>
      <c r="DV124" s="182"/>
      <c r="DW124" s="182"/>
    </row>
    <row r="125" spans="109:127">
      <c r="DG125" s="123">
        <v>1</v>
      </c>
      <c r="DH125" s="123">
        <v>7</v>
      </c>
      <c r="DI125" s="123">
        <f t="shared" si="132"/>
        <v>5</v>
      </c>
      <c r="DJ125" s="36" t="str">
        <f ca="1">OFFSET(gr_header,DG125+DE120,1+DF120)</f>
        <v/>
      </c>
      <c r="DK125" s="36" t="str">
        <f ca="1">OFFSET(gr_header,DH125+DE120,1+DF120)</f>
        <v/>
      </c>
      <c r="DL125" s="123">
        <f ca="1">OFFSET(gr_header,DG125+DE120,2*DH125+DF120)</f>
        <v>0</v>
      </c>
      <c r="DM125" s="123">
        <f ca="1">OFFSET(gr_header,DG125+DE120,2*DH125+1+DF120)</f>
        <v>0</v>
      </c>
      <c r="DN125" s="34"/>
      <c r="DO125" s="183">
        <f t="shared" ca="1" si="109"/>
        <v>0</v>
      </c>
      <c r="DP125" s="183">
        <f t="shared" ca="1" si="110"/>
        <v>0</v>
      </c>
      <c r="DQ125" s="183">
        <f t="shared" ca="1" si="111"/>
        <v>0</v>
      </c>
      <c r="DR125" s="183">
        <f t="shared" ca="1" si="112"/>
        <v>0</v>
      </c>
      <c r="DS125" s="182">
        <f t="shared" ca="1" si="130"/>
        <v>0</v>
      </c>
      <c r="DT125" s="182">
        <f t="shared" ca="1" si="131"/>
        <v>0</v>
      </c>
      <c r="DU125" s="182"/>
      <c r="DV125" s="182"/>
      <c r="DW125" s="182"/>
    </row>
    <row r="126" spans="109:127">
      <c r="DE126" s="159"/>
      <c r="DF126" s="159"/>
      <c r="DG126" s="159">
        <v>1</v>
      </c>
      <c r="DH126" s="123">
        <v>8</v>
      </c>
      <c r="DI126" s="123">
        <f t="shared" si="132"/>
        <v>5</v>
      </c>
      <c r="DJ126" s="36" t="str">
        <f ca="1">OFFSET(gr_header,DG126+DE120,1+DF120)</f>
        <v/>
      </c>
      <c r="DK126" s="36" t="str">
        <f ca="1">OFFSET(gr_header,DH126+DE120,1+DF120)</f>
        <v/>
      </c>
      <c r="DL126" s="123">
        <f ca="1">OFFSET(gr_header,DG126+DE120,2*DH126+DF120)</f>
        <v>0</v>
      </c>
      <c r="DM126" s="123">
        <f ca="1">OFFSET(gr_header,DG126+DE120,2*DH126+1+DF120)</f>
        <v>0</v>
      </c>
      <c r="DN126" s="34"/>
      <c r="DO126" s="183">
        <f t="shared" ca="1" si="109"/>
        <v>0</v>
      </c>
      <c r="DP126" s="183">
        <f t="shared" ca="1" si="110"/>
        <v>0</v>
      </c>
      <c r="DQ126" s="183">
        <f t="shared" ca="1" si="111"/>
        <v>0</v>
      </c>
      <c r="DR126" s="183">
        <f t="shared" ca="1" si="112"/>
        <v>0</v>
      </c>
      <c r="DS126" s="182">
        <f t="shared" ca="1" si="130"/>
        <v>0</v>
      </c>
      <c r="DT126" s="182">
        <f t="shared" ca="1" si="131"/>
        <v>0</v>
      </c>
      <c r="DU126" s="182"/>
      <c r="DV126" s="182"/>
      <c r="DW126" s="182"/>
    </row>
    <row r="127" spans="109:127">
      <c r="DE127" s="159"/>
      <c r="DF127" s="159"/>
      <c r="DG127" s="159">
        <v>2</v>
      </c>
      <c r="DH127" s="159">
        <v>3</v>
      </c>
      <c r="DI127" s="123">
        <f t="shared" si="132"/>
        <v>5</v>
      </c>
      <c r="DJ127" s="36" t="str">
        <f ca="1">OFFSET(gr_header,DG127+DE120,1+DF120)</f>
        <v/>
      </c>
      <c r="DK127" s="36" t="str">
        <f ca="1">OFFSET(gr_header,DH127+DE120,1+DF120)</f>
        <v/>
      </c>
      <c r="DL127" s="123">
        <f ca="1">OFFSET(gr_header,DG127+DE120,2*DH127+DF120)</f>
        <v>0</v>
      </c>
      <c r="DM127" s="123">
        <f ca="1">OFFSET(gr_header,DG127+DE120,2*DH127+1+DF120)</f>
        <v>0</v>
      </c>
      <c r="DN127" s="34"/>
      <c r="DO127" s="183">
        <f t="shared" ca="1" si="109"/>
        <v>0</v>
      </c>
      <c r="DP127" s="183">
        <f t="shared" ca="1" si="110"/>
        <v>0</v>
      </c>
      <c r="DQ127" s="183">
        <f t="shared" ca="1" si="111"/>
        <v>0</v>
      </c>
      <c r="DR127" s="183">
        <f t="shared" ca="1" si="112"/>
        <v>0</v>
      </c>
      <c r="DS127" s="182">
        <f t="shared" ca="1" si="130"/>
        <v>0</v>
      </c>
      <c r="DT127" s="182">
        <f t="shared" ca="1" si="131"/>
        <v>0</v>
      </c>
      <c r="DU127" s="182"/>
      <c r="DV127" s="182"/>
      <c r="DW127" s="182"/>
    </row>
    <row r="128" spans="109:127">
      <c r="DE128" s="159"/>
      <c r="DF128" s="159"/>
      <c r="DG128" s="159">
        <v>2</v>
      </c>
      <c r="DH128" s="159">
        <v>4</v>
      </c>
      <c r="DI128" s="123">
        <f t="shared" si="132"/>
        <v>5</v>
      </c>
      <c r="DJ128" s="36" t="str">
        <f ca="1">OFFSET(gr_header,DG128+DE120,1+DF120)</f>
        <v/>
      </c>
      <c r="DK128" s="36" t="str">
        <f ca="1">OFFSET(gr_header,DH128+DE120,1+DF120)</f>
        <v/>
      </c>
      <c r="DL128" s="123">
        <f ca="1">OFFSET(gr_header,DG128+DE120,2*DH128+DF120)</f>
        <v>0</v>
      </c>
      <c r="DM128" s="123">
        <f ca="1">OFFSET(gr_header,DG128+DE120,2*DH128+1+DF120)</f>
        <v>0</v>
      </c>
      <c r="DN128" s="34"/>
      <c r="DO128" s="183">
        <f t="shared" ca="1" si="109"/>
        <v>0</v>
      </c>
      <c r="DP128" s="183">
        <f t="shared" ca="1" si="110"/>
        <v>0</v>
      </c>
      <c r="DQ128" s="183">
        <f t="shared" ca="1" si="111"/>
        <v>0</v>
      </c>
      <c r="DR128" s="183">
        <f t="shared" ca="1" si="112"/>
        <v>0</v>
      </c>
      <c r="DS128" s="182">
        <f t="shared" ca="1" si="130"/>
        <v>0</v>
      </c>
      <c r="DT128" s="182">
        <f t="shared" ca="1" si="131"/>
        <v>0</v>
      </c>
      <c r="DU128" s="182"/>
      <c r="DV128" s="182"/>
      <c r="DW128" s="182"/>
    </row>
    <row r="129" spans="109:127">
      <c r="DE129" s="159"/>
      <c r="DF129" s="159"/>
      <c r="DG129" s="159">
        <v>2</v>
      </c>
      <c r="DH129" s="159">
        <v>5</v>
      </c>
      <c r="DI129" s="123">
        <f t="shared" si="132"/>
        <v>5</v>
      </c>
      <c r="DJ129" s="36" t="str">
        <f ca="1">OFFSET(gr_header,DG129+DE120,1+DF120)</f>
        <v/>
      </c>
      <c r="DK129" s="36" t="str">
        <f ca="1">OFFSET(gr_header,DH129+DE120,1+DF120)</f>
        <v/>
      </c>
      <c r="DL129" s="123">
        <f ca="1">OFFSET(gr_header,DG129+DE120,2*DH129+DF120)</f>
        <v>0</v>
      </c>
      <c r="DM129" s="123">
        <f ca="1">OFFSET(gr_header,DG129+DE120,2*DH129+1+DF120)</f>
        <v>0</v>
      </c>
      <c r="DN129" s="34"/>
      <c r="DO129" s="183">
        <f t="shared" ca="1" si="109"/>
        <v>0</v>
      </c>
      <c r="DP129" s="183">
        <f t="shared" ca="1" si="110"/>
        <v>0</v>
      </c>
      <c r="DQ129" s="183">
        <f t="shared" ca="1" si="111"/>
        <v>0</v>
      </c>
      <c r="DR129" s="183">
        <f t="shared" ca="1" si="112"/>
        <v>0</v>
      </c>
      <c r="DS129" s="182">
        <f t="shared" ca="1" si="130"/>
        <v>0</v>
      </c>
      <c r="DT129" s="182">
        <f t="shared" ca="1" si="131"/>
        <v>0</v>
      </c>
      <c r="DU129" s="182"/>
      <c r="DV129" s="182"/>
      <c r="DW129" s="182"/>
    </row>
    <row r="130" spans="109:127">
      <c r="DE130" s="159"/>
      <c r="DF130" s="159"/>
      <c r="DG130" s="159">
        <v>2</v>
      </c>
      <c r="DH130" s="159">
        <v>6</v>
      </c>
      <c r="DI130" s="123">
        <f t="shared" si="132"/>
        <v>5</v>
      </c>
      <c r="DJ130" s="36" t="str">
        <f ca="1">OFFSET(gr_header,DG130+DE120,1+DF120)</f>
        <v/>
      </c>
      <c r="DK130" s="36" t="str">
        <f ca="1">OFFSET(gr_header,DH130+DE120,1+DF120)</f>
        <v/>
      </c>
      <c r="DL130" s="123">
        <f ca="1">OFFSET(gr_header,DG130+DE120,2*DH130+DF120)</f>
        <v>0</v>
      </c>
      <c r="DM130" s="123">
        <f ca="1">OFFSET(gr_header,DG130+DE120,2*DH130+1+DF120)</f>
        <v>0</v>
      </c>
      <c r="DN130" s="34"/>
      <c r="DO130" s="183">
        <f t="shared" ca="1" si="109"/>
        <v>0</v>
      </c>
      <c r="DP130" s="183">
        <f t="shared" ca="1" si="110"/>
        <v>0</v>
      </c>
      <c r="DQ130" s="183">
        <f t="shared" ca="1" si="111"/>
        <v>0</v>
      </c>
      <c r="DR130" s="183">
        <f t="shared" ca="1" si="112"/>
        <v>0</v>
      </c>
      <c r="DS130" s="182">
        <f t="shared" ca="1" si="130"/>
        <v>0</v>
      </c>
      <c r="DT130" s="182">
        <f t="shared" ca="1" si="131"/>
        <v>0</v>
      </c>
      <c r="DU130" s="182"/>
      <c r="DV130" s="182"/>
      <c r="DW130" s="182"/>
    </row>
    <row r="131" spans="109:127">
      <c r="DE131" s="159"/>
      <c r="DF131" s="159"/>
      <c r="DG131" s="159">
        <v>2</v>
      </c>
      <c r="DH131" s="159">
        <v>7</v>
      </c>
      <c r="DI131" s="123">
        <f t="shared" si="132"/>
        <v>5</v>
      </c>
      <c r="DJ131" s="36" t="str">
        <f ca="1">OFFSET(gr_header,DG131+DE120,1+DF120)</f>
        <v/>
      </c>
      <c r="DK131" s="36" t="str">
        <f ca="1">OFFSET(gr_header,DH131+DE120,1+DF120)</f>
        <v/>
      </c>
      <c r="DL131" s="123">
        <f ca="1">OFFSET(gr_header,DG131+DE120,2*DH131+DF120)</f>
        <v>0</v>
      </c>
      <c r="DM131" s="123">
        <f ca="1">OFFSET(gr_header,DG131+DE120,2*DH131+1+DF120)</f>
        <v>0</v>
      </c>
      <c r="DN131" s="34"/>
      <c r="DO131" s="183">
        <f t="shared" ca="1" si="109"/>
        <v>0</v>
      </c>
      <c r="DP131" s="183">
        <f t="shared" ca="1" si="110"/>
        <v>0</v>
      </c>
      <c r="DQ131" s="183">
        <f t="shared" ca="1" si="111"/>
        <v>0</v>
      </c>
      <c r="DR131" s="183">
        <f t="shared" ca="1" si="112"/>
        <v>0</v>
      </c>
      <c r="DS131" s="182">
        <f t="shared" ca="1" si="130"/>
        <v>0</v>
      </c>
      <c r="DT131" s="182">
        <f t="shared" ca="1" si="131"/>
        <v>0</v>
      </c>
      <c r="DU131" s="182"/>
      <c r="DV131" s="182"/>
      <c r="DW131" s="182"/>
    </row>
    <row r="132" spans="109:127">
      <c r="DE132" s="159"/>
      <c r="DF132" s="159"/>
      <c r="DG132" s="159">
        <v>2</v>
      </c>
      <c r="DH132" s="159">
        <v>8</v>
      </c>
      <c r="DI132" s="123">
        <f t="shared" si="132"/>
        <v>5</v>
      </c>
      <c r="DJ132" s="36" t="str">
        <f ca="1">OFFSET(gr_header,DG132+DE120,1+DF120)</f>
        <v/>
      </c>
      <c r="DK132" s="36" t="str">
        <f ca="1">OFFSET(gr_header,DH132+DE120,1+DF120)</f>
        <v/>
      </c>
      <c r="DL132" s="123">
        <f ca="1">OFFSET(gr_header,DG132+DE120,2*DH132+DF120)</f>
        <v>0</v>
      </c>
      <c r="DM132" s="123">
        <f ca="1">OFFSET(gr_header,DG132+DE120,2*DH132+1+DF120)</f>
        <v>0</v>
      </c>
      <c r="DN132" s="34"/>
      <c r="DO132" s="183">
        <f t="shared" ca="1" si="109"/>
        <v>0</v>
      </c>
      <c r="DP132" s="183">
        <f t="shared" ca="1" si="110"/>
        <v>0</v>
      </c>
      <c r="DQ132" s="183">
        <f t="shared" ca="1" si="111"/>
        <v>0</v>
      </c>
      <c r="DR132" s="183">
        <f t="shared" ca="1" si="112"/>
        <v>0</v>
      </c>
      <c r="DS132" s="182">
        <f t="shared" ca="1" si="130"/>
        <v>0</v>
      </c>
      <c r="DT132" s="182">
        <f t="shared" ca="1" si="131"/>
        <v>0</v>
      </c>
      <c r="DU132" s="182"/>
      <c r="DV132" s="182"/>
      <c r="DW132" s="182"/>
    </row>
    <row r="133" spans="109:127">
      <c r="DE133" s="159"/>
      <c r="DF133" s="159"/>
      <c r="DG133" s="159">
        <v>3</v>
      </c>
      <c r="DH133" s="159">
        <v>4</v>
      </c>
      <c r="DI133" s="123">
        <f t="shared" si="132"/>
        <v>5</v>
      </c>
      <c r="DJ133" s="36" t="str">
        <f ca="1">OFFSET(gr_header,DG133+DE120,1+DF120)</f>
        <v/>
      </c>
      <c r="DK133" s="36" t="str">
        <f ca="1">OFFSET(gr_header,DH133+DE120,1+DF120)</f>
        <v/>
      </c>
      <c r="DL133" s="123">
        <f ca="1">OFFSET(gr_header,DG133+DE120,2*DH133+DF120)</f>
        <v>0</v>
      </c>
      <c r="DM133" s="123">
        <f ca="1">OFFSET(gr_header,DG133+DE120,2*DH133+1+DF120)</f>
        <v>0</v>
      </c>
      <c r="DN133" s="34"/>
      <c r="DO133" s="183">
        <f t="shared" ca="1" si="109"/>
        <v>0</v>
      </c>
      <c r="DP133" s="183">
        <f t="shared" ca="1" si="110"/>
        <v>0</v>
      </c>
      <c r="DQ133" s="183">
        <f t="shared" ca="1" si="111"/>
        <v>0</v>
      </c>
      <c r="DR133" s="183">
        <f t="shared" ca="1" si="112"/>
        <v>0</v>
      </c>
      <c r="DS133" s="182">
        <f t="shared" ca="1" si="130"/>
        <v>0</v>
      </c>
      <c r="DT133" s="182">
        <f t="shared" ca="1" si="131"/>
        <v>0</v>
      </c>
      <c r="DU133" s="182"/>
      <c r="DV133" s="182"/>
      <c r="DW133" s="182"/>
    </row>
    <row r="134" spans="109:127">
      <c r="DE134" s="159"/>
      <c r="DF134" s="159"/>
      <c r="DG134" s="159">
        <v>3</v>
      </c>
      <c r="DH134" s="159">
        <v>5</v>
      </c>
      <c r="DI134" s="123">
        <f t="shared" si="132"/>
        <v>5</v>
      </c>
      <c r="DJ134" s="36" t="str">
        <f ca="1">OFFSET(gr_header,DG134+DE120,1+DF120)</f>
        <v/>
      </c>
      <c r="DK134" s="36" t="str">
        <f ca="1">OFFSET(gr_header,DH134+DE120,1+DF120)</f>
        <v/>
      </c>
      <c r="DL134" s="123">
        <f ca="1">OFFSET(gr_header,DG134+DE120,2*DH134+DF120)</f>
        <v>0</v>
      </c>
      <c r="DM134" s="123">
        <f ca="1">OFFSET(gr_header,DG134+DE120,2*DH134+1+DF120)</f>
        <v>0</v>
      </c>
      <c r="DN134" s="34"/>
      <c r="DO134" s="183">
        <f t="shared" ca="1" si="109"/>
        <v>0</v>
      </c>
      <c r="DP134" s="183">
        <f t="shared" ca="1" si="110"/>
        <v>0</v>
      </c>
      <c r="DQ134" s="183">
        <f t="shared" ca="1" si="111"/>
        <v>0</v>
      </c>
      <c r="DR134" s="183">
        <f t="shared" ca="1" si="112"/>
        <v>0</v>
      </c>
      <c r="DS134" s="182">
        <f t="shared" ca="1" si="130"/>
        <v>0</v>
      </c>
      <c r="DT134" s="182">
        <f t="shared" ca="1" si="131"/>
        <v>0</v>
      </c>
      <c r="DU134" s="182"/>
      <c r="DV134" s="182"/>
      <c r="DW134" s="182"/>
    </row>
    <row r="135" spans="109:127">
      <c r="DE135" s="159"/>
      <c r="DF135" s="159"/>
      <c r="DG135" s="159">
        <v>3</v>
      </c>
      <c r="DH135" s="159">
        <v>6</v>
      </c>
      <c r="DI135" s="123">
        <f t="shared" si="132"/>
        <v>5</v>
      </c>
      <c r="DJ135" s="36" t="str">
        <f ca="1">OFFSET(gr_header,DG135+DE120,1+DF120)</f>
        <v/>
      </c>
      <c r="DK135" s="36" t="str">
        <f ca="1">OFFSET(gr_header,DH135+DE120,1+DF120)</f>
        <v/>
      </c>
      <c r="DL135" s="123">
        <f ca="1">OFFSET(gr_header,DG135+DE120,2*DH135+DF120)</f>
        <v>0</v>
      </c>
      <c r="DM135" s="123">
        <f ca="1">OFFSET(gr_header,DG135+DE120,2*DH135+1+DF120)</f>
        <v>0</v>
      </c>
      <c r="DN135" s="34"/>
      <c r="DO135" s="183">
        <f t="shared" ca="1" si="109"/>
        <v>0</v>
      </c>
      <c r="DP135" s="183">
        <f t="shared" ca="1" si="110"/>
        <v>0</v>
      </c>
      <c r="DQ135" s="183">
        <f t="shared" ca="1" si="111"/>
        <v>0</v>
      </c>
      <c r="DR135" s="183">
        <f t="shared" ca="1" si="112"/>
        <v>0</v>
      </c>
      <c r="DS135" s="182">
        <f t="shared" ca="1" si="130"/>
        <v>0</v>
      </c>
      <c r="DT135" s="182">
        <f t="shared" ca="1" si="131"/>
        <v>0</v>
      </c>
      <c r="DU135" s="182"/>
      <c r="DV135" s="182"/>
      <c r="DW135" s="182"/>
    </row>
    <row r="136" spans="109:127">
      <c r="DE136" s="159"/>
      <c r="DF136" s="159"/>
      <c r="DG136" s="159">
        <v>3</v>
      </c>
      <c r="DH136" s="159">
        <v>7</v>
      </c>
      <c r="DI136" s="123">
        <f t="shared" si="132"/>
        <v>5</v>
      </c>
      <c r="DJ136" s="36" t="str">
        <f ca="1">OFFSET(gr_header,DG136+DE120,1+DF120)</f>
        <v/>
      </c>
      <c r="DK136" s="36" t="str">
        <f ca="1">OFFSET(gr_header,DH136+DE120,1+DF120)</f>
        <v/>
      </c>
      <c r="DL136" s="123">
        <f ca="1">OFFSET(gr_header,DG136+DE120,2*DH136+DF120)</f>
        <v>0</v>
      </c>
      <c r="DM136" s="123">
        <f ca="1">OFFSET(gr_header,DG136+DE120,2*DH136+1+DF120)</f>
        <v>0</v>
      </c>
      <c r="DN136" s="34"/>
      <c r="DO136" s="183">
        <f t="shared" ca="1" si="109"/>
        <v>0</v>
      </c>
      <c r="DP136" s="183">
        <f t="shared" ca="1" si="110"/>
        <v>0</v>
      </c>
      <c r="DQ136" s="183">
        <f t="shared" ca="1" si="111"/>
        <v>0</v>
      </c>
      <c r="DR136" s="183">
        <f t="shared" ca="1" si="112"/>
        <v>0</v>
      </c>
      <c r="DS136" s="182">
        <f t="shared" ca="1" si="130"/>
        <v>0</v>
      </c>
      <c r="DT136" s="182">
        <f t="shared" ca="1" si="131"/>
        <v>0</v>
      </c>
      <c r="DU136" s="182"/>
      <c r="DV136" s="182"/>
      <c r="DW136" s="182"/>
    </row>
    <row r="137" spans="109:127">
      <c r="DE137" s="159"/>
      <c r="DF137" s="159"/>
      <c r="DG137" s="159">
        <v>3</v>
      </c>
      <c r="DH137" s="159">
        <v>8</v>
      </c>
      <c r="DI137" s="123">
        <f t="shared" si="132"/>
        <v>5</v>
      </c>
      <c r="DJ137" s="36" t="str">
        <f ca="1">OFFSET(gr_header,DG137+DE120,1+DF120)</f>
        <v/>
      </c>
      <c r="DK137" s="36" t="str">
        <f ca="1">OFFSET(gr_header,DH137+DE120,1+DF120)</f>
        <v/>
      </c>
      <c r="DL137" s="123">
        <f ca="1">OFFSET(gr_header,DG137+DE120,2*DH137+DF120)</f>
        <v>0</v>
      </c>
      <c r="DM137" s="123">
        <f ca="1">OFFSET(gr_header,DG137+DE120,2*DH137+1+DF120)</f>
        <v>0</v>
      </c>
      <c r="DN137" s="34"/>
      <c r="DO137" s="183">
        <f t="shared" ref="DO137:DO200" ca="1" si="133">IF(DJ137="",0,TRIM(MID(DJ137,1,FIND(" ; ",DJ137)-1)))</f>
        <v>0</v>
      </c>
      <c r="DP137" s="183">
        <f t="shared" ref="DP137:DP200" ca="1" si="134">IF(DJ137="",0,TRIM(MID(DJ137,FIND(";",DJ137)+1,LEN(DJ137))))</f>
        <v>0</v>
      </c>
      <c r="DQ137" s="183">
        <f t="shared" ref="DQ137:DQ200" ca="1" si="135">IF(DK137="",0,TRIM(MID(DK137,1,FIND(" ; ",DK137)-1)))</f>
        <v>0</v>
      </c>
      <c r="DR137" s="183">
        <f t="shared" ref="DR137:DR200" ca="1" si="136">IF(DK137="",0,TRIM(MID(DK137,FIND(";",DK137)+1,LEN(DK137))))</f>
        <v>0</v>
      </c>
      <c r="DS137" s="182">
        <f t="shared" ca="1" si="130"/>
        <v>0</v>
      </c>
      <c r="DT137" s="182">
        <f t="shared" ca="1" si="131"/>
        <v>0</v>
      </c>
      <c r="DU137" s="182"/>
      <c r="DV137" s="182"/>
      <c r="DW137" s="182"/>
    </row>
    <row r="138" spans="109:127">
      <c r="DE138" s="159"/>
      <c r="DF138" s="159"/>
      <c r="DG138" s="159">
        <v>4</v>
      </c>
      <c r="DH138" s="159">
        <v>5</v>
      </c>
      <c r="DI138" s="123">
        <f t="shared" si="132"/>
        <v>5</v>
      </c>
      <c r="DJ138" s="36" t="str">
        <f ca="1">OFFSET(gr_header,DG138+DE120,1+DF120)</f>
        <v/>
      </c>
      <c r="DK138" s="36" t="str">
        <f ca="1">OFFSET(gr_header,DH138+DE120,1+DF120)</f>
        <v/>
      </c>
      <c r="DL138" s="123">
        <f ca="1">OFFSET(gr_header,DG138+DE120,2*DH138+DF120)</f>
        <v>0</v>
      </c>
      <c r="DM138" s="123">
        <f ca="1">OFFSET(gr_header,DG138+DE120,2*DH138+1+DF120)</f>
        <v>0</v>
      </c>
      <c r="DN138" s="34"/>
      <c r="DO138" s="183">
        <f t="shared" ca="1" si="133"/>
        <v>0</v>
      </c>
      <c r="DP138" s="183">
        <f t="shared" ca="1" si="134"/>
        <v>0</v>
      </c>
      <c r="DQ138" s="183">
        <f t="shared" ca="1" si="135"/>
        <v>0</v>
      </c>
      <c r="DR138" s="183">
        <f t="shared" ca="1" si="136"/>
        <v>0</v>
      </c>
      <c r="DS138" s="182">
        <f t="shared" ca="1" si="130"/>
        <v>0</v>
      </c>
      <c r="DT138" s="182">
        <f t="shared" ca="1" si="131"/>
        <v>0</v>
      </c>
      <c r="DU138" s="182"/>
      <c r="DV138" s="182"/>
      <c r="DW138" s="182"/>
    </row>
    <row r="139" spans="109:127">
      <c r="DE139" s="159"/>
      <c r="DF139" s="159"/>
      <c r="DG139" s="159">
        <v>4</v>
      </c>
      <c r="DH139" s="159">
        <v>6</v>
      </c>
      <c r="DI139" s="123">
        <f t="shared" si="132"/>
        <v>5</v>
      </c>
      <c r="DJ139" s="36" t="str">
        <f ca="1">OFFSET(gr_header,DG139+DE120,1+DF120)</f>
        <v/>
      </c>
      <c r="DK139" s="36" t="str">
        <f ca="1">OFFSET(gr_header,DH139+DE120,1+DF120)</f>
        <v/>
      </c>
      <c r="DL139" s="123">
        <f ca="1">OFFSET(gr_header,DG139+DE120,2*DH139+DF120)</f>
        <v>0</v>
      </c>
      <c r="DM139" s="123">
        <f ca="1">OFFSET(gr_header,DG139+DE120,2*DH139+1+DF120)</f>
        <v>0</v>
      </c>
      <c r="DN139" s="34"/>
      <c r="DO139" s="183">
        <f t="shared" ca="1" si="133"/>
        <v>0</v>
      </c>
      <c r="DP139" s="183">
        <f t="shared" ca="1" si="134"/>
        <v>0</v>
      </c>
      <c r="DQ139" s="183">
        <f t="shared" ca="1" si="135"/>
        <v>0</v>
      </c>
      <c r="DR139" s="183">
        <f t="shared" ca="1" si="136"/>
        <v>0</v>
      </c>
      <c r="DS139" s="182">
        <f t="shared" ca="1" si="130"/>
        <v>0</v>
      </c>
      <c r="DT139" s="182">
        <f t="shared" ca="1" si="131"/>
        <v>0</v>
      </c>
      <c r="DU139" s="182"/>
      <c r="DV139" s="182"/>
      <c r="DW139" s="182"/>
    </row>
    <row r="140" spans="109:127">
      <c r="DE140" s="159"/>
      <c r="DF140" s="159"/>
      <c r="DG140" s="159">
        <v>4</v>
      </c>
      <c r="DH140" s="159">
        <v>7</v>
      </c>
      <c r="DI140" s="123">
        <f t="shared" si="132"/>
        <v>5</v>
      </c>
      <c r="DJ140" s="36" t="str">
        <f ca="1">OFFSET(gr_header,DG140+DE120,1+DF120)</f>
        <v/>
      </c>
      <c r="DK140" s="36" t="str">
        <f ca="1">OFFSET(gr_header,DH140+DE120,1+DF120)</f>
        <v/>
      </c>
      <c r="DL140" s="123">
        <f ca="1">OFFSET(gr_header,DG140+DE120,2*DH140+DF120)</f>
        <v>0</v>
      </c>
      <c r="DM140" s="123">
        <f ca="1">OFFSET(gr_header,DG140+DE120,2*DH140+1+DF120)</f>
        <v>0</v>
      </c>
      <c r="DN140" s="34"/>
      <c r="DO140" s="183">
        <f t="shared" ca="1" si="133"/>
        <v>0</v>
      </c>
      <c r="DP140" s="183">
        <f t="shared" ca="1" si="134"/>
        <v>0</v>
      </c>
      <c r="DQ140" s="183">
        <f t="shared" ca="1" si="135"/>
        <v>0</v>
      </c>
      <c r="DR140" s="183">
        <f t="shared" ca="1" si="136"/>
        <v>0</v>
      </c>
      <c r="DS140" s="182">
        <f t="shared" ca="1" si="130"/>
        <v>0</v>
      </c>
      <c r="DT140" s="182">
        <f t="shared" ca="1" si="131"/>
        <v>0</v>
      </c>
      <c r="DU140" s="182"/>
      <c r="DV140" s="182"/>
      <c r="DW140" s="182"/>
    </row>
    <row r="141" spans="109:127">
      <c r="DE141" s="159"/>
      <c r="DF141" s="159"/>
      <c r="DG141" s="159">
        <v>4</v>
      </c>
      <c r="DH141" s="159">
        <v>8</v>
      </c>
      <c r="DI141" s="123">
        <f t="shared" si="132"/>
        <v>5</v>
      </c>
      <c r="DJ141" s="36" t="str">
        <f ca="1">OFFSET(gr_header,DG141+DE120,1+DF120)</f>
        <v/>
      </c>
      <c r="DK141" s="36" t="str">
        <f ca="1">OFFSET(gr_header,DH141+DE120,1+DF120)</f>
        <v/>
      </c>
      <c r="DL141" s="123">
        <f ca="1">OFFSET(gr_header,DG141+DE120,2*DH141+DF120)</f>
        <v>0</v>
      </c>
      <c r="DM141" s="123">
        <f ca="1">OFFSET(gr_header,DG141+DE120,2*DH141+1+DF120)</f>
        <v>0</v>
      </c>
      <c r="DN141" s="34"/>
      <c r="DO141" s="183">
        <f t="shared" ca="1" si="133"/>
        <v>0</v>
      </c>
      <c r="DP141" s="183">
        <f t="shared" ca="1" si="134"/>
        <v>0</v>
      </c>
      <c r="DQ141" s="183">
        <f t="shared" ca="1" si="135"/>
        <v>0</v>
      </c>
      <c r="DR141" s="183">
        <f t="shared" ca="1" si="136"/>
        <v>0</v>
      </c>
      <c r="DS141" s="182">
        <f t="shared" ca="1" si="130"/>
        <v>0</v>
      </c>
      <c r="DT141" s="182">
        <f t="shared" ca="1" si="131"/>
        <v>0</v>
      </c>
      <c r="DU141" s="182"/>
      <c r="DV141" s="182"/>
      <c r="DW141" s="182"/>
    </row>
    <row r="142" spans="109:127">
      <c r="DE142" s="159"/>
      <c r="DF142" s="159"/>
      <c r="DG142" s="159">
        <v>5</v>
      </c>
      <c r="DH142" s="159">
        <v>6</v>
      </c>
      <c r="DI142" s="123">
        <f t="shared" si="132"/>
        <v>5</v>
      </c>
      <c r="DJ142" s="36" t="str">
        <f ca="1">OFFSET(gr_header,DG142+DE120,1+DF120)</f>
        <v/>
      </c>
      <c r="DK142" s="36" t="str">
        <f ca="1">OFFSET(gr_header,DH142+DE120,1+DF120)</f>
        <v/>
      </c>
      <c r="DL142" s="123">
        <f ca="1">OFFSET(gr_header,DG142+DE120,2*DH142+DF120)</f>
        <v>0</v>
      </c>
      <c r="DM142" s="123">
        <f ca="1">OFFSET(gr_header,DG142+DE120,2*DH142+1+DF120)</f>
        <v>0</v>
      </c>
      <c r="DN142" s="34"/>
      <c r="DO142" s="183">
        <f t="shared" ca="1" si="133"/>
        <v>0</v>
      </c>
      <c r="DP142" s="183">
        <f t="shared" ca="1" si="134"/>
        <v>0</v>
      </c>
      <c r="DQ142" s="183">
        <f t="shared" ca="1" si="135"/>
        <v>0</v>
      </c>
      <c r="DR142" s="183">
        <f t="shared" ca="1" si="136"/>
        <v>0</v>
      </c>
      <c r="DS142" s="182">
        <f t="shared" ca="1" si="130"/>
        <v>0</v>
      </c>
      <c r="DT142" s="182">
        <f t="shared" ca="1" si="131"/>
        <v>0</v>
      </c>
      <c r="DU142" s="182"/>
      <c r="DV142" s="182"/>
      <c r="DW142" s="182"/>
    </row>
    <row r="143" spans="109:127">
      <c r="DE143" s="159"/>
      <c r="DF143" s="159"/>
      <c r="DG143" s="159">
        <v>5</v>
      </c>
      <c r="DH143" s="159">
        <v>7</v>
      </c>
      <c r="DI143" s="123">
        <f t="shared" si="132"/>
        <v>5</v>
      </c>
      <c r="DJ143" s="36" t="str">
        <f ca="1">OFFSET(gr_header,DG143+DE120,1+DF120)</f>
        <v/>
      </c>
      <c r="DK143" s="36" t="str">
        <f ca="1">OFFSET(gr_header,DH143+DE120,1+DF120)</f>
        <v/>
      </c>
      <c r="DL143" s="123">
        <f ca="1">OFFSET(gr_header,DG143+DE120,2*DH143+DF120)</f>
        <v>0</v>
      </c>
      <c r="DM143" s="123">
        <f ca="1">OFFSET(gr_header,DG143+DE120,2*DH143+1+DF120)</f>
        <v>0</v>
      </c>
      <c r="DN143" s="34"/>
      <c r="DO143" s="183">
        <f t="shared" ca="1" si="133"/>
        <v>0</v>
      </c>
      <c r="DP143" s="183">
        <f t="shared" ca="1" si="134"/>
        <v>0</v>
      </c>
      <c r="DQ143" s="183">
        <f t="shared" ca="1" si="135"/>
        <v>0</v>
      </c>
      <c r="DR143" s="183">
        <f t="shared" ca="1" si="136"/>
        <v>0</v>
      </c>
      <c r="DS143" s="182">
        <f t="shared" ca="1" si="130"/>
        <v>0</v>
      </c>
      <c r="DT143" s="182">
        <f t="shared" ca="1" si="131"/>
        <v>0</v>
      </c>
      <c r="DU143" s="182"/>
      <c r="DV143" s="182"/>
      <c r="DW143" s="182"/>
    </row>
    <row r="144" spans="109:127">
      <c r="DE144" s="159"/>
      <c r="DF144" s="159"/>
      <c r="DG144" s="159">
        <v>5</v>
      </c>
      <c r="DH144" s="159">
        <v>8</v>
      </c>
      <c r="DI144" s="123">
        <f t="shared" si="132"/>
        <v>5</v>
      </c>
      <c r="DJ144" s="36" t="str">
        <f ca="1">OFFSET(gr_header,DG144+DE120,1+DF120)</f>
        <v/>
      </c>
      <c r="DK144" s="36" t="str">
        <f ca="1">OFFSET(gr_header,DH144+DE120,1+DF120)</f>
        <v/>
      </c>
      <c r="DL144" s="123">
        <f ca="1">OFFSET(gr_header,DG144+DE120,2*DH144+DF120)</f>
        <v>0</v>
      </c>
      <c r="DM144" s="123">
        <f ca="1">OFFSET(gr_header,DG144+DE120,2*DH144+1+DF120)</f>
        <v>0</v>
      </c>
      <c r="DN144" s="34"/>
      <c r="DO144" s="183">
        <f t="shared" ca="1" si="133"/>
        <v>0</v>
      </c>
      <c r="DP144" s="183">
        <f t="shared" ca="1" si="134"/>
        <v>0</v>
      </c>
      <c r="DQ144" s="183">
        <f t="shared" ca="1" si="135"/>
        <v>0</v>
      </c>
      <c r="DR144" s="183">
        <f t="shared" ca="1" si="136"/>
        <v>0</v>
      </c>
      <c r="DS144" s="182">
        <f t="shared" ca="1" si="130"/>
        <v>0</v>
      </c>
      <c r="DT144" s="182">
        <f t="shared" ca="1" si="131"/>
        <v>0</v>
      </c>
      <c r="DU144" s="182"/>
      <c r="DV144" s="182"/>
      <c r="DW144" s="182"/>
    </row>
    <row r="145" spans="109:127">
      <c r="DE145" s="159"/>
      <c r="DF145" s="159"/>
      <c r="DG145" s="159">
        <v>6</v>
      </c>
      <c r="DH145" s="159">
        <v>7</v>
      </c>
      <c r="DI145" s="123">
        <f t="shared" si="132"/>
        <v>5</v>
      </c>
      <c r="DJ145" s="36" t="str">
        <f ca="1">OFFSET(gr_header,DG145+DE120,1+DF120)</f>
        <v/>
      </c>
      <c r="DK145" s="36" t="str">
        <f ca="1">OFFSET(gr_header,DH145+DE120,1+DF120)</f>
        <v/>
      </c>
      <c r="DL145" s="123">
        <f ca="1">OFFSET(gr_header,DG145+DE120,2*DH145+DF120)</f>
        <v>0</v>
      </c>
      <c r="DM145" s="123">
        <f ca="1">OFFSET(gr_header,DG145+DE120,2*DH145+1+DF120)</f>
        <v>0</v>
      </c>
      <c r="DN145" s="34"/>
      <c r="DO145" s="183">
        <f t="shared" ca="1" si="133"/>
        <v>0</v>
      </c>
      <c r="DP145" s="183">
        <f t="shared" ca="1" si="134"/>
        <v>0</v>
      </c>
      <c r="DQ145" s="183">
        <f t="shared" ca="1" si="135"/>
        <v>0</v>
      </c>
      <c r="DR145" s="183">
        <f t="shared" ca="1" si="136"/>
        <v>0</v>
      </c>
      <c r="DS145" s="182">
        <f t="shared" ca="1" si="130"/>
        <v>0</v>
      </c>
      <c r="DT145" s="182">
        <f t="shared" ca="1" si="131"/>
        <v>0</v>
      </c>
      <c r="DU145" s="182"/>
      <c r="DV145" s="182"/>
      <c r="DW145" s="182"/>
    </row>
    <row r="146" spans="109:127">
      <c r="DE146" s="159"/>
      <c r="DF146" s="159"/>
      <c r="DG146" s="159">
        <v>6</v>
      </c>
      <c r="DH146" s="159">
        <v>8</v>
      </c>
      <c r="DI146" s="123">
        <f t="shared" si="132"/>
        <v>5</v>
      </c>
      <c r="DJ146" s="36" t="str">
        <f ca="1">OFFSET(gr_header,DG146+DE120,1+DF120)</f>
        <v/>
      </c>
      <c r="DK146" s="36" t="str">
        <f ca="1">OFFSET(gr_header,DH146+DE120,1+DF120)</f>
        <v/>
      </c>
      <c r="DL146" s="123">
        <f ca="1">OFFSET(gr_header,DG146+DE120,2*DH146+DF120)</f>
        <v>0</v>
      </c>
      <c r="DM146" s="123">
        <f ca="1">OFFSET(gr_header,DG146+DE120,2*DH146+1+DF120)</f>
        <v>0</v>
      </c>
      <c r="DN146" s="34"/>
      <c r="DO146" s="183">
        <f t="shared" ca="1" si="133"/>
        <v>0</v>
      </c>
      <c r="DP146" s="183">
        <f t="shared" ca="1" si="134"/>
        <v>0</v>
      </c>
      <c r="DQ146" s="183">
        <f t="shared" ca="1" si="135"/>
        <v>0</v>
      </c>
      <c r="DR146" s="183">
        <f t="shared" ca="1" si="136"/>
        <v>0</v>
      </c>
      <c r="DS146" s="182">
        <f t="shared" ca="1" si="130"/>
        <v>0</v>
      </c>
      <c r="DT146" s="182">
        <f t="shared" ca="1" si="131"/>
        <v>0</v>
      </c>
      <c r="DU146" s="182"/>
      <c r="DV146" s="182"/>
      <c r="DW146" s="182"/>
    </row>
    <row r="147" spans="109:127">
      <c r="DE147" s="159"/>
      <c r="DF147" s="159"/>
      <c r="DG147" s="159">
        <v>7</v>
      </c>
      <c r="DH147" s="159">
        <v>8</v>
      </c>
      <c r="DI147" s="123">
        <f t="shared" si="132"/>
        <v>5</v>
      </c>
      <c r="DJ147" s="36" t="str">
        <f ca="1">OFFSET(gr_header,DG147+DE120,1+DF120)</f>
        <v/>
      </c>
      <c r="DK147" s="36" t="str">
        <f ca="1">OFFSET(gr_header,DH147+DE120,1+DF120)</f>
        <v/>
      </c>
      <c r="DL147" s="123">
        <f ca="1">OFFSET(gr_header,DG147+DE120,2*DH147+DF120)</f>
        <v>0</v>
      </c>
      <c r="DM147" s="123">
        <f ca="1">OFFSET(gr_header,DG147+DE147,2*DH147+1+DF147)</f>
        <v>0</v>
      </c>
      <c r="DN147" s="34"/>
      <c r="DO147" s="183">
        <f t="shared" ca="1" si="133"/>
        <v>0</v>
      </c>
      <c r="DP147" s="183">
        <f t="shared" ca="1" si="134"/>
        <v>0</v>
      </c>
      <c r="DQ147" s="183">
        <f t="shared" ca="1" si="135"/>
        <v>0</v>
      </c>
      <c r="DR147" s="183">
        <f t="shared" ca="1" si="136"/>
        <v>0</v>
      </c>
      <c r="DS147" s="182">
        <f t="shared" ca="1" si="130"/>
        <v>0</v>
      </c>
      <c r="DT147" s="182">
        <f t="shared" ca="1" si="131"/>
        <v>0</v>
      </c>
      <c r="DU147" s="182"/>
      <c r="DV147" s="182"/>
      <c r="DW147" s="182"/>
    </row>
    <row r="148" spans="109:127">
      <c r="DE148" s="123">
        <f>DE149*shift1</f>
        <v>20</v>
      </c>
      <c r="DF148" s="123">
        <f>DF149*shift2</f>
        <v>24</v>
      </c>
      <c r="DG148" s="123">
        <v>1</v>
      </c>
      <c r="DH148" s="123">
        <v>2</v>
      </c>
      <c r="DI148" s="147">
        <f>DI120+1</f>
        <v>6</v>
      </c>
      <c r="DJ148" s="36" t="str">
        <f ca="1">OFFSET(gr_header,DG148+DE148,1+DF148)</f>
        <v/>
      </c>
      <c r="DK148" s="36" t="str">
        <f ca="1">OFFSET(gr_header,DH148+DE148,1+DF148)</f>
        <v/>
      </c>
      <c r="DL148" s="123">
        <f ca="1">OFFSET(gr_header,DG148+DE148,2*DH148+DF148)</f>
        <v>0</v>
      </c>
      <c r="DM148" s="123">
        <f ca="1">OFFSET(gr_header,DG148+DE148,2*DH148+1+DF148)</f>
        <v>0</v>
      </c>
      <c r="DN148" s="34"/>
      <c r="DO148" s="183">
        <f t="shared" ca="1" si="133"/>
        <v>0</v>
      </c>
      <c r="DP148" s="183">
        <f t="shared" ca="1" si="134"/>
        <v>0</v>
      </c>
      <c r="DQ148" s="183">
        <f t="shared" ca="1" si="135"/>
        <v>0</v>
      </c>
      <c r="DR148" s="183">
        <f t="shared" ca="1" si="136"/>
        <v>0</v>
      </c>
      <c r="DS148" s="182">
        <f t="shared" ca="1" si="130"/>
        <v>0</v>
      </c>
      <c r="DT148" s="182">
        <f t="shared" ca="1" si="131"/>
        <v>0</v>
      </c>
      <c r="DU148" s="182"/>
      <c r="DV148" s="182"/>
      <c r="DW148" s="182"/>
    </row>
    <row r="149" spans="109:127">
      <c r="DE149" s="123">
        <f>INT((DI148-1)/2)</f>
        <v>2</v>
      </c>
      <c r="DF149" s="123">
        <f>1-(INT((DI148+1)/2)*2-DI148)</f>
        <v>1</v>
      </c>
      <c r="DG149" s="123">
        <v>1</v>
      </c>
      <c r="DH149" s="123">
        <v>3</v>
      </c>
      <c r="DI149" s="123">
        <f>DI148</f>
        <v>6</v>
      </c>
      <c r="DJ149" s="36" t="str">
        <f ca="1">OFFSET(gr_header,DG149+DE148,1+DF148)</f>
        <v/>
      </c>
      <c r="DK149" s="36" t="str">
        <f ca="1">OFFSET(gr_header,DH149+DE148,1+DF148)</f>
        <v/>
      </c>
      <c r="DL149" s="123">
        <f ca="1">OFFSET(gr_header,DG149+DE148,2*DH149+DF148)</f>
        <v>0</v>
      </c>
      <c r="DM149" s="123">
        <f ca="1">OFFSET(gr_header,DG149+DE148,2*DH149+1+DF148)</f>
        <v>0</v>
      </c>
      <c r="DN149" s="34"/>
      <c r="DO149" s="183">
        <f t="shared" ca="1" si="133"/>
        <v>0</v>
      </c>
      <c r="DP149" s="183">
        <f t="shared" ca="1" si="134"/>
        <v>0</v>
      </c>
      <c r="DQ149" s="183">
        <f t="shared" ca="1" si="135"/>
        <v>0</v>
      </c>
      <c r="DR149" s="183">
        <f t="shared" ca="1" si="136"/>
        <v>0</v>
      </c>
      <c r="DS149" s="182">
        <f t="shared" ca="1" si="130"/>
        <v>0</v>
      </c>
      <c r="DT149" s="182">
        <f t="shared" ca="1" si="131"/>
        <v>0</v>
      </c>
      <c r="DU149" s="182"/>
      <c r="DV149" s="182"/>
      <c r="DW149" s="182"/>
    </row>
    <row r="150" spans="109:127">
      <c r="DG150" s="123">
        <v>1</v>
      </c>
      <c r="DH150" s="123">
        <v>4</v>
      </c>
      <c r="DI150" s="123">
        <f t="shared" ref="DI150:DI175" si="137">DI149</f>
        <v>6</v>
      </c>
      <c r="DJ150" s="36" t="str">
        <f ca="1">OFFSET(gr_header,DG150+DE148,1+DF148)</f>
        <v/>
      </c>
      <c r="DK150" s="36" t="str">
        <f ca="1">OFFSET(gr_header,DH150+DE148,1+DF148)</f>
        <v/>
      </c>
      <c r="DL150" s="123">
        <f ca="1">OFFSET(gr_header,DG150+DE148,2*DH150+DF148)</f>
        <v>0</v>
      </c>
      <c r="DM150" s="123">
        <f ca="1">OFFSET(gr_header,DG150+DE148,2*DH150+1+DF148)</f>
        <v>0</v>
      </c>
      <c r="DN150" s="34"/>
      <c r="DO150" s="183">
        <f t="shared" ca="1" si="133"/>
        <v>0</v>
      </c>
      <c r="DP150" s="183">
        <f t="shared" ca="1" si="134"/>
        <v>0</v>
      </c>
      <c r="DQ150" s="183">
        <f t="shared" ca="1" si="135"/>
        <v>0</v>
      </c>
      <c r="DR150" s="183">
        <f t="shared" ca="1" si="136"/>
        <v>0</v>
      </c>
      <c r="DS150" s="182">
        <f t="shared" ca="1" si="130"/>
        <v>0</v>
      </c>
      <c r="DT150" s="182">
        <f t="shared" ca="1" si="131"/>
        <v>0</v>
      </c>
      <c r="DU150" s="182"/>
      <c r="DV150" s="182"/>
      <c r="DW150" s="182"/>
    </row>
    <row r="151" spans="109:127">
      <c r="DG151" s="123">
        <v>1</v>
      </c>
      <c r="DH151" s="123">
        <v>5</v>
      </c>
      <c r="DI151" s="123">
        <f t="shared" si="137"/>
        <v>6</v>
      </c>
      <c r="DJ151" s="36" t="str">
        <f ca="1">OFFSET(gr_header,DG151+DE148,1+DF148)</f>
        <v/>
      </c>
      <c r="DK151" s="36" t="str">
        <f ca="1">OFFSET(gr_header,DH151+DE148,1+DF148)</f>
        <v/>
      </c>
      <c r="DL151" s="123">
        <f ca="1">OFFSET(gr_header,DG151+DE148,2*DH151+DF148)</f>
        <v>0</v>
      </c>
      <c r="DM151" s="123">
        <f ca="1">OFFSET(gr_header,DG151+DE148,2*DH151+1+DF148)</f>
        <v>0</v>
      </c>
      <c r="DN151" s="34"/>
      <c r="DO151" s="183">
        <f t="shared" ca="1" si="133"/>
        <v>0</v>
      </c>
      <c r="DP151" s="183">
        <f t="shared" ca="1" si="134"/>
        <v>0</v>
      </c>
      <c r="DQ151" s="183">
        <f t="shared" ca="1" si="135"/>
        <v>0</v>
      </c>
      <c r="DR151" s="183">
        <f t="shared" ca="1" si="136"/>
        <v>0</v>
      </c>
      <c r="DS151" s="182">
        <f t="shared" ca="1" si="130"/>
        <v>0</v>
      </c>
      <c r="DT151" s="182">
        <f t="shared" ca="1" si="131"/>
        <v>0</v>
      </c>
      <c r="DU151" s="182"/>
      <c r="DV151" s="182"/>
      <c r="DW151" s="182"/>
    </row>
    <row r="152" spans="109:127">
      <c r="DG152" s="123">
        <v>1</v>
      </c>
      <c r="DH152" s="123">
        <v>6</v>
      </c>
      <c r="DI152" s="123">
        <f t="shared" si="137"/>
        <v>6</v>
      </c>
      <c r="DJ152" s="36" t="str">
        <f ca="1">OFFSET(gr_header,DG152+DE148,1+DF148)</f>
        <v/>
      </c>
      <c r="DK152" s="36" t="str">
        <f ca="1">OFFSET(gr_header,DH152+DE148,1+DF148)</f>
        <v/>
      </c>
      <c r="DL152" s="123">
        <f ca="1">OFFSET(gr_header,DG152+DE148,2*DH152+DF148)</f>
        <v>0</v>
      </c>
      <c r="DM152" s="123">
        <f ca="1">OFFSET(gr_header,DG152+DE148,2*DH152+1+DF148)</f>
        <v>0</v>
      </c>
      <c r="DN152" s="34"/>
      <c r="DO152" s="183">
        <f t="shared" ca="1" si="133"/>
        <v>0</v>
      </c>
      <c r="DP152" s="183">
        <f t="shared" ca="1" si="134"/>
        <v>0</v>
      </c>
      <c r="DQ152" s="183">
        <f t="shared" ca="1" si="135"/>
        <v>0</v>
      </c>
      <c r="DR152" s="183">
        <f t="shared" ca="1" si="136"/>
        <v>0</v>
      </c>
      <c r="DS152" s="182">
        <f t="shared" ca="1" si="130"/>
        <v>0</v>
      </c>
      <c r="DT152" s="182">
        <f t="shared" ca="1" si="131"/>
        <v>0</v>
      </c>
      <c r="DU152" s="182"/>
      <c r="DV152" s="182"/>
      <c r="DW152" s="182"/>
    </row>
    <row r="153" spans="109:127">
      <c r="DG153" s="123">
        <v>1</v>
      </c>
      <c r="DH153" s="123">
        <v>7</v>
      </c>
      <c r="DI153" s="123">
        <f t="shared" si="137"/>
        <v>6</v>
      </c>
      <c r="DJ153" s="36" t="str">
        <f ca="1">OFFSET(gr_header,DG153+DE148,1+DF148)</f>
        <v/>
      </c>
      <c r="DK153" s="36" t="str">
        <f ca="1">OFFSET(gr_header,DH153+DE148,1+DF148)</f>
        <v/>
      </c>
      <c r="DL153" s="123">
        <f ca="1">OFFSET(gr_header,DG153+DE148,2*DH153+DF148)</f>
        <v>0</v>
      </c>
      <c r="DM153" s="123">
        <f ca="1">OFFSET(gr_header,DG153+DE148,2*DH153+1+DF148)</f>
        <v>0</v>
      </c>
      <c r="DN153" s="34"/>
      <c r="DO153" s="183">
        <f t="shared" ca="1" si="133"/>
        <v>0</v>
      </c>
      <c r="DP153" s="183">
        <f t="shared" ca="1" si="134"/>
        <v>0</v>
      </c>
      <c r="DQ153" s="183">
        <f t="shared" ca="1" si="135"/>
        <v>0</v>
      </c>
      <c r="DR153" s="183">
        <f t="shared" ca="1" si="136"/>
        <v>0</v>
      </c>
      <c r="DS153" s="182">
        <f t="shared" ca="1" si="130"/>
        <v>0</v>
      </c>
      <c r="DT153" s="182">
        <f t="shared" ca="1" si="131"/>
        <v>0</v>
      </c>
      <c r="DU153" s="182"/>
      <c r="DV153" s="182"/>
      <c r="DW153" s="182"/>
    </row>
    <row r="154" spans="109:127">
      <c r="DE154" s="159"/>
      <c r="DF154" s="159"/>
      <c r="DG154" s="159">
        <v>1</v>
      </c>
      <c r="DH154" s="123">
        <v>8</v>
      </c>
      <c r="DI154" s="123">
        <f t="shared" si="137"/>
        <v>6</v>
      </c>
      <c r="DJ154" s="36" t="str">
        <f ca="1">OFFSET(gr_header,DG154+DE148,1+DF148)</f>
        <v/>
      </c>
      <c r="DK154" s="36" t="str">
        <f ca="1">OFFSET(gr_header,DH154+DE148,1+DF148)</f>
        <v/>
      </c>
      <c r="DL154" s="123">
        <f ca="1">OFFSET(gr_header,DG154+DE148,2*DH154+DF148)</f>
        <v>0</v>
      </c>
      <c r="DM154" s="123">
        <f ca="1">OFFSET(gr_header,DG154+DE148,2*DH154+1+DF148)</f>
        <v>0</v>
      </c>
      <c r="DN154" s="34"/>
      <c r="DO154" s="183">
        <f t="shared" ca="1" si="133"/>
        <v>0</v>
      </c>
      <c r="DP154" s="183">
        <f t="shared" ca="1" si="134"/>
        <v>0</v>
      </c>
      <c r="DQ154" s="183">
        <f t="shared" ca="1" si="135"/>
        <v>0</v>
      </c>
      <c r="DR154" s="183">
        <f t="shared" ca="1" si="136"/>
        <v>0</v>
      </c>
      <c r="DS154" s="182">
        <f t="shared" ca="1" si="130"/>
        <v>0</v>
      </c>
      <c r="DT154" s="182">
        <f t="shared" ca="1" si="131"/>
        <v>0</v>
      </c>
      <c r="DU154" s="182"/>
      <c r="DV154" s="182"/>
      <c r="DW154" s="182"/>
    </row>
    <row r="155" spans="109:127">
      <c r="DE155" s="159"/>
      <c r="DF155" s="159"/>
      <c r="DG155" s="159">
        <v>2</v>
      </c>
      <c r="DH155" s="159">
        <v>3</v>
      </c>
      <c r="DI155" s="123">
        <f t="shared" si="137"/>
        <v>6</v>
      </c>
      <c r="DJ155" s="36" t="str">
        <f ca="1">OFFSET(gr_header,DG155+DE148,1+DF148)</f>
        <v/>
      </c>
      <c r="DK155" s="36" t="str">
        <f ca="1">OFFSET(gr_header,DH155+DE148,1+DF148)</f>
        <v/>
      </c>
      <c r="DL155" s="123">
        <f ca="1">OFFSET(gr_header,DG155+DE148,2*DH155+DF148)</f>
        <v>0</v>
      </c>
      <c r="DM155" s="123">
        <f ca="1">OFFSET(gr_header,DG155+DE148,2*DH155+1+DF148)</f>
        <v>0</v>
      </c>
      <c r="DN155" s="34"/>
      <c r="DO155" s="183">
        <f t="shared" ca="1" si="133"/>
        <v>0</v>
      </c>
      <c r="DP155" s="183">
        <f t="shared" ca="1" si="134"/>
        <v>0</v>
      </c>
      <c r="DQ155" s="183">
        <f t="shared" ca="1" si="135"/>
        <v>0</v>
      </c>
      <c r="DR155" s="183">
        <f t="shared" ca="1" si="136"/>
        <v>0</v>
      </c>
      <c r="DS155" s="182">
        <f t="shared" ca="1" si="130"/>
        <v>0</v>
      </c>
      <c r="DT155" s="182">
        <f t="shared" ca="1" si="131"/>
        <v>0</v>
      </c>
      <c r="DU155" s="182"/>
      <c r="DV155" s="182"/>
      <c r="DW155" s="182"/>
    </row>
    <row r="156" spans="109:127">
      <c r="DE156" s="159"/>
      <c r="DF156" s="159"/>
      <c r="DG156" s="159">
        <v>2</v>
      </c>
      <c r="DH156" s="159">
        <v>4</v>
      </c>
      <c r="DI156" s="123">
        <f t="shared" si="137"/>
        <v>6</v>
      </c>
      <c r="DJ156" s="36" t="str">
        <f ca="1">OFFSET(gr_header,DG156+DE148,1+DF148)</f>
        <v/>
      </c>
      <c r="DK156" s="36" t="str">
        <f ca="1">OFFSET(gr_header,DH156+DE148,1+DF148)</f>
        <v/>
      </c>
      <c r="DL156" s="123">
        <f ca="1">OFFSET(gr_header,DG156+DE148,2*DH156+DF148)</f>
        <v>0</v>
      </c>
      <c r="DM156" s="123">
        <f ca="1">OFFSET(gr_header,DG156+DE148,2*DH156+1+DF148)</f>
        <v>0</v>
      </c>
      <c r="DN156" s="34"/>
      <c r="DO156" s="183">
        <f t="shared" ca="1" si="133"/>
        <v>0</v>
      </c>
      <c r="DP156" s="183">
        <f t="shared" ca="1" si="134"/>
        <v>0</v>
      </c>
      <c r="DQ156" s="183">
        <f t="shared" ca="1" si="135"/>
        <v>0</v>
      </c>
      <c r="DR156" s="183">
        <f t="shared" ca="1" si="136"/>
        <v>0</v>
      </c>
      <c r="DS156" s="182">
        <f t="shared" ca="1" si="130"/>
        <v>0</v>
      </c>
      <c r="DT156" s="182">
        <f t="shared" ca="1" si="131"/>
        <v>0</v>
      </c>
      <c r="DU156" s="182"/>
      <c r="DV156" s="182"/>
      <c r="DW156" s="182"/>
    </row>
    <row r="157" spans="109:127">
      <c r="DE157" s="159"/>
      <c r="DF157" s="159"/>
      <c r="DG157" s="159">
        <v>2</v>
      </c>
      <c r="DH157" s="159">
        <v>5</v>
      </c>
      <c r="DI157" s="123">
        <f t="shared" si="137"/>
        <v>6</v>
      </c>
      <c r="DJ157" s="36" t="str">
        <f ca="1">OFFSET(gr_header,DG157+DE148,1+DF148)</f>
        <v/>
      </c>
      <c r="DK157" s="36" t="str">
        <f ca="1">OFFSET(gr_header,DH157+DE148,1+DF148)</f>
        <v/>
      </c>
      <c r="DL157" s="123">
        <f ca="1">OFFSET(gr_header,DG157+DE148,2*DH157+DF148)</f>
        <v>0</v>
      </c>
      <c r="DM157" s="123">
        <f ca="1">OFFSET(gr_header,DG157+DE148,2*DH157+1+DF148)</f>
        <v>0</v>
      </c>
      <c r="DN157" s="34"/>
      <c r="DO157" s="183">
        <f t="shared" ca="1" si="133"/>
        <v>0</v>
      </c>
      <c r="DP157" s="183">
        <f t="shared" ca="1" si="134"/>
        <v>0</v>
      </c>
      <c r="DQ157" s="183">
        <f t="shared" ca="1" si="135"/>
        <v>0</v>
      </c>
      <c r="DR157" s="183">
        <f t="shared" ca="1" si="136"/>
        <v>0</v>
      </c>
      <c r="DS157" s="182">
        <f t="shared" ca="1" si="130"/>
        <v>0</v>
      </c>
      <c r="DT157" s="182">
        <f t="shared" ca="1" si="131"/>
        <v>0</v>
      </c>
      <c r="DU157" s="182"/>
      <c r="DV157" s="182"/>
      <c r="DW157" s="182"/>
    </row>
    <row r="158" spans="109:127">
      <c r="DE158" s="159"/>
      <c r="DF158" s="159"/>
      <c r="DG158" s="159">
        <v>2</v>
      </c>
      <c r="DH158" s="159">
        <v>6</v>
      </c>
      <c r="DI158" s="123">
        <f t="shared" si="137"/>
        <v>6</v>
      </c>
      <c r="DJ158" s="36" t="str">
        <f ca="1">OFFSET(gr_header,DG158+DE148,1+DF148)</f>
        <v/>
      </c>
      <c r="DK158" s="36" t="str">
        <f ca="1">OFFSET(gr_header,DH158+DE148,1+DF148)</f>
        <v/>
      </c>
      <c r="DL158" s="123">
        <f ca="1">OFFSET(gr_header,DG158+DE148,2*DH158+DF148)</f>
        <v>0</v>
      </c>
      <c r="DM158" s="123">
        <f ca="1">OFFSET(gr_header,DG158+DE148,2*DH158+1+DF148)</f>
        <v>0</v>
      </c>
      <c r="DN158" s="34"/>
      <c r="DO158" s="183">
        <f t="shared" ca="1" si="133"/>
        <v>0</v>
      </c>
      <c r="DP158" s="183">
        <f t="shared" ca="1" si="134"/>
        <v>0</v>
      </c>
      <c r="DQ158" s="183">
        <f t="shared" ca="1" si="135"/>
        <v>0</v>
      </c>
      <c r="DR158" s="183">
        <f t="shared" ca="1" si="136"/>
        <v>0</v>
      </c>
      <c r="DS158" s="182">
        <f t="shared" ca="1" si="130"/>
        <v>0</v>
      </c>
      <c r="DT158" s="182">
        <f t="shared" ca="1" si="131"/>
        <v>0</v>
      </c>
      <c r="DU158" s="182"/>
      <c r="DV158" s="182"/>
      <c r="DW158" s="182"/>
    </row>
    <row r="159" spans="109:127">
      <c r="DE159" s="159"/>
      <c r="DF159" s="159"/>
      <c r="DG159" s="159">
        <v>2</v>
      </c>
      <c r="DH159" s="159">
        <v>7</v>
      </c>
      <c r="DI159" s="123">
        <f t="shared" si="137"/>
        <v>6</v>
      </c>
      <c r="DJ159" s="36" t="str">
        <f ca="1">OFFSET(gr_header,DG159+DE148,1+DF148)</f>
        <v/>
      </c>
      <c r="DK159" s="36" t="str">
        <f ca="1">OFFSET(gr_header,DH159+DE148,1+DF148)</f>
        <v/>
      </c>
      <c r="DL159" s="123">
        <f ca="1">OFFSET(gr_header,DG159+DE148,2*DH159+DF148)</f>
        <v>0</v>
      </c>
      <c r="DM159" s="123">
        <f ca="1">OFFSET(gr_header,DG159+DE148,2*DH159+1+DF148)</f>
        <v>0</v>
      </c>
      <c r="DN159" s="34"/>
      <c r="DO159" s="183">
        <f t="shared" ca="1" si="133"/>
        <v>0</v>
      </c>
      <c r="DP159" s="183">
        <f t="shared" ca="1" si="134"/>
        <v>0</v>
      </c>
      <c r="DQ159" s="183">
        <f t="shared" ca="1" si="135"/>
        <v>0</v>
      </c>
      <c r="DR159" s="183">
        <f t="shared" ca="1" si="136"/>
        <v>0</v>
      </c>
      <c r="DS159" s="182">
        <f t="shared" ca="1" si="130"/>
        <v>0</v>
      </c>
      <c r="DT159" s="182">
        <f t="shared" ca="1" si="131"/>
        <v>0</v>
      </c>
      <c r="DU159" s="182"/>
      <c r="DV159" s="182"/>
      <c r="DW159" s="182"/>
    </row>
    <row r="160" spans="109:127">
      <c r="DE160" s="159"/>
      <c r="DF160" s="159"/>
      <c r="DG160" s="159">
        <v>2</v>
      </c>
      <c r="DH160" s="159">
        <v>8</v>
      </c>
      <c r="DI160" s="123">
        <f t="shared" si="137"/>
        <v>6</v>
      </c>
      <c r="DJ160" s="36" t="str">
        <f ca="1">OFFSET(gr_header,DG160+DE148,1+DF148)</f>
        <v/>
      </c>
      <c r="DK160" s="36" t="str">
        <f ca="1">OFFSET(gr_header,DH160+DE148,1+DF148)</f>
        <v/>
      </c>
      <c r="DL160" s="123">
        <f ca="1">OFFSET(gr_header,DG160+DE148,2*DH160+DF148)</f>
        <v>0</v>
      </c>
      <c r="DM160" s="123">
        <f ca="1">OFFSET(gr_header,DG160+DE148,2*DH160+1+DF148)</f>
        <v>0</v>
      </c>
      <c r="DN160" s="34"/>
      <c r="DO160" s="183">
        <f t="shared" ca="1" si="133"/>
        <v>0</v>
      </c>
      <c r="DP160" s="183">
        <f t="shared" ca="1" si="134"/>
        <v>0</v>
      </c>
      <c r="DQ160" s="183">
        <f t="shared" ca="1" si="135"/>
        <v>0</v>
      </c>
      <c r="DR160" s="183">
        <f t="shared" ca="1" si="136"/>
        <v>0</v>
      </c>
      <c r="DS160" s="182">
        <f t="shared" ca="1" si="130"/>
        <v>0</v>
      </c>
      <c r="DT160" s="182">
        <f t="shared" ca="1" si="131"/>
        <v>0</v>
      </c>
      <c r="DU160" s="182"/>
      <c r="DV160" s="182"/>
      <c r="DW160" s="182"/>
    </row>
    <row r="161" spans="109:127">
      <c r="DE161" s="159"/>
      <c r="DF161" s="159"/>
      <c r="DG161" s="159">
        <v>3</v>
      </c>
      <c r="DH161" s="159">
        <v>4</v>
      </c>
      <c r="DI161" s="123">
        <f t="shared" si="137"/>
        <v>6</v>
      </c>
      <c r="DJ161" s="36" t="str">
        <f ca="1">OFFSET(gr_header,DG161+DE148,1+DF148)</f>
        <v/>
      </c>
      <c r="DK161" s="36" t="str">
        <f ca="1">OFFSET(gr_header,DH161+DE148,1+DF148)</f>
        <v/>
      </c>
      <c r="DL161" s="123">
        <f ca="1">OFFSET(gr_header,DG161+DE148,2*DH161+DF148)</f>
        <v>0</v>
      </c>
      <c r="DM161" s="123">
        <f ca="1">OFFSET(gr_header,DG161+DE148,2*DH161+1+DF148)</f>
        <v>0</v>
      </c>
      <c r="DN161" s="34"/>
      <c r="DO161" s="183">
        <f t="shared" ca="1" si="133"/>
        <v>0</v>
      </c>
      <c r="DP161" s="183">
        <f t="shared" ca="1" si="134"/>
        <v>0</v>
      </c>
      <c r="DQ161" s="183">
        <f t="shared" ca="1" si="135"/>
        <v>0</v>
      </c>
      <c r="DR161" s="183">
        <f t="shared" ca="1" si="136"/>
        <v>0</v>
      </c>
      <c r="DS161" s="182">
        <f t="shared" ca="1" si="130"/>
        <v>0</v>
      </c>
      <c r="DT161" s="182">
        <f t="shared" ca="1" si="131"/>
        <v>0</v>
      </c>
      <c r="DU161" s="182"/>
      <c r="DV161" s="182"/>
      <c r="DW161" s="182"/>
    </row>
    <row r="162" spans="109:127">
      <c r="DE162" s="159"/>
      <c r="DF162" s="159"/>
      <c r="DG162" s="159">
        <v>3</v>
      </c>
      <c r="DH162" s="159">
        <v>5</v>
      </c>
      <c r="DI162" s="123">
        <f t="shared" si="137"/>
        <v>6</v>
      </c>
      <c r="DJ162" s="36" t="str">
        <f ca="1">OFFSET(gr_header,DG162+DE148,1+DF148)</f>
        <v/>
      </c>
      <c r="DK162" s="36" t="str">
        <f ca="1">OFFSET(gr_header,DH162+DE148,1+DF148)</f>
        <v/>
      </c>
      <c r="DL162" s="123">
        <f ca="1">OFFSET(gr_header,DG162+DE148,2*DH162+DF148)</f>
        <v>0</v>
      </c>
      <c r="DM162" s="123">
        <f ca="1">OFFSET(gr_header,DG162+DE148,2*DH162+1+DF148)</f>
        <v>0</v>
      </c>
      <c r="DN162" s="34"/>
      <c r="DO162" s="183">
        <f t="shared" ca="1" si="133"/>
        <v>0</v>
      </c>
      <c r="DP162" s="183">
        <f t="shared" ca="1" si="134"/>
        <v>0</v>
      </c>
      <c r="DQ162" s="183">
        <f t="shared" ca="1" si="135"/>
        <v>0</v>
      </c>
      <c r="DR162" s="183">
        <f t="shared" ca="1" si="136"/>
        <v>0</v>
      </c>
      <c r="DS162" s="182">
        <f t="shared" ca="1" si="130"/>
        <v>0</v>
      </c>
      <c r="DT162" s="182">
        <f t="shared" ca="1" si="131"/>
        <v>0</v>
      </c>
      <c r="DU162" s="182"/>
      <c r="DV162" s="182"/>
      <c r="DW162" s="182"/>
    </row>
    <row r="163" spans="109:127">
      <c r="DE163" s="159"/>
      <c r="DF163" s="159"/>
      <c r="DG163" s="159">
        <v>3</v>
      </c>
      <c r="DH163" s="159">
        <v>6</v>
      </c>
      <c r="DI163" s="123">
        <f t="shared" si="137"/>
        <v>6</v>
      </c>
      <c r="DJ163" s="36" t="str">
        <f ca="1">OFFSET(gr_header,DG163+DE148,1+DF148)</f>
        <v/>
      </c>
      <c r="DK163" s="36" t="str">
        <f ca="1">OFFSET(gr_header,DH163+DE148,1+DF148)</f>
        <v/>
      </c>
      <c r="DL163" s="123">
        <f ca="1">OFFSET(gr_header,DG163+DE148,2*DH163+DF148)</f>
        <v>0</v>
      </c>
      <c r="DM163" s="123">
        <f ca="1">OFFSET(gr_header,DG163+DE148,2*DH163+1+DF148)</f>
        <v>0</v>
      </c>
      <c r="DN163" s="34"/>
      <c r="DO163" s="183">
        <f t="shared" ca="1" si="133"/>
        <v>0</v>
      </c>
      <c r="DP163" s="183">
        <f t="shared" ca="1" si="134"/>
        <v>0</v>
      </c>
      <c r="DQ163" s="183">
        <f t="shared" ca="1" si="135"/>
        <v>0</v>
      </c>
      <c r="DR163" s="183">
        <f t="shared" ca="1" si="136"/>
        <v>0</v>
      </c>
      <c r="DS163" s="182">
        <f t="shared" ca="1" si="130"/>
        <v>0</v>
      </c>
      <c r="DT163" s="182">
        <f t="shared" ca="1" si="131"/>
        <v>0</v>
      </c>
      <c r="DU163" s="182"/>
      <c r="DV163" s="182"/>
      <c r="DW163" s="182"/>
    </row>
    <row r="164" spans="109:127">
      <c r="DE164" s="159"/>
      <c r="DF164" s="159"/>
      <c r="DG164" s="159">
        <v>3</v>
      </c>
      <c r="DH164" s="159">
        <v>7</v>
      </c>
      <c r="DI164" s="123">
        <f t="shared" si="137"/>
        <v>6</v>
      </c>
      <c r="DJ164" s="36" t="str">
        <f ca="1">OFFSET(gr_header,DG164+DE148,1+DF148)</f>
        <v/>
      </c>
      <c r="DK164" s="36" t="str">
        <f ca="1">OFFSET(gr_header,DH164+DE148,1+DF148)</f>
        <v/>
      </c>
      <c r="DL164" s="123">
        <f ca="1">OFFSET(gr_header,DG164+DE148,2*DH164+DF148)</f>
        <v>0</v>
      </c>
      <c r="DM164" s="123">
        <f ca="1">OFFSET(gr_header,DG164+DE148,2*DH164+1+DF148)</f>
        <v>0</v>
      </c>
      <c r="DN164" s="34"/>
      <c r="DO164" s="183">
        <f t="shared" ca="1" si="133"/>
        <v>0</v>
      </c>
      <c r="DP164" s="183">
        <f t="shared" ca="1" si="134"/>
        <v>0</v>
      </c>
      <c r="DQ164" s="183">
        <f t="shared" ca="1" si="135"/>
        <v>0</v>
      </c>
      <c r="DR164" s="183">
        <f t="shared" ca="1" si="136"/>
        <v>0</v>
      </c>
      <c r="DS164" s="182">
        <f t="shared" ca="1" si="130"/>
        <v>0</v>
      </c>
      <c r="DT164" s="182">
        <f t="shared" ca="1" si="131"/>
        <v>0</v>
      </c>
      <c r="DU164" s="182"/>
      <c r="DV164" s="182"/>
      <c r="DW164" s="182"/>
    </row>
    <row r="165" spans="109:127">
      <c r="DE165" s="159"/>
      <c r="DF165" s="159"/>
      <c r="DG165" s="159">
        <v>3</v>
      </c>
      <c r="DH165" s="159">
        <v>8</v>
      </c>
      <c r="DI165" s="123">
        <f t="shared" si="137"/>
        <v>6</v>
      </c>
      <c r="DJ165" s="36" t="str">
        <f ca="1">OFFSET(gr_header,DG165+DE148,1+DF148)</f>
        <v/>
      </c>
      <c r="DK165" s="36" t="str">
        <f ca="1">OFFSET(gr_header,DH165+DE148,1+DF148)</f>
        <v/>
      </c>
      <c r="DL165" s="123">
        <f ca="1">OFFSET(gr_header,DG165+DE148,2*DH165+DF148)</f>
        <v>0</v>
      </c>
      <c r="DM165" s="123">
        <f ca="1">OFFSET(gr_header,DG165+DE148,2*DH165+1+DF148)</f>
        <v>0</v>
      </c>
      <c r="DN165" s="34"/>
      <c r="DO165" s="183">
        <f t="shared" ca="1" si="133"/>
        <v>0</v>
      </c>
      <c r="DP165" s="183">
        <f t="shared" ca="1" si="134"/>
        <v>0</v>
      </c>
      <c r="DQ165" s="183">
        <f t="shared" ca="1" si="135"/>
        <v>0</v>
      </c>
      <c r="DR165" s="183">
        <f t="shared" ca="1" si="136"/>
        <v>0</v>
      </c>
      <c r="DS165" s="182">
        <f t="shared" ca="1" si="130"/>
        <v>0</v>
      </c>
      <c r="DT165" s="182">
        <f t="shared" ca="1" si="131"/>
        <v>0</v>
      </c>
      <c r="DU165" s="182"/>
      <c r="DV165" s="182"/>
      <c r="DW165" s="182"/>
    </row>
    <row r="166" spans="109:127">
      <c r="DE166" s="159"/>
      <c r="DF166" s="159"/>
      <c r="DG166" s="159">
        <v>4</v>
      </c>
      <c r="DH166" s="159">
        <v>5</v>
      </c>
      <c r="DI166" s="123">
        <f t="shared" si="137"/>
        <v>6</v>
      </c>
      <c r="DJ166" s="36" t="str">
        <f ca="1">OFFSET(gr_header,DG166+DE148,1+DF148)</f>
        <v/>
      </c>
      <c r="DK166" s="36" t="str">
        <f ca="1">OFFSET(gr_header,DH166+DE148,1+DF148)</f>
        <v/>
      </c>
      <c r="DL166" s="123">
        <f ca="1">OFFSET(gr_header,DG166+DE148,2*DH166+DF148)</f>
        <v>0</v>
      </c>
      <c r="DM166" s="123">
        <f ca="1">OFFSET(gr_header,DG166+DE148,2*DH166+1+DF148)</f>
        <v>0</v>
      </c>
      <c r="DN166" s="34"/>
      <c r="DO166" s="183">
        <f t="shared" ca="1" si="133"/>
        <v>0</v>
      </c>
      <c r="DP166" s="183">
        <f t="shared" ca="1" si="134"/>
        <v>0</v>
      </c>
      <c r="DQ166" s="183">
        <f t="shared" ca="1" si="135"/>
        <v>0</v>
      </c>
      <c r="DR166" s="183">
        <f t="shared" ca="1" si="136"/>
        <v>0</v>
      </c>
      <c r="DS166" s="182">
        <f t="shared" ca="1" si="130"/>
        <v>0</v>
      </c>
      <c r="DT166" s="182">
        <f t="shared" ca="1" si="131"/>
        <v>0</v>
      </c>
      <c r="DU166" s="182"/>
      <c r="DV166" s="182"/>
      <c r="DW166" s="182"/>
    </row>
    <row r="167" spans="109:127">
      <c r="DE167" s="159"/>
      <c r="DF167" s="159"/>
      <c r="DG167" s="159">
        <v>4</v>
      </c>
      <c r="DH167" s="159">
        <v>6</v>
      </c>
      <c r="DI167" s="123">
        <f t="shared" si="137"/>
        <v>6</v>
      </c>
      <c r="DJ167" s="36" t="str">
        <f ca="1">OFFSET(gr_header,DG167+DE148,1+DF148)</f>
        <v/>
      </c>
      <c r="DK167" s="36" t="str">
        <f ca="1">OFFSET(gr_header,DH167+DE148,1+DF148)</f>
        <v/>
      </c>
      <c r="DL167" s="123">
        <f ca="1">OFFSET(gr_header,DG167+DE148,2*DH167+DF148)</f>
        <v>0</v>
      </c>
      <c r="DM167" s="123">
        <f ca="1">OFFSET(gr_header,DG167+DE148,2*DH167+1+DF148)</f>
        <v>0</v>
      </c>
      <c r="DN167" s="34"/>
      <c r="DO167" s="183">
        <f t="shared" ca="1" si="133"/>
        <v>0</v>
      </c>
      <c r="DP167" s="183">
        <f t="shared" ca="1" si="134"/>
        <v>0</v>
      </c>
      <c r="DQ167" s="183">
        <f t="shared" ca="1" si="135"/>
        <v>0</v>
      </c>
      <c r="DR167" s="183">
        <f t="shared" ca="1" si="136"/>
        <v>0</v>
      </c>
      <c r="DS167" s="182">
        <f t="shared" ca="1" si="130"/>
        <v>0</v>
      </c>
      <c r="DT167" s="182">
        <f t="shared" ca="1" si="131"/>
        <v>0</v>
      </c>
      <c r="DU167" s="182"/>
      <c r="DV167" s="182"/>
      <c r="DW167" s="182"/>
    </row>
    <row r="168" spans="109:127">
      <c r="DE168" s="159"/>
      <c r="DF168" s="159"/>
      <c r="DG168" s="159">
        <v>4</v>
      </c>
      <c r="DH168" s="159">
        <v>7</v>
      </c>
      <c r="DI168" s="123">
        <f t="shared" si="137"/>
        <v>6</v>
      </c>
      <c r="DJ168" s="36" t="str">
        <f ca="1">OFFSET(gr_header,DG168+DE148,1+DF148)</f>
        <v/>
      </c>
      <c r="DK168" s="36" t="str">
        <f ca="1">OFFSET(gr_header,DH168+DE148,1+DF148)</f>
        <v/>
      </c>
      <c r="DL168" s="123">
        <f ca="1">OFFSET(gr_header,DG168+DE148,2*DH168+DF148)</f>
        <v>0</v>
      </c>
      <c r="DM168" s="123">
        <f ca="1">OFFSET(gr_header,DG168+DE148,2*DH168+1+DF148)</f>
        <v>0</v>
      </c>
      <c r="DN168" s="34"/>
      <c r="DO168" s="183">
        <f t="shared" ca="1" si="133"/>
        <v>0</v>
      </c>
      <c r="DP168" s="183">
        <f t="shared" ca="1" si="134"/>
        <v>0</v>
      </c>
      <c r="DQ168" s="183">
        <f t="shared" ca="1" si="135"/>
        <v>0</v>
      </c>
      <c r="DR168" s="183">
        <f t="shared" ca="1" si="136"/>
        <v>0</v>
      </c>
      <c r="DS168" s="182">
        <f t="shared" ca="1" si="130"/>
        <v>0</v>
      </c>
      <c r="DT168" s="182">
        <f t="shared" ca="1" si="131"/>
        <v>0</v>
      </c>
      <c r="DU168" s="182"/>
      <c r="DV168" s="182"/>
      <c r="DW168" s="182"/>
    </row>
    <row r="169" spans="109:127">
      <c r="DE169" s="159"/>
      <c r="DF169" s="159"/>
      <c r="DG169" s="159">
        <v>4</v>
      </c>
      <c r="DH169" s="159">
        <v>8</v>
      </c>
      <c r="DI169" s="123">
        <f t="shared" si="137"/>
        <v>6</v>
      </c>
      <c r="DJ169" s="36" t="str">
        <f ca="1">OFFSET(gr_header,DG169+DE148,1+DF148)</f>
        <v/>
      </c>
      <c r="DK169" s="36" t="str">
        <f ca="1">OFFSET(gr_header,DH169+DE148,1+DF148)</f>
        <v/>
      </c>
      <c r="DL169" s="123">
        <f ca="1">OFFSET(gr_header,DG169+DE148,2*DH169+DF148)</f>
        <v>0</v>
      </c>
      <c r="DM169" s="123">
        <f ca="1">OFFSET(gr_header,DG169+DE148,2*DH169+1+DF148)</f>
        <v>0</v>
      </c>
      <c r="DN169" s="34"/>
      <c r="DO169" s="183">
        <f t="shared" ca="1" si="133"/>
        <v>0</v>
      </c>
      <c r="DP169" s="183">
        <f t="shared" ca="1" si="134"/>
        <v>0</v>
      </c>
      <c r="DQ169" s="183">
        <f t="shared" ca="1" si="135"/>
        <v>0</v>
      </c>
      <c r="DR169" s="183">
        <f t="shared" ca="1" si="136"/>
        <v>0</v>
      </c>
      <c r="DS169" s="182">
        <f t="shared" ca="1" si="130"/>
        <v>0</v>
      </c>
      <c r="DT169" s="182">
        <f t="shared" ca="1" si="131"/>
        <v>0</v>
      </c>
      <c r="DU169" s="182"/>
      <c r="DV169" s="182"/>
      <c r="DW169" s="182"/>
    </row>
    <row r="170" spans="109:127">
      <c r="DE170" s="159"/>
      <c r="DF170" s="159"/>
      <c r="DG170" s="159">
        <v>5</v>
      </c>
      <c r="DH170" s="159">
        <v>6</v>
      </c>
      <c r="DI170" s="123">
        <f t="shared" si="137"/>
        <v>6</v>
      </c>
      <c r="DJ170" s="36" t="str">
        <f ca="1">OFFSET(gr_header,DG170+DE148,1+DF148)</f>
        <v/>
      </c>
      <c r="DK170" s="36" t="str">
        <f ca="1">OFFSET(gr_header,DH170+DE148,1+DF148)</f>
        <v/>
      </c>
      <c r="DL170" s="123">
        <f ca="1">OFFSET(gr_header,DG170+DE148,2*DH170+DF148)</f>
        <v>0</v>
      </c>
      <c r="DM170" s="123">
        <f ca="1">OFFSET(gr_header,DG170+DE148,2*DH170+1+DF148)</f>
        <v>0</v>
      </c>
      <c r="DN170" s="34"/>
      <c r="DO170" s="183">
        <f t="shared" ca="1" si="133"/>
        <v>0</v>
      </c>
      <c r="DP170" s="183">
        <f t="shared" ca="1" si="134"/>
        <v>0</v>
      </c>
      <c r="DQ170" s="183">
        <f t="shared" ca="1" si="135"/>
        <v>0</v>
      </c>
      <c r="DR170" s="183">
        <f t="shared" ca="1" si="136"/>
        <v>0</v>
      </c>
      <c r="DS170" s="182">
        <f t="shared" ca="1" si="130"/>
        <v>0</v>
      </c>
      <c r="DT170" s="182">
        <f t="shared" ca="1" si="131"/>
        <v>0</v>
      </c>
      <c r="DU170" s="182"/>
      <c r="DV170" s="182"/>
      <c r="DW170" s="182"/>
    </row>
    <row r="171" spans="109:127">
      <c r="DE171" s="159"/>
      <c r="DF171" s="159"/>
      <c r="DG171" s="159">
        <v>5</v>
      </c>
      <c r="DH171" s="159">
        <v>7</v>
      </c>
      <c r="DI171" s="123">
        <f t="shared" si="137"/>
        <v>6</v>
      </c>
      <c r="DJ171" s="36" t="str">
        <f ca="1">OFFSET(gr_header,DG171+DE148,1+DF148)</f>
        <v/>
      </c>
      <c r="DK171" s="36" t="str">
        <f ca="1">OFFSET(gr_header,DH171+DE148,1+DF148)</f>
        <v/>
      </c>
      <c r="DL171" s="123">
        <f ca="1">OFFSET(gr_header,DG171+DE148,2*DH171+DF148)</f>
        <v>0</v>
      </c>
      <c r="DM171" s="123">
        <f ca="1">OFFSET(gr_header,DG171+DE148,2*DH171+1+DF148)</f>
        <v>0</v>
      </c>
      <c r="DN171" s="34"/>
      <c r="DO171" s="183">
        <f t="shared" ca="1" si="133"/>
        <v>0</v>
      </c>
      <c r="DP171" s="183">
        <f t="shared" ca="1" si="134"/>
        <v>0</v>
      </c>
      <c r="DQ171" s="183">
        <f t="shared" ca="1" si="135"/>
        <v>0</v>
      </c>
      <c r="DR171" s="183">
        <f t="shared" ca="1" si="136"/>
        <v>0</v>
      </c>
      <c r="DS171" s="182">
        <f t="shared" ca="1" si="130"/>
        <v>0</v>
      </c>
      <c r="DT171" s="182">
        <f t="shared" ca="1" si="131"/>
        <v>0</v>
      </c>
      <c r="DU171" s="182"/>
      <c r="DV171" s="182"/>
      <c r="DW171" s="182"/>
    </row>
    <row r="172" spans="109:127">
      <c r="DE172" s="159"/>
      <c r="DF172" s="159"/>
      <c r="DG172" s="159">
        <v>5</v>
      </c>
      <c r="DH172" s="159">
        <v>8</v>
      </c>
      <c r="DI172" s="123">
        <f t="shared" si="137"/>
        <v>6</v>
      </c>
      <c r="DJ172" s="36" t="str">
        <f ca="1">OFFSET(gr_header,DG172+DE148,1+DF148)</f>
        <v/>
      </c>
      <c r="DK172" s="36" t="str">
        <f ca="1">OFFSET(gr_header,DH172+DE148,1+DF148)</f>
        <v/>
      </c>
      <c r="DL172" s="123">
        <f ca="1">OFFSET(gr_header,DG172+DE148,2*DH172+DF148)</f>
        <v>0</v>
      </c>
      <c r="DM172" s="123">
        <f ca="1">OFFSET(gr_header,DG172+DE148,2*DH172+1+DF148)</f>
        <v>0</v>
      </c>
      <c r="DN172" s="34"/>
      <c r="DO172" s="183">
        <f t="shared" ca="1" si="133"/>
        <v>0</v>
      </c>
      <c r="DP172" s="183">
        <f t="shared" ca="1" si="134"/>
        <v>0</v>
      </c>
      <c r="DQ172" s="183">
        <f t="shared" ca="1" si="135"/>
        <v>0</v>
      </c>
      <c r="DR172" s="183">
        <f t="shared" ca="1" si="136"/>
        <v>0</v>
      </c>
      <c r="DS172" s="182">
        <f t="shared" ca="1" si="130"/>
        <v>0</v>
      </c>
      <c r="DT172" s="182">
        <f t="shared" ca="1" si="131"/>
        <v>0</v>
      </c>
      <c r="DU172" s="182"/>
      <c r="DV172" s="182"/>
      <c r="DW172" s="182"/>
    </row>
    <row r="173" spans="109:127">
      <c r="DE173" s="159"/>
      <c r="DF173" s="159"/>
      <c r="DG173" s="159">
        <v>6</v>
      </c>
      <c r="DH173" s="159">
        <v>7</v>
      </c>
      <c r="DI173" s="123">
        <f t="shared" si="137"/>
        <v>6</v>
      </c>
      <c r="DJ173" s="36" t="str">
        <f ca="1">OFFSET(gr_header,DG173+DE148,1+DF148)</f>
        <v/>
      </c>
      <c r="DK173" s="36" t="str">
        <f ca="1">OFFSET(gr_header,DH173+DE148,1+DF148)</f>
        <v/>
      </c>
      <c r="DL173" s="123">
        <f ca="1">OFFSET(gr_header,DG173+DE148,2*DH173+DF148)</f>
        <v>0</v>
      </c>
      <c r="DM173" s="123">
        <f ca="1">OFFSET(gr_header,DG173+DE148,2*DH173+1+DF148)</f>
        <v>0</v>
      </c>
      <c r="DN173" s="34"/>
      <c r="DO173" s="183">
        <f t="shared" ca="1" si="133"/>
        <v>0</v>
      </c>
      <c r="DP173" s="183">
        <f t="shared" ca="1" si="134"/>
        <v>0</v>
      </c>
      <c r="DQ173" s="183">
        <f t="shared" ca="1" si="135"/>
        <v>0</v>
      </c>
      <c r="DR173" s="183">
        <f t="shared" ca="1" si="136"/>
        <v>0</v>
      </c>
      <c r="DS173" s="182">
        <f t="shared" ca="1" si="130"/>
        <v>0</v>
      </c>
      <c r="DT173" s="182">
        <f t="shared" ca="1" si="131"/>
        <v>0</v>
      </c>
      <c r="DU173" s="182"/>
      <c r="DV173" s="182"/>
      <c r="DW173" s="182"/>
    </row>
    <row r="174" spans="109:127">
      <c r="DE174" s="159"/>
      <c r="DF174" s="159"/>
      <c r="DG174" s="159">
        <v>6</v>
      </c>
      <c r="DH174" s="159">
        <v>8</v>
      </c>
      <c r="DI174" s="123">
        <f t="shared" si="137"/>
        <v>6</v>
      </c>
      <c r="DJ174" s="36" t="str">
        <f ca="1">OFFSET(gr_header,DG174+DE148,1+DF148)</f>
        <v/>
      </c>
      <c r="DK174" s="36" t="str">
        <f ca="1">OFFSET(gr_header,DH174+DE148,1+DF148)</f>
        <v/>
      </c>
      <c r="DL174" s="123">
        <f ca="1">OFFSET(gr_header,DG174+DE148,2*DH174+DF148)</f>
        <v>0</v>
      </c>
      <c r="DM174" s="123">
        <f ca="1">OFFSET(gr_header,DG174+DE148,2*DH174+1+DF148)</f>
        <v>0</v>
      </c>
      <c r="DN174" s="34"/>
      <c r="DO174" s="183">
        <f t="shared" ca="1" si="133"/>
        <v>0</v>
      </c>
      <c r="DP174" s="183">
        <f t="shared" ca="1" si="134"/>
        <v>0</v>
      </c>
      <c r="DQ174" s="183">
        <f t="shared" ca="1" si="135"/>
        <v>0</v>
      </c>
      <c r="DR174" s="183">
        <f t="shared" ca="1" si="136"/>
        <v>0</v>
      </c>
      <c r="DS174" s="182">
        <f t="shared" ca="1" si="130"/>
        <v>0</v>
      </c>
      <c r="DT174" s="182">
        <f t="shared" ca="1" si="131"/>
        <v>0</v>
      </c>
      <c r="DU174" s="182"/>
      <c r="DV174" s="182"/>
      <c r="DW174" s="182"/>
    </row>
    <row r="175" spans="109:127">
      <c r="DE175" s="159"/>
      <c r="DF175" s="159"/>
      <c r="DG175" s="159">
        <v>7</v>
      </c>
      <c r="DH175" s="159">
        <v>8</v>
      </c>
      <c r="DI175" s="123">
        <f t="shared" si="137"/>
        <v>6</v>
      </c>
      <c r="DJ175" s="36" t="str">
        <f ca="1">OFFSET(gr_header,DG175+DE148,1+DF148)</f>
        <v/>
      </c>
      <c r="DK175" s="36" t="str">
        <f ca="1">OFFSET(gr_header,DH175+DE148,1+DF148)</f>
        <v/>
      </c>
      <c r="DL175" s="123">
        <f ca="1">OFFSET(gr_header,DG175+DE148,2*DH175+DF148)</f>
        <v>0</v>
      </c>
      <c r="DM175" s="123">
        <f ca="1">OFFSET(gr_header,DG175+DE175,2*DH175+1+DF175)</f>
        <v>0</v>
      </c>
      <c r="DN175" s="34"/>
      <c r="DO175" s="183">
        <f t="shared" ca="1" si="133"/>
        <v>0</v>
      </c>
      <c r="DP175" s="183">
        <f t="shared" ca="1" si="134"/>
        <v>0</v>
      </c>
      <c r="DQ175" s="183">
        <f t="shared" ca="1" si="135"/>
        <v>0</v>
      </c>
      <c r="DR175" s="183">
        <f t="shared" ca="1" si="136"/>
        <v>0</v>
      </c>
      <c r="DS175" s="182">
        <f t="shared" ca="1" si="130"/>
        <v>0</v>
      </c>
      <c r="DT175" s="182">
        <f t="shared" ca="1" si="131"/>
        <v>0</v>
      </c>
      <c r="DU175" s="182"/>
      <c r="DV175" s="182"/>
      <c r="DW175" s="182"/>
    </row>
    <row r="176" spans="109:127">
      <c r="DE176" s="123">
        <f>DE177*shift1</f>
        <v>30</v>
      </c>
      <c r="DF176" s="123">
        <f>DF177*shift2</f>
        <v>0</v>
      </c>
      <c r="DG176" s="123">
        <v>1</v>
      </c>
      <c r="DH176" s="123">
        <v>2</v>
      </c>
      <c r="DI176" s="147">
        <f>DI148+1</f>
        <v>7</v>
      </c>
      <c r="DJ176" s="36" t="str">
        <f ca="1">OFFSET(gr_header,DG176+DE176,1+DF176)</f>
        <v/>
      </c>
      <c r="DK176" s="36" t="str">
        <f ca="1">OFFSET(gr_header,DH176+DE176,1+DF176)</f>
        <v/>
      </c>
      <c r="DL176" s="123">
        <f ca="1">OFFSET(gr_header,DG176+DE176,2*DH176+DF176)</f>
        <v>0</v>
      </c>
      <c r="DM176" s="123">
        <f ca="1">OFFSET(gr_header,DG176+DE176,2*DH176+1+DF176)</f>
        <v>0</v>
      </c>
      <c r="DN176" s="34"/>
      <c r="DO176" s="183">
        <f t="shared" ca="1" si="133"/>
        <v>0</v>
      </c>
      <c r="DP176" s="183">
        <f t="shared" ca="1" si="134"/>
        <v>0</v>
      </c>
      <c r="DQ176" s="183">
        <f t="shared" ca="1" si="135"/>
        <v>0</v>
      </c>
      <c r="DR176" s="183">
        <f t="shared" ca="1" si="136"/>
        <v>0</v>
      </c>
      <c r="DS176" s="182">
        <f t="shared" ca="1" si="130"/>
        <v>0</v>
      </c>
      <c r="DT176" s="182">
        <f t="shared" ca="1" si="131"/>
        <v>0</v>
      </c>
      <c r="DU176" s="182"/>
      <c r="DV176" s="182"/>
      <c r="DW176" s="182"/>
    </row>
    <row r="177" spans="109:127">
      <c r="DE177" s="123">
        <f>INT((DI176-1)/2)</f>
        <v>3</v>
      </c>
      <c r="DF177" s="123">
        <f>1-(INT((DI176+1)/2)*2-DI176)</f>
        <v>0</v>
      </c>
      <c r="DG177" s="123">
        <v>1</v>
      </c>
      <c r="DH177" s="123">
        <v>3</v>
      </c>
      <c r="DI177" s="123">
        <f>DI176</f>
        <v>7</v>
      </c>
      <c r="DJ177" s="36" t="str">
        <f ca="1">OFFSET(gr_header,DG177+DE176,1+DF176)</f>
        <v/>
      </c>
      <c r="DK177" s="36" t="str">
        <f ca="1">OFFSET(gr_header,DH177+DE176,1+DF176)</f>
        <v/>
      </c>
      <c r="DL177" s="123">
        <f ca="1">OFFSET(gr_header,DG177+DE176,2*DH177+DF176)</f>
        <v>0</v>
      </c>
      <c r="DM177" s="123">
        <f ca="1">OFFSET(gr_header,DG177+DE176,2*DH177+1+DF176)</f>
        <v>0</v>
      </c>
      <c r="DN177" s="34"/>
      <c r="DO177" s="183">
        <f t="shared" ca="1" si="133"/>
        <v>0</v>
      </c>
      <c r="DP177" s="183">
        <f t="shared" ca="1" si="134"/>
        <v>0</v>
      </c>
      <c r="DQ177" s="183">
        <f t="shared" ca="1" si="135"/>
        <v>0</v>
      </c>
      <c r="DR177" s="183">
        <f t="shared" ca="1" si="136"/>
        <v>0</v>
      </c>
      <c r="DS177" s="182">
        <f t="shared" ca="1" si="130"/>
        <v>0</v>
      </c>
      <c r="DT177" s="182">
        <f t="shared" ca="1" si="131"/>
        <v>0</v>
      </c>
      <c r="DU177" s="182"/>
      <c r="DV177" s="182"/>
      <c r="DW177" s="182"/>
    </row>
    <row r="178" spans="109:127">
      <c r="DG178" s="123">
        <v>1</v>
      </c>
      <c r="DH178" s="123">
        <v>4</v>
      </c>
      <c r="DI178" s="123">
        <f t="shared" ref="DI178:DI203" si="138">DI177</f>
        <v>7</v>
      </c>
      <c r="DJ178" s="36" t="str">
        <f ca="1">OFFSET(gr_header,DG178+DE176,1+DF176)</f>
        <v/>
      </c>
      <c r="DK178" s="36" t="str">
        <f ca="1">OFFSET(gr_header,DH178+DE176,1+DF176)</f>
        <v/>
      </c>
      <c r="DL178" s="123">
        <f ca="1">OFFSET(gr_header,DG178+DE176,2*DH178+DF176)</f>
        <v>0</v>
      </c>
      <c r="DM178" s="123">
        <f ca="1">OFFSET(gr_header,DG178+DE176,2*DH178+1+DF176)</f>
        <v>0</v>
      </c>
      <c r="DN178" s="34"/>
      <c r="DO178" s="183">
        <f t="shared" ca="1" si="133"/>
        <v>0</v>
      </c>
      <c r="DP178" s="183">
        <f t="shared" ca="1" si="134"/>
        <v>0</v>
      </c>
      <c r="DQ178" s="183">
        <f t="shared" ca="1" si="135"/>
        <v>0</v>
      </c>
      <c r="DR178" s="183">
        <f t="shared" ca="1" si="136"/>
        <v>0</v>
      </c>
      <c r="DS178" s="182">
        <f t="shared" ca="1" si="130"/>
        <v>0</v>
      </c>
      <c r="DT178" s="182">
        <f t="shared" ca="1" si="131"/>
        <v>0</v>
      </c>
      <c r="DU178" s="182"/>
      <c r="DV178" s="182"/>
      <c r="DW178" s="182"/>
    </row>
    <row r="179" spans="109:127">
      <c r="DG179" s="123">
        <v>1</v>
      </c>
      <c r="DH179" s="123">
        <v>5</v>
      </c>
      <c r="DI179" s="123">
        <f t="shared" si="138"/>
        <v>7</v>
      </c>
      <c r="DJ179" s="36" t="str">
        <f ca="1">OFFSET(gr_header,DG179+DE176,1+DF176)</f>
        <v/>
      </c>
      <c r="DK179" s="36" t="str">
        <f ca="1">OFFSET(gr_header,DH179+DE176,1+DF176)</f>
        <v/>
      </c>
      <c r="DL179" s="123">
        <f ca="1">OFFSET(gr_header,DG179+DE176,2*DH179+DF176)</f>
        <v>0</v>
      </c>
      <c r="DM179" s="123">
        <f ca="1">OFFSET(gr_header,DG179+DE176,2*DH179+1+DF176)</f>
        <v>0</v>
      </c>
      <c r="DN179" s="34"/>
      <c r="DO179" s="183">
        <f t="shared" ca="1" si="133"/>
        <v>0</v>
      </c>
      <c r="DP179" s="183">
        <f t="shared" ca="1" si="134"/>
        <v>0</v>
      </c>
      <c r="DQ179" s="183">
        <f t="shared" ca="1" si="135"/>
        <v>0</v>
      </c>
      <c r="DR179" s="183">
        <f t="shared" ca="1" si="136"/>
        <v>0</v>
      </c>
      <c r="DS179" s="182">
        <f t="shared" ca="1" si="130"/>
        <v>0</v>
      </c>
      <c r="DT179" s="182">
        <f t="shared" ca="1" si="131"/>
        <v>0</v>
      </c>
      <c r="DU179" s="182"/>
      <c r="DV179" s="182"/>
      <c r="DW179" s="182"/>
    </row>
    <row r="180" spans="109:127">
      <c r="DG180" s="123">
        <v>1</v>
      </c>
      <c r="DH180" s="123">
        <v>6</v>
      </c>
      <c r="DI180" s="123">
        <f t="shared" si="138"/>
        <v>7</v>
      </c>
      <c r="DJ180" s="36" t="str">
        <f ca="1">OFFSET(gr_header,DG180+DE176,1+DF176)</f>
        <v/>
      </c>
      <c r="DK180" s="36" t="str">
        <f ca="1">OFFSET(gr_header,DH180+DE176,1+DF176)</f>
        <v/>
      </c>
      <c r="DL180" s="123">
        <f ca="1">OFFSET(gr_header,DG180+DE176,2*DH180+DF176)</f>
        <v>0</v>
      </c>
      <c r="DM180" s="123">
        <f ca="1">OFFSET(gr_header,DG180+DE176,2*DH180+1+DF176)</f>
        <v>0</v>
      </c>
      <c r="DN180" s="34"/>
      <c r="DO180" s="183">
        <f t="shared" ca="1" si="133"/>
        <v>0</v>
      </c>
      <c r="DP180" s="183">
        <f t="shared" ca="1" si="134"/>
        <v>0</v>
      </c>
      <c r="DQ180" s="183">
        <f t="shared" ca="1" si="135"/>
        <v>0</v>
      </c>
      <c r="DR180" s="183">
        <f t="shared" ca="1" si="136"/>
        <v>0</v>
      </c>
      <c r="DS180" s="182">
        <f t="shared" ca="1" si="130"/>
        <v>0</v>
      </c>
      <c r="DT180" s="182">
        <f t="shared" ca="1" si="131"/>
        <v>0</v>
      </c>
      <c r="DU180" s="182"/>
      <c r="DV180" s="182"/>
      <c r="DW180" s="182"/>
    </row>
    <row r="181" spans="109:127">
      <c r="DG181" s="123">
        <v>1</v>
      </c>
      <c r="DH181" s="123">
        <v>7</v>
      </c>
      <c r="DI181" s="123">
        <f t="shared" si="138"/>
        <v>7</v>
      </c>
      <c r="DJ181" s="36" t="str">
        <f ca="1">OFFSET(gr_header,DG181+DE176,1+DF176)</f>
        <v/>
      </c>
      <c r="DK181" s="36" t="str">
        <f ca="1">OFFSET(gr_header,DH181+DE176,1+DF176)</f>
        <v/>
      </c>
      <c r="DL181" s="123">
        <f ca="1">OFFSET(gr_header,DG181+DE176,2*DH181+DF176)</f>
        <v>0</v>
      </c>
      <c r="DM181" s="123">
        <f ca="1">OFFSET(gr_header,DG181+DE176,2*DH181+1+DF176)</f>
        <v>0</v>
      </c>
      <c r="DN181" s="34"/>
      <c r="DO181" s="183">
        <f t="shared" ca="1" si="133"/>
        <v>0</v>
      </c>
      <c r="DP181" s="183">
        <f t="shared" ca="1" si="134"/>
        <v>0</v>
      </c>
      <c r="DQ181" s="183">
        <f t="shared" ca="1" si="135"/>
        <v>0</v>
      </c>
      <c r="DR181" s="183">
        <f t="shared" ca="1" si="136"/>
        <v>0</v>
      </c>
      <c r="DS181" s="182">
        <f t="shared" ca="1" si="130"/>
        <v>0</v>
      </c>
      <c r="DT181" s="182">
        <f t="shared" ca="1" si="131"/>
        <v>0</v>
      </c>
      <c r="DU181" s="182"/>
      <c r="DV181" s="182"/>
      <c r="DW181" s="182"/>
    </row>
    <row r="182" spans="109:127">
      <c r="DE182" s="159"/>
      <c r="DF182" s="159"/>
      <c r="DG182" s="159">
        <v>1</v>
      </c>
      <c r="DH182" s="123">
        <v>8</v>
      </c>
      <c r="DI182" s="123">
        <f t="shared" si="138"/>
        <v>7</v>
      </c>
      <c r="DJ182" s="36" t="str">
        <f ca="1">OFFSET(gr_header,DG182+DE176,1+DF176)</f>
        <v/>
      </c>
      <c r="DK182" s="36" t="str">
        <f ca="1">OFFSET(gr_header,DH182+DE176,1+DF176)</f>
        <v/>
      </c>
      <c r="DL182" s="123">
        <f ca="1">OFFSET(gr_header,DG182+DE176,2*DH182+DF176)</f>
        <v>0</v>
      </c>
      <c r="DM182" s="123">
        <f ca="1">OFFSET(gr_header,DG182+DE176,2*DH182+1+DF176)</f>
        <v>0</v>
      </c>
      <c r="DN182" s="34"/>
      <c r="DO182" s="183">
        <f t="shared" ca="1" si="133"/>
        <v>0</v>
      </c>
      <c r="DP182" s="183">
        <f t="shared" ca="1" si="134"/>
        <v>0</v>
      </c>
      <c r="DQ182" s="183">
        <f t="shared" ca="1" si="135"/>
        <v>0</v>
      </c>
      <c r="DR182" s="183">
        <f t="shared" ca="1" si="136"/>
        <v>0</v>
      </c>
      <c r="DS182" s="182">
        <f t="shared" ca="1" si="130"/>
        <v>0</v>
      </c>
      <c r="DT182" s="182">
        <f t="shared" ca="1" si="131"/>
        <v>0</v>
      </c>
      <c r="DU182" s="182"/>
      <c r="DV182" s="182"/>
      <c r="DW182" s="182"/>
    </row>
    <row r="183" spans="109:127">
      <c r="DE183" s="159"/>
      <c r="DF183" s="159"/>
      <c r="DG183" s="159">
        <v>2</v>
      </c>
      <c r="DH183" s="159">
        <v>3</v>
      </c>
      <c r="DI183" s="123">
        <f t="shared" si="138"/>
        <v>7</v>
      </c>
      <c r="DJ183" s="36" t="str">
        <f ca="1">OFFSET(gr_header,DG183+DE176,1+DF176)</f>
        <v/>
      </c>
      <c r="DK183" s="36" t="str">
        <f ca="1">OFFSET(gr_header,DH183+DE176,1+DF176)</f>
        <v/>
      </c>
      <c r="DL183" s="123">
        <f ca="1">OFFSET(gr_header,DG183+DE176,2*DH183+DF176)</f>
        <v>0</v>
      </c>
      <c r="DM183" s="123">
        <f ca="1">OFFSET(gr_header,DG183+DE176,2*DH183+1+DF176)</f>
        <v>0</v>
      </c>
      <c r="DN183" s="34"/>
      <c r="DO183" s="183">
        <f t="shared" ca="1" si="133"/>
        <v>0</v>
      </c>
      <c r="DP183" s="183">
        <f t="shared" ca="1" si="134"/>
        <v>0</v>
      </c>
      <c r="DQ183" s="183">
        <f t="shared" ca="1" si="135"/>
        <v>0</v>
      </c>
      <c r="DR183" s="183">
        <f t="shared" ca="1" si="136"/>
        <v>0</v>
      </c>
      <c r="DS183" s="182">
        <f t="shared" ca="1" si="130"/>
        <v>0</v>
      </c>
      <c r="DT183" s="182">
        <f t="shared" ca="1" si="131"/>
        <v>0</v>
      </c>
      <c r="DU183" s="182"/>
      <c r="DV183" s="182"/>
      <c r="DW183" s="182"/>
    </row>
    <row r="184" spans="109:127">
      <c r="DE184" s="159"/>
      <c r="DF184" s="159"/>
      <c r="DG184" s="159">
        <v>2</v>
      </c>
      <c r="DH184" s="159">
        <v>4</v>
      </c>
      <c r="DI184" s="123">
        <f t="shared" si="138"/>
        <v>7</v>
      </c>
      <c r="DJ184" s="36" t="str">
        <f ca="1">OFFSET(gr_header,DG184+DE176,1+DF176)</f>
        <v/>
      </c>
      <c r="DK184" s="36" t="str">
        <f ca="1">OFFSET(gr_header,DH184+DE176,1+DF176)</f>
        <v/>
      </c>
      <c r="DL184" s="123">
        <f ca="1">OFFSET(gr_header,DG184+DE176,2*DH184+DF176)</f>
        <v>0</v>
      </c>
      <c r="DM184" s="123">
        <f ca="1">OFFSET(gr_header,DG184+DE176,2*DH184+1+DF176)</f>
        <v>0</v>
      </c>
      <c r="DN184" s="34"/>
      <c r="DO184" s="183">
        <f t="shared" ca="1" si="133"/>
        <v>0</v>
      </c>
      <c r="DP184" s="183">
        <f t="shared" ca="1" si="134"/>
        <v>0</v>
      </c>
      <c r="DQ184" s="183">
        <f t="shared" ca="1" si="135"/>
        <v>0</v>
      </c>
      <c r="DR184" s="183">
        <f t="shared" ca="1" si="136"/>
        <v>0</v>
      </c>
      <c r="DS184" s="182">
        <f t="shared" ref="DS184:DS247" ca="1" si="139">DL184</f>
        <v>0</v>
      </c>
      <c r="DT184" s="182">
        <f t="shared" ref="DT184:DT247" ca="1" si="140">DM184</f>
        <v>0</v>
      </c>
      <c r="DU184" s="182"/>
      <c r="DV184" s="182"/>
      <c r="DW184" s="182"/>
    </row>
    <row r="185" spans="109:127">
      <c r="DE185" s="159"/>
      <c r="DF185" s="159"/>
      <c r="DG185" s="159">
        <v>2</v>
      </c>
      <c r="DH185" s="159">
        <v>5</v>
      </c>
      <c r="DI185" s="123">
        <f t="shared" si="138"/>
        <v>7</v>
      </c>
      <c r="DJ185" s="36" t="str">
        <f ca="1">OFFSET(gr_header,DG185+DE176,1+DF176)</f>
        <v/>
      </c>
      <c r="DK185" s="36" t="str">
        <f ca="1">OFFSET(gr_header,DH185+DE176,1+DF176)</f>
        <v/>
      </c>
      <c r="DL185" s="123">
        <f ca="1">OFFSET(gr_header,DG185+DE176,2*DH185+DF176)</f>
        <v>0</v>
      </c>
      <c r="DM185" s="123">
        <f ca="1">OFFSET(gr_header,DG185+DE176,2*DH185+1+DF176)</f>
        <v>0</v>
      </c>
      <c r="DN185" s="34"/>
      <c r="DO185" s="183">
        <f t="shared" ca="1" si="133"/>
        <v>0</v>
      </c>
      <c r="DP185" s="183">
        <f t="shared" ca="1" si="134"/>
        <v>0</v>
      </c>
      <c r="DQ185" s="183">
        <f t="shared" ca="1" si="135"/>
        <v>0</v>
      </c>
      <c r="DR185" s="183">
        <f t="shared" ca="1" si="136"/>
        <v>0</v>
      </c>
      <c r="DS185" s="182">
        <f t="shared" ca="1" si="139"/>
        <v>0</v>
      </c>
      <c r="DT185" s="182">
        <f t="shared" ca="1" si="140"/>
        <v>0</v>
      </c>
      <c r="DU185" s="182"/>
      <c r="DV185" s="182"/>
      <c r="DW185" s="182"/>
    </row>
    <row r="186" spans="109:127">
      <c r="DE186" s="159"/>
      <c r="DF186" s="159"/>
      <c r="DG186" s="159">
        <v>2</v>
      </c>
      <c r="DH186" s="159">
        <v>6</v>
      </c>
      <c r="DI186" s="123">
        <f t="shared" si="138"/>
        <v>7</v>
      </c>
      <c r="DJ186" s="36" t="str">
        <f ca="1">OFFSET(gr_header,DG186+DE176,1+DF176)</f>
        <v/>
      </c>
      <c r="DK186" s="36" t="str">
        <f ca="1">OFFSET(gr_header,DH186+DE176,1+DF176)</f>
        <v/>
      </c>
      <c r="DL186" s="123">
        <f ca="1">OFFSET(gr_header,DG186+DE176,2*DH186+DF176)</f>
        <v>0</v>
      </c>
      <c r="DM186" s="123">
        <f ca="1">OFFSET(gr_header,DG186+DE176,2*DH186+1+DF176)</f>
        <v>0</v>
      </c>
      <c r="DN186" s="34"/>
      <c r="DO186" s="183">
        <f t="shared" ca="1" si="133"/>
        <v>0</v>
      </c>
      <c r="DP186" s="183">
        <f t="shared" ca="1" si="134"/>
        <v>0</v>
      </c>
      <c r="DQ186" s="183">
        <f t="shared" ca="1" si="135"/>
        <v>0</v>
      </c>
      <c r="DR186" s="183">
        <f t="shared" ca="1" si="136"/>
        <v>0</v>
      </c>
      <c r="DS186" s="182">
        <f t="shared" ca="1" si="139"/>
        <v>0</v>
      </c>
      <c r="DT186" s="182">
        <f t="shared" ca="1" si="140"/>
        <v>0</v>
      </c>
      <c r="DU186" s="182"/>
      <c r="DV186" s="182"/>
      <c r="DW186" s="182"/>
    </row>
    <row r="187" spans="109:127">
      <c r="DE187" s="159"/>
      <c r="DF187" s="159"/>
      <c r="DG187" s="159">
        <v>2</v>
      </c>
      <c r="DH187" s="159">
        <v>7</v>
      </c>
      <c r="DI187" s="123">
        <f t="shared" si="138"/>
        <v>7</v>
      </c>
      <c r="DJ187" s="36" t="str">
        <f ca="1">OFFSET(gr_header,DG187+DE176,1+DF176)</f>
        <v/>
      </c>
      <c r="DK187" s="36" t="str">
        <f ca="1">OFFSET(gr_header,DH187+DE176,1+DF176)</f>
        <v/>
      </c>
      <c r="DL187" s="123">
        <f ca="1">OFFSET(gr_header,DG187+DE176,2*DH187+DF176)</f>
        <v>0</v>
      </c>
      <c r="DM187" s="123">
        <f ca="1">OFFSET(gr_header,DG187+DE176,2*DH187+1+DF176)</f>
        <v>0</v>
      </c>
      <c r="DN187" s="34"/>
      <c r="DO187" s="183">
        <f t="shared" ca="1" si="133"/>
        <v>0</v>
      </c>
      <c r="DP187" s="183">
        <f t="shared" ca="1" si="134"/>
        <v>0</v>
      </c>
      <c r="DQ187" s="183">
        <f t="shared" ca="1" si="135"/>
        <v>0</v>
      </c>
      <c r="DR187" s="183">
        <f t="shared" ca="1" si="136"/>
        <v>0</v>
      </c>
      <c r="DS187" s="182">
        <f t="shared" ca="1" si="139"/>
        <v>0</v>
      </c>
      <c r="DT187" s="182">
        <f t="shared" ca="1" si="140"/>
        <v>0</v>
      </c>
      <c r="DU187" s="182"/>
      <c r="DV187" s="182"/>
      <c r="DW187" s="182"/>
    </row>
    <row r="188" spans="109:127">
      <c r="DE188" s="159"/>
      <c r="DF188" s="159"/>
      <c r="DG188" s="159">
        <v>2</v>
      </c>
      <c r="DH188" s="159">
        <v>8</v>
      </c>
      <c r="DI188" s="123">
        <f t="shared" si="138"/>
        <v>7</v>
      </c>
      <c r="DJ188" s="36" t="str">
        <f ca="1">OFFSET(gr_header,DG188+DE176,1+DF176)</f>
        <v/>
      </c>
      <c r="DK188" s="36" t="str">
        <f ca="1">OFFSET(gr_header,DH188+DE176,1+DF176)</f>
        <v/>
      </c>
      <c r="DL188" s="123">
        <f ca="1">OFFSET(gr_header,DG188+DE176,2*DH188+DF176)</f>
        <v>0</v>
      </c>
      <c r="DM188" s="123">
        <f ca="1">OFFSET(gr_header,DG188+DE176,2*DH188+1+DF176)</f>
        <v>0</v>
      </c>
      <c r="DN188" s="34"/>
      <c r="DO188" s="183">
        <f t="shared" ca="1" si="133"/>
        <v>0</v>
      </c>
      <c r="DP188" s="183">
        <f t="shared" ca="1" si="134"/>
        <v>0</v>
      </c>
      <c r="DQ188" s="183">
        <f t="shared" ca="1" si="135"/>
        <v>0</v>
      </c>
      <c r="DR188" s="183">
        <f t="shared" ca="1" si="136"/>
        <v>0</v>
      </c>
      <c r="DS188" s="182">
        <f t="shared" ca="1" si="139"/>
        <v>0</v>
      </c>
      <c r="DT188" s="182">
        <f t="shared" ca="1" si="140"/>
        <v>0</v>
      </c>
      <c r="DU188" s="182"/>
      <c r="DV188" s="182"/>
      <c r="DW188" s="182"/>
    </row>
    <row r="189" spans="109:127">
      <c r="DE189" s="159"/>
      <c r="DF189" s="159"/>
      <c r="DG189" s="159">
        <v>3</v>
      </c>
      <c r="DH189" s="159">
        <v>4</v>
      </c>
      <c r="DI189" s="123">
        <f t="shared" si="138"/>
        <v>7</v>
      </c>
      <c r="DJ189" s="36" t="str">
        <f ca="1">OFFSET(gr_header,DG189+DE176,1+DF176)</f>
        <v/>
      </c>
      <c r="DK189" s="36" t="str">
        <f ca="1">OFFSET(gr_header,DH189+DE176,1+DF176)</f>
        <v/>
      </c>
      <c r="DL189" s="123">
        <f ca="1">OFFSET(gr_header,DG189+DE176,2*DH189+DF176)</f>
        <v>0</v>
      </c>
      <c r="DM189" s="123">
        <f ca="1">OFFSET(gr_header,DG189+DE176,2*DH189+1+DF176)</f>
        <v>0</v>
      </c>
      <c r="DN189" s="34"/>
      <c r="DO189" s="183">
        <f t="shared" ca="1" si="133"/>
        <v>0</v>
      </c>
      <c r="DP189" s="183">
        <f t="shared" ca="1" si="134"/>
        <v>0</v>
      </c>
      <c r="DQ189" s="183">
        <f t="shared" ca="1" si="135"/>
        <v>0</v>
      </c>
      <c r="DR189" s="183">
        <f t="shared" ca="1" si="136"/>
        <v>0</v>
      </c>
      <c r="DS189" s="182">
        <f t="shared" ca="1" si="139"/>
        <v>0</v>
      </c>
      <c r="DT189" s="182">
        <f t="shared" ca="1" si="140"/>
        <v>0</v>
      </c>
      <c r="DU189" s="182"/>
      <c r="DV189" s="182"/>
      <c r="DW189" s="182"/>
    </row>
    <row r="190" spans="109:127">
      <c r="DE190" s="159"/>
      <c r="DF190" s="159"/>
      <c r="DG190" s="159">
        <v>3</v>
      </c>
      <c r="DH190" s="159">
        <v>5</v>
      </c>
      <c r="DI190" s="123">
        <f t="shared" si="138"/>
        <v>7</v>
      </c>
      <c r="DJ190" s="36" t="str">
        <f ca="1">OFFSET(gr_header,DG190+DE176,1+DF176)</f>
        <v/>
      </c>
      <c r="DK190" s="36" t="str">
        <f ca="1">OFFSET(gr_header,DH190+DE176,1+DF176)</f>
        <v/>
      </c>
      <c r="DL190" s="123">
        <f ca="1">OFFSET(gr_header,DG190+DE176,2*DH190+DF176)</f>
        <v>0</v>
      </c>
      <c r="DM190" s="123">
        <f ca="1">OFFSET(gr_header,DG190+DE176,2*DH190+1+DF176)</f>
        <v>0</v>
      </c>
      <c r="DN190" s="34"/>
      <c r="DO190" s="183">
        <f t="shared" ca="1" si="133"/>
        <v>0</v>
      </c>
      <c r="DP190" s="183">
        <f t="shared" ca="1" si="134"/>
        <v>0</v>
      </c>
      <c r="DQ190" s="183">
        <f t="shared" ca="1" si="135"/>
        <v>0</v>
      </c>
      <c r="DR190" s="183">
        <f t="shared" ca="1" si="136"/>
        <v>0</v>
      </c>
      <c r="DS190" s="182">
        <f t="shared" ca="1" si="139"/>
        <v>0</v>
      </c>
      <c r="DT190" s="182">
        <f t="shared" ca="1" si="140"/>
        <v>0</v>
      </c>
      <c r="DU190" s="182"/>
      <c r="DV190" s="182"/>
      <c r="DW190" s="182"/>
    </row>
    <row r="191" spans="109:127">
      <c r="DE191" s="159"/>
      <c r="DF191" s="159"/>
      <c r="DG191" s="159">
        <v>3</v>
      </c>
      <c r="DH191" s="159">
        <v>6</v>
      </c>
      <c r="DI191" s="123">
        <f t="shared" si="138"/>
        <v>7</v>
      </c>
      <c r="DJ191" s="36" t="str">
        <f ca="1">OFFSET(gr_header,DG191+DE176,1+DF176)</f>
        <v/>
      </c>
      <c r="DK191" s="36" t="str">
        <f ca="1">OFFSET(gr_header,DH191+DE176,1+DF176)</f>
        <v/>
      </c>
      <c r="DL191" s="123">
        <f ca="1">OFFSET(gr_header,DG191+DE176,2*DH191+DF176)</f>
        <v>0</v>
      </c>
      <c r="DM191" s="123">
        <f ca="1">OFFSET(gr_header,DG191+DE176,2*DH191+1+DF176)</f>
        <v>0</v>
      </c>
      <c r="DN191" s="34"/>
      <c r="DO191" s="183">
        <f t="shared" ca="1" si="133"/>
        <v>0</v>
      </c>
      <c r="DP191" s="183">
        <f t="shared" ca="1" si="134"/>
        <v>0</v>
      </c>
      <c r="DQ191" s="183">
        <f t="shared" ca="1" si="135"/>
        <v>0</v>
      </c>
      <c r="DR191" s="183">
        <f t="shared" ca="1" si="136"/>
        <v>0</v>
      </c>
      <c r="DS191" s="182">
        <f t="shared" ca="1" si="139"/>
        <v>0</v>
      </c>
      <c r="DT191" s="182">
        <f t="shared" ca="1" si="140"/>
        <v>0</v>
      </c>
      <c r="DU191" s="182"/>
      <c r="DV191" s="182"/>
      <c r="DW191" s="182"/>
    </row>
    <row r="192" spans="109:127">
      <c r="DE192" s="159"/>
      <c r="DF192" s="159"/>
      <c r="DG192" s="159">
        <v>3</v>
      </c>
      <c r="DH192" s="159">
        <v>7</v>
      </c>
      <c r="DI192" s="123">
        <f t="shared" si="138"/>
        <v>7</v>
      </c>
      <c r="DJ192" s="36" t="str">
        <f ca="1">OFFSET(gr_header,DG192+DE176,1+DF176)</f>
        <v/>
      </c>
      <c r="DK192" s="36" t="str">
        <f ca="1">OFFSET(gr_header,DH192+DE176,1+DF176)</f>
        <v/>
      </c>
      <c r="DL192" s="123">
        <f ca="1">OFFSET(gr_header,DG192+DE176,2*DH192+DF176)</f>
        <v>0</v>
      </c>
      <c r="DM192" s="123">
        <f ca="1">OFFSET(gr_header,DG192+DE176,2*DH192+1+DF176)</f>
        <v>0</v>
      </c>
      <c r="DN192" s="34"/>
      <c r="DO192" s="183">
        <f t="shared" ca="1" si="133"/>
        <v>0</v>
      </c>
      <c r="DP192" s="183">
        <f t="shared" ca="1" si="134"/>
        <v>0</v>
      </c>
      <c r="DQ192" s="183">
        <f t="shared" ca="1" si="135"/>
        <v>0</v>
      </c>
      <c r="DR192" s="183">
        <f t="shared" ca="1" si="136"/>
        <v>0</v>
      </c>
      <c r="DS192" s="182">
        <f t="shared" ca="1" si="139"/>
        <v>0</v>
      </c>
      <c r="DT192" s="182">
        <f t="shared" ca="1" si="140"/>
        <v>0</v>
      </c>
      <c r="DU192" s="182"/>
      <c r="DV192" s="182"/>
      <c r="DW192" s="182"/>
    </row>
    <row r="193" spans="109:127">
      <c r="DE193" s="159"/>
      <c r="DF193" s="159"/>
      <c r="DG193" s="159">
        <v>3</v>
      </c>
      <c r="DH193" s="159">
        <v>8</v>
      </c>
      <c r="DI193" s="123">
        <f t="shared" si="138"/>
        <v>7</v>
      </c>
      <c r="DJ193" s="36" t="str">
        <f ca="1">OFFSET(gr_header,DG193+DE176,1+DF176)</f>
        <v/>
      </c>
      <c r="DK193" s="36" t="str">
        <f ca="1">OFFSET(gr_header,DH193+DE176,1+DF176)</f>
        <v/>
      </c>
      <c r="DL193" s="123">
        <f ca="1">OFFSET(gr_header,DG193+DE176,2*DH193+DF176)</f>
        <v>0</v>
      </c>
      <c r="DM193" s="123">
        <f ca="1">OFFSET(gr_header,DG193+DE176,2*DH193+1+DF176)</f>
        <v>0</v>
      </c>
      <c r="DN193" s="34"/>
      <c r="DO193" s="183">
        <f t="shared" ca="1" si="133"/>
        <v>0</v>
      </c>
      <c r="DP193" s="183">
        <f t="shared" ca="1" si="134"/>
        <v>0</v>
      </c>
      <c r="DQ193" s="183">
        <f t="shared" ca="1" si="135"/>
        <v>0</v>
      </c>
      <c r="DR193" s="183">
        <f t="shared" ca="1" si="136"/>
        <v>0</v>
      </c>
      <c r="DS193" s="182">
        <f t="shared" ca="1" si="139"/>
        <v>0</v>
      </c>
      <c r="DT193" s="182">
        <f t="shared" ca="1" si="140"/>
        <v>0</v>
      </c>
      <c r="DU193" s="182"/>
      <c r="DV193" s="182"/>
      <c r="DW193" s="182"/>
    </row>
    <row r="194" spans="109:127">
      <c r="DE194" s="159"/>
      <c r="DF194" s="159"/>
      <c r="DG194" s="159">
        <v>4</v>
      </c>
      <c r="DH194" s="159">
        <v>5</v>
      </c>
      <c r="DI194" s="123">
        <f t="shared" si="138"/>
        <v>7</v>
      </c>
      <c r="DJ194" s="36" t="str">
        <f ca="1">OFFSET(gr_header,DG194+DE176,1+DF176)</f>
        <v/>
      </c>
      <c r="DK194" s="36" t="str">
        <f ca="1">OFFSET(gr_header,DH194+DE176,1+DF176)</f>
        <v/>
      </c>
      <c r="DL194" s="123">
        <f ca="1">OFFSET(gr_header,DG194+DE176,2*DH194+DF176)</f>
        <v>0</v>
      </c>
      <c r="DM194" s="123">
        <f ca="1">OFFSET(gr_header,DG194+DE176,2*DH194+1+DF176)</f>
        <v>0</v>
      </c>
      <c r="DN194" s="34"/>
      <c r="DO194" s="183">
        <f t="shared" ca="1" si="133"/>
        <v>0</v>
      </c>
      <c r="DP194" s="183">
        <f t="shared" ca="1" si="134"/>
        <v>0</v>
      </c>
      <c r="DQ194" s="183">
        <f t="shared" ca="1" si="135"/>
        <v>0</v>
      </c>
      <c r="DR194" s="183">
        <f t="shared" ca="1" si="136"/>
        <v>0</v>
      </c>
      <c r="DS194" s="182">
        <f t="shared" ca="1" si="139"/>
        <v>0</v>
      </c>
      <c r="DT194" s="182">
        <f t="shared" ca="1" si="140"/>
        <v>0</v>
      </c>
      <c r="DU194" s="182"/>
      <c r="DV194" s="182"/>
      <c r="DW194" s="182"/>
    </row>
    <row r="195" spans="109:127">
      <c r="DE195" s="159"/>
      <c r="DF195" s="159"/>
      <c r="DG195" s="159">
        <v>4</v>
      </c>
      <c r="DH195" s="159">
        <v>6</v>
      </c>
      <c r="DI195" s="123">
        <f t="shared" si="138"/>
        <v>7</v>
      </c>
      <c r="DJ195" s="36" t="str">
        <f ca="1">OFFSET(gr_header,DG195+DE176,1+DF176)</f>
        <v/>
      </c>
      <c r="DK195" s="36" t="str">
        <f ca="1">OFFSET(gr_header,DH195+DE176,1+DF176)</f>
        <v/>
      </c>
      <c r="DL195" s="123">
        <f ca="1">OFFSET(gr_header,DG195+DE176,2*DH195+DF176)</f>
        <v>0</v>
      </c>
      <c r="DM195" s="123">
        <f ca="1">OFFSET(gr_header,DG195+DE176,2*DH195+1+DF176)</f>
        <v>0</v>
      </c>
      <c r="DN195" s="34"/>
      <c r="DO195" s="183">
        <f t="shared" ca="1" si="133"/>
        <v>0</v>
      </c>
      <c r="DP195" s="183">
        <f t="shared" ca="1" si="134"/>
        <v>0</v>
      </c>
      <c r="DQ195" s="183">
        <f t="shared" ca="1" si="135"/>
        <v>0</v>
      </c>
      <c r="DR195" s="183">
        <f t="shared" ca="1" si="136"/>
        <v>0</v>
      </c>
      <c r="DS195" s="182">
        <f t="shared" ca="1" si="139"/>
        <v>0</v>
      </c>
      <c r="DT195" s="182">
        <f t="shared" ca="1" si="140"/>
        <v>0</v>
      </c>
      <c r="DU195" s="182"/>
      <c r="DV195" s="182"/>
      <c r="DW195" s="182"/>
    </row>
    <row r="196" spans="109:127">
      <c r="DE196" s="159"/>
      <c r="DF196" s="159"/>
      <c r="DG196" s="159">
        <v>4</v>
      </c>
      <c r="DH196" s="159">
        <v>7</v>
      </c>
      <c r="DI196" s="123">
        <f t="shared" si="138"/>
        <v>7</v>
      </c>
      <c r="DJ196" s="36" t="str">
        <f ca="1">OFFSET(gr_header,DG196+DE176,1+DF176)</f>
        <v/>
      </c>
      <c r="DK196" s="36" t="str">
        <f ca="1">OFFSET(gr_header,DH196+DE176,1+DF176)</f>
        <v/>
      </c>
      <c r="DL196" s="123">
        <f ca="1">OFFSET(gr_header,DG196+DE176,2*DH196+DF176)</f>
        <v>0</v>
      </c>
      <c r="DM196" s="123">
        <f ca="1">OFFSET(gr_header,DG196+DE176,2*DH196+1+DF176)</f>
        <v>0</v>
      </c>
      <c r="DN196" s="34"/>
      <c r="DO196" s="183">
        <f t="shared" ca="1" si="133"/>
        <v>0</v>
      </c>
      <c r="DP196" s="183">
        <f t="shared" ca="1" si="134"/>
        <v>0</v>
      </c>
      <c r="DQ196" s="183">
        <f t="shared" ca="1" si="135"/>
        <v>0</v>
      </c>
      <c r="DR196" s="183">
        <f t="shared" ca="1" si="136"/>
        <v>0</v>
      </c>
      <c r="DS196" s="182">
        <f t="shared" ca="1" si="139"/>
        <v>0</v>
      </c>
      <c r="DT196" s="182">
        <f t="shared" ca="1" si="140"/>
        <v>0</v>
      </c>
      <c r="DU196" s="182"/>
      <c r="DV196" s="182"/>
      <c r="DW196" s="182"/>
    </row>
    <row r="197" spans="109:127">
      <c r="DE197" s="159"/>
      <c r="DF197" s="159"/>
      <c r="DG197" s="159">
        <v>4</v>
      </c>
      <c r="DH197" s="159">
        <v>8</v>
      </c>
      <c r="DI197" s="123">
        <f t="shared" si="138"/>
        <v>7</v>
      </c>
      <c r="DJ197" s="36" t="str">
        <f ca="1">OFFSET(gr_header,DG197+DE176,1+DF176)</f>
        <v/>
      </c>
      <c r="DK197" s="36" t="str">
        <f ca="1">OFFSET(gr_header,DH197+DE176,1+DF176)</f>
        <v/>
      </c>
      <c r="DL197" s="123">
        <f ca="1">OFFSET(gr_header,DG197+DE176,2*DH197+DF176)</f>
        <v>0</v>
      </c>
      <c r="DM197" s="123">
        <f ca="1">OFFSET(gr_header,DG197+DE176,2*DH197+1+DF176)</f>
        <v>0</v>
      </c>
      <c r="DO197" s="183">
        <f t="shared" ca="1" si="133"/>
        <v>0</v>
      </c>
      <c r="DP197" s="183">
        <f t="shared" ca="1" si="134"/>
        <v>0</v>
      </c>
      <c r="DQ197" s="183">
        <f t="shared" ca="1" si="135"/>
        <v>0</v>
      </c>
      <c r="DR197" s="183">
        <f t="shared" ca="1" si="136"/>
        <v>0</v>
      </c>
      <c r="DS197" s="182">
        <f t="shared" ca="1" si="139"/>
        <v>0</v>
      </c>
      <c r="DT197" s="182">
        <f t="shared" ca="1" si="140"/>
        <v>0</v>
      </c>
      <c r="DU197" s="182"/>
      <c r="DV197" s="182"/>
      <c r="DW197" s="182"/>
    </row>
    <row r="198" spans="109:127">
      <c r="DE198" s="159"/>
      <c r="DF198" s="159"/>
      <c r="DG198" s="159">
        <v>5</v>
      </c>
      <c r="DH198" s="159">
        <v>6</v>
      </c>
      <c r="DI198" s="123">
        <f t="shared" si="138"/>
        <v>7</v>
      </c>
      <c r="DJ198" s="36" t="str">
        <f ca="1">OFFSET(gr_header,DG198+DE176,1+DF176)</f>
        <v/>
      </c>
      <c r="DK198" s="36" t="str">
        <f ca="1">OFFSET(gr_header,DH198+DE176,1+DF176)</f>
        <v/>
      </c>
      <c r="DL198" s="123">
        <f ca="1">OFFSET(gr_header,DG198+DE176,2*DH198+DF176)</f>
        <v>0</v>
      </c>
      <c r="DM198" s="123">
        <f ca="1">OFFSET(gr_header,DG198+DE176,2*DH198+1+DF176)</f>
        <v>0</v>
      </c>
      <c r="DO198" s="183">
        <f t="shared" ca="1" si="133"/>
        <v>0</v>
      </c>
      <c r="DP198" s="183">
        <f t="shared" ca="1" si="134"/>
        <v>0</v>
      </c>
      <c r="DQ198" s="183">
        <f t="shared" ca="1" si="135"/>
        <v>0</v>
      </c>
      <c r="DR198" s="183">
        <f t="shared" ca="1" si="136"/>
        <v>0</v>
      </c>
      <c r="DS198" s="182">
        <f t="shared" ca="1" si="139"/>
        <v>0</v>
      </c>
      <c r="DT198" s="182">
        <f t="shared" ca="1" si="140"/>
        <v>0</v>
      </c>
      <c r="DU198" s="182"/>
      <c r="DV198" s="182"/>
      <c r="DW198" s="182"/>
    </row>
    <row r="199" spans="109:127">
      <c r="DE199" s="159"/>
      <c r="DF199" s="159"/>
      <c r="DG199" s="159">
        <v>5</v>
      </c>
      <c r="DH199" s="159">
        <v>7</v>
      </c>
      <c r="DI199" s="123">
        <f t="shared" si="138"/>
        <v>7</v>
      </c>
      <c r="DJ199" s="36" t="str">
        <f ca="1">OFFSET(gr_header,DG199+DE176,1+DF176)</f>
        <v/>
      </c>
      <c r="DK199" s="36" t="str">
        <f ca="1">OFFSET(gr_header,DH199+DE176,1+DF176)</f>
        <v/>
      </c>
      <c r="DL199" s="123">
        <f ca="1">OFFSET(gr_header,DG199+DE176,2*DH199+DF176)</f>
        <v>0</v>
      </c>
      <c r="DM199" s="123">
        <f ca="1">OFFSET(gr_header,DG199+DE176,2*DH199+1+DF176)</f>
        <v>0</v>
      </c>
      <c r="DO199" s="183">
        <f t="shared" ca="1" si="133"/>
        <v>0</v>
      </c>
      <c r="DP199" s="183">
        <f t="shared" ca="1" si="134"/>
        <v>0</v>
      </c>
      <c r="DQ199" s="183">
        <f t="shared" ca="1" si="135"/>
        <v>0</v>
      </c>
      <c r="DR199" s="183">
        <f t="shared" ca="1" si="136"/>
        <v>0</v>
      </c>
      <c r="DS199" s="182">
        <f t="shared" ca="1" si="139"/>
        <v>0</v>
      </c>
      <c r="DT199" s="182">
        <f t="shared" ca="1" si="140"/>
        <v>0</v>
      </c>
      <c r="DU199" s="182"/>
      <c r="DV199" s="182"/>
      <c r="DW199" s="182"/>
    </row>
    <row r="200" spans="109:127">
      <c r="DE200" s="159"/>
      <c r="DF200" s="159"/>
      <c r="DG200" s="159">
        <v>5</v>
      </c>
      <c r="DH200" s="159">
        <v>8</v>
      </c>
      <c r="DI200" s="123">
        <f t="shared" si="138"/>
        <v>7</v>
      </c>
      <c r="DJ200" s="36" t="str">
        <f ca="1">OFFSET(gr_header,DG200+DE176,1+DF176)</f>
        <v/>
      </c>
      <c r="DK200" s="36" t="str">
        <f ca="1">OFFSET(gr_header,DH200+DE176,1+DF176)</f>
        <v/>
      </c>
      <c r="DL200" s="123">
        <f ca="1">OFFSET(gr_header,DG200+DE176,2*DH200+DF176)</f>
        <v>0</v>
      </c>
      <c r="DM200" s="123">
        <f ca="1">OFFSET(gr_header,DG200+DE176,2*DH200+1+DF176)</f>
        <v>0</v>
      </c>
      <c r="DO200" s="183">
        <f t="shared" ca="1" si="133"/>
        <v>0</v>
      </c>
      <c r="DP200" s="183">
        <f t="shared" ca="1" si="134"/>
        <v>0</v>
      </c>
      <c r="DQ200" s="183">
        <f t="shared" ca="1" si="135"/>
        <v>0</v>
      </c>
      <c r="DR200" s="183">
        <f t="shared" ca="1" si="136"/>
        <v>0</v>
      </c>
      <c r="DS200" s="182">
        <f t="shared" ca="1" si="139"/>
        <v>0</v>
      </c>
      <c r="DT200" s="182">
        <f t="shared" ca="1" si="140"/>
        <v>0</v>
      </c>
      <c r="DU200" s="182"/>
      <c r="DV200" s="182"/>
      <c r="DW200" s="182"/>
    </row>
    <row r="201" spans="109:127">
      <c r="DE201" s="159"/>
      <c r="DF201" s="159"/>
      <c r="DG201" s="159">
        <v>6</v>
      </c>
      <c r="DH201" s="159">
        <v>7</v>
      </c>
      <c r="DI201" s="123">
        <f t="shared" si="138"/>
        <v>7</v>
      </c>
      <c r="DJ201" s="36" t="str">
        <f ca="1">OFFSET(gr_header,DG201+DE176,1+DF176)</f>
        <v/>
      </c>
      <c r="DK201" s="36" t="str">
        <f ca="1">OFFSET(gr_header,DH201+DE176,1+DF176)</f>
        <v/>
      </c>
      <c r="DL201" s="123">
        <f ca="1">OFFSET(gr_header,DG201+DE176,2*DH201+DF176)</f>
        <v>0</v>
      </c>
      <c r="DM201" s="123">
        <f ca="1">OFFSET(gr_header,DG201+DE176,2*DH201+1+DF176)</f>
        <v>0</v>
      </c>
      <c r="DO201" s="183">
        <f t="shared" ref="DO201:DO264" ca="1" si="141">IF(DJ201="",0,TRIM(MID(DJ201,1,FIND(" ; ",DJ201)-1)))</f>
        <v>0</v>
      </c>
      <c r="DP201" s="183">
        <f t="shared" ref="DP201:DP264" ca="1" si="142">IF(DJ201="",0,TRIM(MID(DJ201,FIND(";",DJ201)+1,LEN(DJ201))))</f>
        <v>0</v>
      </c>
      <c r="DQ201" s="183">
        <f t="shared" ref="DQ201:DQ264" ca="1" si="143">IF(DK201="",0,TRIM(MID(DK201,1,FIND(" ; ",DK201)-1)))</f>
        <v>0</v>
      </c>
      <c r="DR201" s="183">
        <f t="shared" ref="DR201:DR264" ca="1" si="144">IF(DK201="",0,TRIM(MID(DK201,FIND(";",DK201)+1,LEN(DK201))))</f>
        <v>0</v>
      </c>
      <c r="DS201" s="182">
        <f t="shared" ca="1" si="139"/>
        <v>0</v>
      </c>
      <c r="DT201" s="182">
        <f t="shared" ca="1" si="140"/>
        <v>0</v>
      </c>
      <c r="DU201" s="182"/>
      <c r="DV201" s="182"/>
      <c r="DW201" s="182"/>
    </row>
    <row r="202" spans="109:127">
      <c r="DE202" s="159"/>
      <c r="DF202" s="159"/>
      <c r="DG202" s="159">
        <v>6</v>
      </c>
      <c r="DH202" s="159">
        <v>8</v>
      </c>
      <c r="DI202" s="123">
        <f t="shared" si="138"/>
        <v>7</v>
      </c>
      <c r="DJ202" s="36" t="str">
        <f ca="1">OFFSET(gr_header,DG202+DE176,1+DF176)</f>
        <v/>
      </c>
      <c r="DK202" s="36" t="str">
        <f ca="1">OFFSET(gr_header,DH202+DE176,1+DF176)</f>
        <v/>
      </c>
      <c r="DL202" s="123">
        <f ca="1">OFFSET(gr_header,DG202+DE176,2*DH202+DF176)</f>
        <v>0</v>
      </c>
      <c r="DM202" s="123">
        <f ca="1">OFFSET(gr_header,DG202+DE176,2*DH202+1+DF176)</f>
        <v>0</v>
      </c>
      <c r="DO202" s="183">
        <f t="shared" ca="1" si="141"/>
        <v>0</v>
      </c>
      <c r="DP202" s="183">
        <f t="shared" ca="1" si="142"/>
        <v>0</v>
      </c>
      <c r="DQ202" s="183">
        <f t="shared" ca="1" si="143"/>
        <v>0</v>
      </c>
      <c r="DR202" s="183">
        <f t="shared" ca="1" si="144"/>
        <v>0</v>
      </c>
      <c r="DS202" s="182">
        <f t="shared" ca="1" si="139"/>
        <v>0</v>
      </c>
      <c r="DT202" s="182">
        <f t="shared" ca="1" si="140"/>
        <v>0</v>
      </c>
      <c r="DU202" s="182"/>
      <c r="DV202" s="182"/>
      <c r="DW202" s="182"/>
    </row>
    <row r="203" spans="109:127">
      <c r="DE203" s="159"/>
      <c r="DF203" s="159"/>
      <c r="DG203" s="159">
        <v>7</v>
      </c>
      <c r="DH203" s="159">
        <v>8</v>
      </c>
      <c r="DI203" s="123">
        <f t="shared" si="138"/>
        <v>7</v>
      </c>
      <c r="DJ203" s="36" t="str">
        <f ca="1">OFFSET(gr_header,DG203+DE176,1+DF176)</f>
        <v/>
      </c>
      <c r="DK203" s="36" t="str">
        <f ca="1">OFFSET(gr_header,DH203+DE176,1+DF176)</f>
        <v/>
      </c>
      <c r="DL203" s="123">
        <f ca="1">OFFSET(gr_header,DG203+DE176,2*DH203+DF176)</f>
        <v>0</v>
      </c>
      <c r="DM203" s="123">
        <f ca="1">OFFSET(gr_header,DG203+DE203,2*DH203+1+DF203)</f>
        <v>0</v>
      </c>
      <c r="DO203" s="183">
        <f t="shared" ca="1" si="141"/>
        <v>0</v>
      </c>
      <c r="DP203" s="183">
        <f t="shared" ca="1" si="142"/>
        <v>0</v>
      </c>
      <c r="DQ203" s="183">
        <f t="shared" ca="1" si="143"/>
        <v>0</v>
      </c>
      <c r="DR203" s="183">
        <f t="shared" ca="1" si="144"/>
        <v>0</v>
      </c>
      <c r="DS203" s="182">
        <f t="shared" ca="1" si="139"/>
        <v>0</v>
      </c>
      <c r="DT203" s="182">
        <f t="shared" ca="1" si="140"/>
        <v>0</v>
      </c>
      <c r="DU203" s="182"/>
      <c r="DV203" s="182"/>
      <c r="DW203" s="182"/>
    </row>
    <row r="204" spans="109:127">
      <c r="DE204" s="123">
        <f>DE205*shift1</f>
        <v>30</v>
      </c>
      <c r="DF204" s="123">
        <f>DF205*shift2</f>
        <v>24</v>
      </c>
      <c r="DG204" s="123">
        <v>1</v>
      </c>
      <c r="DH204" s="123">
        <v>2</v>
      </c>
      <c r="DI204" s="147">
        <f>DI176+1</f>
        <v>8</v>
      </c>
      <c r="DJ204" s="36" t="str">
        <f ca="1">OFFSET(gr_header,DG204+DE204,1+DF204)</f>
        <v/>
      </c>
      <c r="DK204" s="36" t="str">
        <f ca="1">OFFSET(gr_header,DH204+DE204,1+DF204)</f>
        <v/>
      </c>
      <c r="DL204" s="123">
        <f ca="1">OFFSET(gr_header,DG204+DE204,2*DH204+DF204)</f>
        <v>0</v>
      </c>
      <c r="DM204" s="123">
        <f ca="1">OFFSET(gr_header,DG204+DE204,2*DH204+1+DF204)</f>
        <v>0</v>
      </c>
      <c r="DO204" s="183">
        <f t="shared" ca="1" si="141"/>
        <v>0</v>
      </c>
      <c r="DP204" s="183">
        <f t="shared" ca="1" si="142"/>
        <v>0</v>
      </c>
      <c r="DQ204" s="183">
        <f t="shared" ca="1" si="143"/>
        <v>0</v>
      </c>
      <c r="DR204" s="183">
        <f t="shared" ca="1" si="144"/>
        <v>0</v>
      </c>
      <c r="DS204" s="182">
        <f t="shared" ca="1" si="139"/>
        <v>0</v>
      </c>
      <c r="DT204" s="182">
        <f t="shared" ca="1" si="140"/>
        <v>0</v>
      </c>
      <c r="DU204" s="182"/>
      <c r="DV204" s="182"/>
      <c r="DW204" s="182"/>
    </row>
    <row r="205" spans="109:127">
      <c r="DE205" s="123">
        <f>INT((DI204-1)/2)</f>
        <v>3</v>
      </c>
      <c r="DF205" s="123">
        <f>1-(INT((DI204+1)/2)*2-DI204)</f>
        <v>1</v>
      </c>
      <c r="DG205" s="123">
        <v>1</v>
      </c>
      <c r="DH205" s="123">
        <v>3</v>
      </c>
      <c r="DI205" s="123">
        <f>DI204</f>
        <v>8</v>
      </c>
      <c r="DJ205" s="36" t="str">
        <f ca="1">OFFSET(gr_header,DG205+DE204,1+DF204)</f>
        <v/>
      </c>
      <c r="DK205" s="36" t="str">
        <f ca="1">OFFSET(gr_header,DH205+DE204,1+DF204)</f>
        <v/>
      </c>
      <c r="DL205" s="123">
        <f ca="1">OFFSET(gr_header,DG205+DE204,2*DH205+DF204)</f>
        <v>0</v>
      </c>
      <c r="DM205" s="123">
        <f ca="1">OFFSET(gr_header,DG205+DE204,2*DH205+1+DF204)</f>
        <v>0</v>
      </c>
      <c r="DO205" s="183">
        <f t="shared" ca="1" si="141"/>
        <v>0</v>
      </c>
      <c r="DP205" s="183">
        <f t="shared" ca="1" si="142"/>
        <v>0</v>
      </c>
      <c r="DQ205" s="183">
        <f t="shared" ca="1" si="143"/>
        <v>0</v>
      </c>
      <c r="DR205" s="183">
        <f t="shared" ca="1" si="144"/>
        <v>0</v>
      </c>
      <c r="DS205" s="182">
        <f t="shared" ca="1" si="139"/>
        <v>0</v>
      </c>
      <c r="DT205" s="182">
        <f t="shared" ca="1" si="140"/>
        <v>0</v>
      </c>
      <c r="DU205" s="182"/>
      <c r="DV205" s="182"/>
      <c r="DW205" s="182"/>
    </row>
    <row r="206" spans="109:127">
      <c r="DG206" s="123">
        <v>1</v>
      </c>
      <c r="DH206" s="123">
        <v>4</v>
      </c>
      <c r="DI206" s="123">
        <f t="shared" ref="DI206:DI231" si="145">DI205</f>
        <v>8</v>
      </c>
      <c r="DJ206" s="36" t="str">
        <f ca="1">OFFSET(gr_header,DG206+DE204,1+DF204)</f>
        <v/>
      </c>
      <c r="DK206" s="36" t="str">
        <f ca="1">OFFSET(gr_header,DH206+DE204,1+DF204)</f>
        <v/>
      </c>
      <c r="DL206" s="123">
        <f ca="1">OFFSET(gr_header,DG206+DE204,2*DH206+DF204)</f>
        <v>0</v>
      </c>
      <c r="DM206" s="123">
        <f ca="1">OFFSET(gr_header,DG206+DE204,2*DH206+1+DF204)</f>
        <v>0</v>
      </c>
      <c r="DO206" s="183">
        <f t="shared" ca="1" si="141"/>
        <v>0</v>
      </c>
      <c r="DP206" s="183">
        <f t="shared" ca="1" si="142"/>
        <v>0</v>
      </c>
      <c r="DQ206" s="183">
        <f t="shared" ca="1" si="143"/>
        <v>0</v>
      </c>
      <c r="DR206" s="183">
        <f t="shared" ca="1" si="144"/>
        <v>0</v>
      </c>
      <c r="DS206" s="182">
        <f t="shared" ca="1" si="139"/>
        <v>0</v>
      </c>
      <c r="DT206" s="182">
        <f t="shared" ca="1" si="140"/>
        <v>0</v>
      </c>
      <c r="DU206" s="182"/>
      <c r="DV206" s="182"/>
      <c r="DW206" s="182"/>
    </row>
    <row r="207" spans="109:127">
      <c r="DG207" s="123">
        <v>1</v>
      </c>
      <c r="DH207" s="123">
        <v>5</v>
      </c>
      <c r="DI207" s="123">
        <f t="shared" si="145"/>
        <v>8</v>
      </c>
      <c r="DJ207" s="36" t="str">
        <f ca="1">OFFSET(gr_header,DG207+DE204,1+DF204)</f>
        <v/>
      </c>
      <c r="DK207" s="36" t="str">
        <f ca="1">OFFSET(gr_header,DH207+DE204,1+DF204)</f>
        <v/>
      </c>
      <c r="DL207" s="123">
        <f ca="1">OFFSET(gr_header,DG207+DE204,2*DH207+DF204)</f>
        <v>0</v>
      </c>
      <c r="DM207" s="123">
        <f ca="1">OFFSET(gr_header,DG207+DE204,2*DH207+1+DF204)</f>
        <v>0</v>
      </c>
      <c r="DO207" s="183">
        <f t="shared" ca="1" si="141"/>
        <v>0</v>
      </c>
      <c r="DP207" s="183">
        <f t="shared" ca="1" si="142"/>
        <v>0</v>
      </c>
      <c r="DQ207" s="183">
        <f t="shared" ca="1" si="143"/>
        <v>0</v>
      </c>
      <c r="DR207" s="183">
        <f t="shared" ca="1" si="144"/>
        <v>0</v>
      </c>
      <c r="DS207" s="182">
        <f t="shared" ca="1" si="139"/>
        <v>0</v>
      </c>
      <c r="DT207" s="182">
        <f t="shared" ca="1" si="140"/>
        <v>0</v>
      </c>
      <c r="DU207" s="182"/>
      <c r="DV207" s="182"/>
      <c r="DW207" s="182"/>
    </row>
    <row r="208" spans="109:127">
      <c r="DG208" s="123">
        <v>1</v>
      </c>
      <c r="DH208" s="123">
        <v>6</v>
      </c>
      <c r="DI208" s="123">
        <f t="shared" si="145"/>
        <v>8</v>
      </c>
      <c r="DJ208" s="36" t="str">
        <f ca="1">OFFSET(gr_header,DG208+DE204,1+DF204)</f>
        <v/>
      </c>
      <c r="DK208" s="36" t="str">
        <f ca="1">OFFSET(gr_header,DH208+DE204,1+DF204)</f>
        <v/>
      </c>
      <c r="DL208" s="123">
        <f ca="1">OFFSET(gr_header,DG208+DE204,2*DH208+DF204)</f>
        <v>0</v>
      </c>
      <c r="DM208" s="123">
        <f ca="1">OFFSET(gr_header,DG208+DE204,2*DH208+1+DF204)</f>
        <v>0</v>
      </c>
      <c r="DO208" s="183">
        <f t="shared" ca="1" si="141"/>
        <v>0</v>
      </c>
      <c r="DP208" s="183">
        <f t="shared" ca="1" si="142"/>
        <v>0</v>
      </c>
      <c r="DQ208" s="183">
        <f t="shared" ca="1" si="143"/>
        <v>0</v>
      </c>
      <c r="DR208" s="183">
        <f t="shared" ca="1" si="144"/>
        <v>0</v>
      </c>
      <c r="DS208" s="182">
        <f t="shared" ca="1" si="139"/>
        <v>0</v>
      </c>
      <c r="DT208" s="182">
        <f t="shared" ca="1" si="140"/>
        <v>0</v>
      </c>
      <c r="DU208" s="182"/>
      <c r="DV208" s="182"/>
      <c r="DW208" s="182"/>
    </row>
    <row r="209" spans="109:127">
      <c r="DG209" s="123">
        <v>1</v>
      </c>
      <c r="DH209" s="123">
        <v>7</v>
      </c>
      <c r="DI209" s="123">
        <f t="shared" si="145"/>
        <v>8</v>
      </c>
      <c r="DJ209" s="36" t="str">
        <f ca="1">OFFSET(gr_header,DG209+DE204,1+DF204)</f>
        <v/>
      </c>
      <c r="DK209" s="36" t="str">
        <f ca="1">OFFSET(gr_header,DH209+DE204,1+DF204)</f>
        <v/>
      </c>
      <c r="DL209" s="123">
        <f ca="1">OFFSET(gr_header,DG209+DE204,2*DH209+DF204)</f>
        <v>0</v>
      </c>
      <c r="DM209" s="123">
        <f ca="1">OFFSET(gr_header,DG209+DE204,2*DH209+1+DF204)</f>
        <v>0</v>
      </c>
      <c r="DO209" s="183">
        <f t="shared" ca="1" si="141"/>
        <v>0</v>
      </c>
      <c r="DP209" s="183">
        <f t="shared" ca="1" si="142"/>
        <v>0</v>
      </c>
      <c r="DQ209" s="183">
        <f t="shared" ca="1" si="143"/>
        <v>0</v>
      </c>
      <c r="DR209" s="183">
        <f t="shared" ca="1" si="144"/>
        <v>0</v>
      </c>
      <c r="DS209" s="182">
        <f t="shared" ca="1" si="139"/>
        <v>0</v>
      </c>
      <c r="DT209" s="182">
        <f t="shared" ca="1" si="140"/>
        <v>0</v>
      </c>
      <c r="DU209" s="182"/>
      <c r="DV209" s="182"/>
      <c r="DW209" s="182"/>
    </row>
    <row r="210" spans="109:127">
      <c r="DE210" s="159"/>
      <c r="DF210" s="159"/>
      <c r="DG210" s="159">
        <v>1</v>
      </c>
      <c r="DH210" s="123">
        <v>8</v>
      </c>
      <c r="DI210" s="123">
        <f t="shared" si="145"/>
        <v>8</v>
      </c>
      <c r="DJ210" s="36" t="str">
        <f ca="1">OFFSET(gr_header,DG210+DE204,1+DF204)</f>
        <v/>
      </c>
      <c r="DK210" s="36" t="str">
        <f ca="1">OFFSET(gr_header,DH210+DE204,1+DF204)</f>
        <v/>
      </c>
      <c r="DL210" s="123">
        <f ca="1">OFFSET(gr_header,DG210+DE204,2*DH210+DF204)</f>
        <v>0</v>
      </c>
      <c r="DM210" s="123">
        <f ca="1">OFFSET(gr_header,DG210+DE204,2*DH210+1+DF204)</f>
        <v>0</v>
      </c>
      <c r="DO210" s="183">
        <f t="shared" ca="1" si="141"/>
        <v>0</v>
      </c>
      <c r="DP210" s="183">
        <f t="shared" ca="1" si="142"/>
        <v>0</v>
      </c>
      <c r="DQ210" s="183">
        <f t="shared" ca="1" si="143"/>
        <v>0</v>
      </c>
      <c r="DR210" s="183">
        <f t="shared" ca="1" si="144"/>
        <v>0</v>
      </c>
      <c r="DS210" s="182">
        <f t="shared" ca="1" si="139"/>
        <v>0</v>
      </c>
      <c r="DT210" s="182">
        <f t="shared" ca="1" si="140"/>
        <v>0</v>
      </c>
      <c r="DU210" s="182"/>
      <c r="DV210" s="182"/>
      <c r="DW210" s="182"/>
    </row>
    <row r="211" spans="109:127">
      <c r="DE211" s="159"/>
      <c r="DF211" s="159"/>
      <c r="DG211" s="159">
        <v>2</v>
      </c>
      <c r="DH211" s="159">
        <v>3</v>
      </c>
      <c r="DI211" s="123">
        <f t="shared" si="145"/>
        <v>8</v>
      </c>
      <c r="DJ211" s="36" t="str">
        <f ca="1">OFFSET(gr_header,DG211+DE204,1+DF204)</f>
        <v/>
      </c>
      <c r="DK211" s="36" t="str">
        <f ca="1">OFFSET(gr_header,DH211+DE204,1+DF204)</f>
        <v/>
      </c>
      <c r="DL211" s="123">
        <f ca="1">OFFSET(gr_header,DG211+DE204,2*DH211+DF204)</f>
        <v>0</v>
      </c>
      <c r="DM211" s="123">
        <f ca="1">OFFSET(gr_header,DG211+DE204,2*DH211+1+DF204)</f>
        <v>0</v>
      </c>
      <c r="DO211" s="183">
        <f t="shared" ca="1" si="141"/>
        <v>0</v>
      </c>
      <c r="DP211" s="183">
        <f t="shared" ca="1" si="142"/>
        <v>0</v>
      </c>
      <c r="DQ211" s="183">
        <f t="shared" ca="1" si="143"/>
        <v>0</v>
      </c>
      <c r="DR211" s="183">
        <f t="shared" ca="1" si="144"/>
        <v>0</v>
      </c>
      <c r="DS211" s="182">
        <f t="shared" ca="1" si="139"/>
        <v>0</v>
      </c>
      <c r="DT211" s="182">
        <f t="shared" ca="1" si="140"/>
        <v>0</v>
      </c>
      <c r="DU211" s="182"/>
      <c r="DV211" s="182"/>
      <c r="DW211" s="182"/>
    </row>
    <row r="212" spans="109:127">
      <c r="DE212" s="159"/>
      <c r="DF212" s="159"/>
      <c r="DG212" s="159">
        <v>2</v>
      </c>
      <c r="DH212" s="159">
        <v>4</v>
      </c>
      <c r="DI212" s="123">
        <f t="shared" si="145"/>
        <v>8</v>
      </c>
      <c r="DJ212" s="36" t="str">
        <f ca="1">OFFSET(gr_header,DG212+DE204,1+DF204)</f>
        <v/>
      </c>
      <c r="DK212" s="36" t="str">
        <f ca="1">OFFSET(gr_header,DH212+DE204,1+DF204)</f>
        <v/>
      </c>
      <c r="DL212" s="123">
        <f ca="1">OFFSET(gr_header,DG212+DE204,2*DH212+DF204)</f>
        <v>0</v>
      </c>
      <c r="DM212" s="123">
        <f ca="1">OFFSET(gr_header,DG212+DE204,2*DH212+1+DF204)</f>
        <v>0</v>
      </c>
      <c r="DO212" s="183">
        <f t="shared" ca="1" si="141"/>
        <v>0</v>
      </c>
      <c r="DP212" s="183">
        <f t="shared" ca="1" si="142"/>
        <v>0</v>
      </c>
      <c r="DQ212" s="183">
        <f t="shared" ca="1" si="143"/>
        <v>0</v>
      </c>
      <c r="DR212" s="183">
        <f t="shared" ca="1" si="144"/>
        <v>0</v>
      </c>
      <c r="DS212" s="182">
        <f t="shared" ca="1" si="139"/>
        <v>0</v>
      </c>
      <c r="DT212" s="182">
        <f t="shared" ca="1" si="140"/>
        <v>0</v>
      </c>
      <c r="DU212" s="182"/>
      <c r="DV212" s="182"/>
      <c r="DW212" s="182"/>
    </row>
    <row r="213" spans="109:127">
      <c r="DE213" s="159"/>
      <c r="DF213" s="159"/>
      <c r="DG213" s="159">
        <v>2</v>
      </c>
      <c r="DH213" s="159">
        <v>5</v>
      </c>
      <c r="DI213" s="123">
        <f t="shared" si="145"/>
        <v>8</v>
      </c>
      <c r="DJ213" s="36" t="str">
        <f ca="1">OFFSET(gr_header,DG213+DE204,1+DF204)</f>
        <v/>
      </c>
      <c r="DK213" s="36" t="str">
        <f ca="1">OFFSET(gr_header,DH213+DE204,1+DF204)</f>
        <v/>
      </c>
      <c r="DL213" s="123">
        <f ca="1">OFFSET(gr_header,DG213+DE204,2*DH213+DF204)</f>
        <v>0</v>
      </c>
      <c r="DM213" s="123">
        <f ca="1">OFFSET(gr_header,DG213+DE204,2*DH213+1+DF204)</f>
        <v>0</v>
      </c>
      <c r="DO213" s="183">
        <f t="shared" ca="1" si="141"/>
        <v>0</v>
      </c>
      <c r="DP213" s="183">
        <f t="shared" ca="1" si="142"/>
        <v>0</v>
      </c>
      <c r="DQ213" s="183">
        <f t="shared" ca="1" si="143"/>
        <v>0</v>
      </c>
      <c r="DR213" s="183">
        <f t="shared" ca="1" si="144"/>
        <v>0</v>
      </c>
      <c r="DS213" s="182">
        <f t="shared" ca="1" si="139"/>
        <v>0</v>
      </c>
      <c r="DT213" s="182">
        <f t="shared" ca="1" si="140"/>
        <v>0</v>
      </c>
      <c r="DU213" s="182"/>
      <c r="DV213" s="182"/>
      <c r="DW213" s="182"/>
    </row>
    <row r="214" spans="109:127">
      <c r="DE214" s="159"/>
      <c r="DF214" s="159"/>
      <c r="DG214" s="159">
        <v>2</v>
      </c>
      <c r="DH214" s="159">
        <v>6</v>
      </c>
      <c r="DI214" s="123">
        <f t="shared" si="145"/>
        <v>8</v>
      </c>
      <c r="DJ214" s="36" t="str">
        <f ca="1">OFFSET(gr_header,DG214+DE204,1+DF204)</f>
        <v/>
      </c>
      <c r="DK214" s="36" t="str">
        <f ca="1">OFFSET(gr_header,DH214+DE204,1+DF204)</f>
        <v/>
      </c>
      <c r="DL214" s="123">
        <f ca="1">OFFSET(gr_header,DG214+DE204,2*DH214+DF204)</f>
        <v>0</v>
      </c>
      <c r="DM214" s="123">
        <f ca="1">OFFSET(gr_header,DG214+DE204,2*DH214+1+DF204)</f>
        <v>0</v>
      </c>
      <c r="DO214" s="183">
        <f t="shared" ca="1" si="141"/>
        <v>0</v>
      </c>
      <c r="DP214" s="183">
        <f t="shared" ca="1" si="142"/>
        <v>0</v>
      </c>
      <c r="DQ214" s="183">
        <f t="shared" ca="1" si="143"/>
        <v>0</v>
      </c>
      <c r="DR214" s="183">
        <f t="shared" ca="1" si="144"/>
        <v>0</v>
      </c>
      <c r="DS214" s="182">
        <f t="shared" ca="1" si="139"/>
        <v>0</v>
      </c>
      <c r="DT214" s="182">
        <f t="shared" ca="1" si="140"/>
        <v>0</v>
      </c>
      <c r="DU214" s="182"/>
      <c r="DV214" s="182"/>
      <c r="DW214" s="182"/>
    </row>
    <row r="215" spans="109:127">
      <c r="DE215" s="159"/>
      <c r="DF215" s="159"/>
      <c r="DG215" s="159">
        <v>2</v>
      </c>
      <c r="DH215" s="159">
        <v>7</v>
      </c>
      <c r="DI215" s="123">
        <f t="shared" si="145"/>
        <v>8</v>
      </c>
      <c r="DJ215" s="36" t="str">
        <f ca="1">OFFSET(gr_header,DG215+DE204,1+DF204)</f>
        <v/>
      </c>
      <c r="DK215" s="36" t="str">
        <f ca="1">OFFSET(gr_header,DH215+DE204,1+DF204)</f>
        <v/>
      </c>
      <c r="DL215" s="123">
        <f ca="1">OFFSET(gr_header,DG215+DE204,2*DH215+DF204)</f>
        <v>0</v>
      </c>
      <c r="DM215" s="123">
        <f ca="1">OFFSET(gr_header,DG215+DE204,2*DH215+1+DF204)</f>
        <v>0</v>
      </c>
      <c r="DO215" s="183">
        <f t="shared" ca="1" si="141"/>
        <v>0</v>
      </c>
      <c r="DP215" s="183">
        <f t="shared" ca="1" si="142"/>
        <v>0</v>
      </c>
      <c r="DQ215" s="183">
        <f t="shared" ca="1" si="143"/>
        <v>0</v>
      </c>
      <c r="DR215" s="183">
        <f t="shared" ca="1" si="144"/>
        <v>0</v>
      </c>
      <c r="DS215" s="182">
        <f t="shared" ca="1" si="139"/>
        <v>0</v>
      </c>
      <c r="DT215" s="182">
        <f t="shared" ca="1" si="140"/>
        <v>0</v>
      </c>
      <c r="DU215" s="182"/>
      <c r="DV215" s="182"/>
      <c r="DW215" s="182"/>
    </row>
    <row r="216" spans="109:127">
      <c r="DE216" s="159"/>
      <c r="DF216" s="159"/>
      <c r="DG216" s="159">
        <v>2</v>
      </c>
      <c r="DH216" s="159">
        <v>8</v>
      </c>
      <c r="DI216" s="123">
        <f t="shared" si="145"/>
        <v>8</v>
      </c>
      <c r="DJ216" s="36" t="str">
        <f ca="1">OFFSET(gr_header,DG216+DE204,1+DF204)</f>
        <v/>
      </c>
      <c r="DK216" s="36" t="str">
        <f ca="1">OFFSET(gr_header,DH216+DE204,1+DF204)</f>
        <v/>
      </c>
      <c r="DL216" s="123">
        <f ca="1">OFFSET(gr_header,DG216+DE204,2*DH216+DF204)</f>
        <v>0</v>
      </c>
      <c r="DM216" s="123">
        <f ca="1">OFFSET(gr_header,DG216+DE204,2*DH216+1+DF204)</f>
        <v>0</v>
      </c>
      <c r="DO216" s="183">
        <f t="shared" ca="1" si="141"/>
        <v>0</v>
      </c>
      <c r="DP216" s="183">
        <f t="shared" ca="1" si="142"/>
        <v>0</v>
      </c>
      <c r="DQ216" s="183">
        <f t="shared" ca="1" si="143"/>
        <v>0</v>
      </c>
      <c r="DR216" s="183">
        <f t="shared" ca="1" si="144"/>
        <v>0</v>
      </c>
      <c r="DS216" s="182">
        <f t="shared" ca="1" si="139"/>
        <v>0</v>
      </c>
      <c r="DT216" s="182">
        <f t="shared" ca="1" si="140"/>
        <v>0</v>
      </c>
      <c r="DU216" s="182"/>
      <c r="DV216" s="182"/>
      <c r="DW216" s="182"/>
    </row>
    <row r="217" spans="109:127">
      <c r="DE217" s="159"/>
      <c r="DF217" s="159"/>
      <c r="DG217" s="159">
        <v>3</v>
      </c>
      <c r="DH217" s="159">
        <v>4</v>
      </c>
      <c r="DI217" s="123">
        <f t="shared" si="145"/>
        <v>8</v>
      </c>
      <c r="DJ217" s="36" t="str">
        <f ca="1">OFFSET(gr_header,DG217+DE204,1+DF204)</f>
        <v/>
      </c>
      <c r="DK217" s="36" t="str">
        <f ca="1">OFFSET(gr_header,DH217+DE204,1+DF204)</f>
        <v/>
      </c>
      <c r="DL217" s="123">
        <f ca="1">OFFSET(gr_header,DG217+DE204,2*DH217+DF204)</f>
        <v>0</v>
      </c>
      <c r="DM217" s="123">
        <f ca="1">OFFSET(gr_header,DG217+DE204,2*DH217+1+DF204)</f>
        <v>0</v>
      </c>
      <c r="DO217" s="183">
        <f t="shared" ca="1" si="141"/>
        <v>0</v>
      </c>
      <c r="DP217" s="183">
        <f t="shared" ca="1" si="142"/>
        <v>0</v>
      </c>
      <c r="DQ217" s="183">
        <f t="shared" ca="1" si="143"/>
        <v>0</v>
      </c>
      <c r="DR217" s="183">
        <f t="shared" ca="1" si="144"/>
        <v>0</v>
      </c>
      <c r="DS217" s="182">
        <f t="shared" ca="1" si="139"/>
        <v>0</v>
      </c>
      <c r="DT217" s="182">
        <f t="shared" ca="1" si="140"/>
        <v>0</v>
      </c>
      <c r="DU217" s="182"/>
      <c r="DV217" s="182"/>
      <c r="DW217" s="182"/>
    </row>
    <row r="218" spans="109:127">
      <c r="DE218" s="159"/>
      <c r="DF218" s="159"/>
      <c r="DG218" s="159">
        <v>3</v>
      </c>
      <c r="DH218" s="159">
        <v>5</v>
      </c>
      <c r="DI218" s="123">
        <f t="shared" si="145"/>
        <v>8</v>
      </c>
      <c r="DJ218" s="36" t="str">
        <f ca="1">OFFSET(gr_header,DG218+DE204,1+DF204)</f>
        <v/>
      </c>
      <c r="DK218" s="36" t="str">
        <f ca="1">OFFSET(gr_header,DH218+DE204,1+DF204)</f>
        <v/>
      </c>
      <c r="DL218" s="123">
        <f ca="1">OFFSET(gr_header,DG218+DE204,2*DH218+DF204)</f>
        <v>0</v>
      </c>
      <c r="DM218" s="123">
        <f ca="1">OFFSET(gr_header,DG218+DE204,2*DH218+1+DF204)</f>
        <v>0</v>
      </c>
      <c r="DO218" s="183">
        <f t="shared" ca="1" si="141"/>
        <v>0</v>
      </c>
      <c r="DP218" s="183">
        <f t="shared" ca="1" si="142"/>
        <v>0</v>
      </c>
      <c r="DQ218" s="183">
        <f t="shared" ca="1" si="143"/>
        <v>0</v>
      </c>
      <c r="DR218" s="183">
        <f t="shared" ca="1" si="144"/>
        <v>0</v>
      </c>
      <c r="DS218" s="182">
        <f t="shared" ca="1" si="139"/>
        <v>0</v>
      </c>
      <c r="DT218" s="182">
        <f t="shared" ca="1" si="140"/>
        <v>0</v>
      </c>
      <c r="DU218" s="182"/>
      <c r="DV218" s="182"/>
      <c r="DW218" s="182"/>
    </row>
    <row r="219" spans="109:127">
      <c r="DE219" s="159"/>
      <c r="DF219" s="159"/>
      <c r="DG219" s="159">
        <v>3</v>
      </c>
      <c r="DH219" s="159">
        <v>6</v>
      </c>
      <c r="DI219" s="123">
        <f t="shared" si="145"/>
        <v>8</v>
      </c>
      <c r="DJ219" s="36" t="str">
        <f ca="1">OFFSET(gr_header,DG219+DE204,1+DF204)</f>
        <v/>
      </c>
      <c r="DK219" s="36" t="str">
        <f ca="1">OFFSET(gr_header,DH219+DE204,1+DF204)</f>
        <v/>
      </c>
      <c r="DL219" s="123">
        <f ca="1">OFFSET(gr_header,DG219+DE204,2*DH219+DF204)</f>
        <v>0</v>
      </c>
      <c r="DM219" s="123">
        <f ca="1">OFFSET(gr_header,DG219+DE204,2*DH219+1+DF204)</f>
        <v>0</v>
      </c>
      <c r="DO219" s="183">
        <f t="shared" ca="1" si="141"/>
        <v>0</v>
      </c>
      <c r="DP219" s="183">
        <f t="shared" ca="1" si="142"/>
        <v>0</v>
      </c>
      <c r="DQ219" s="183">
        <f t="shared" ca="1" si="143"/>
        <v>0</v>
      </c>
      <c r="DR219" s="183">
        <f t="shared" ca="1" si="144"/>
        <v>0</v>
      </c>
      <c r="DS219" s="182">
        <f t="shared" ca="1" si="139"/>
        <v>0</v>
      </c>
      <c r="DT219" s="182">
        <f t="shared" ca="1" si="140"/>
        <v>0</v>
      </c>
      <c r="DU219" s="182"/>
      <c r="DV219" s="182"/>
      <c r="DW219" s="182"/>
    </row>
    <row r="220" spans="109:127">
      <c r="DE220" s="159"/>
      <c r="DF220" s="159"/>
      <c r="DG220" s="159">
        <v>3</v>
      </c>
      <c r="DH220" s="159">
        <v>7</v>
      </c>
      <c r="DI220" s="123">
        <f t="shared" si="145"/>
        <v>8</v>
      </c>
      <c r="DJ220" s="36" t="str">
        <f ca="1">OFFSET(gr_header,DG220+DE204,1+DF204)</f>
        <v/>
      </c>
      <c r="DK220" s="36" t="str">
        <f ca="1">OFFSET(gr_header,DH220+DE204,1+DF204)</f>
        <v/>
      </c>
      <c r="DL220" s="123">
        <f ca="1">OFFSET(gr_header,DG220+DE204,2*DH220+DF204)</f>
        <v>0</v>
      </c>
      <c r="DM220" s="123">
        <f ca="1">OFFSET(gr_header,DG220+DE204,2*DH220+1+DF204)</f>
        <v>0</v>
      </c>
      <c r="DO220" s="183">
        <f t="shared" ca="1" si="141"/>
        <v>0</v>
      </c>
      <c r="DP220" s="183">
        <f t="shared" ca="1" si="142"/>
        <v>0</v>
      </c>
      <c r="DQ220" s="183">
        <f t="shared" ca="1" si="143"/>
        <v>0</v>
      </c>
      <c r="DR220" s="183">
        <f t="shared" ca="1" si="144"/>
        <v>0</v>
      </c>
      <c r="DS220" s="182">
        <f t="shared" ca="1" si="139"/>
        <v>0</v>
      </c>
      <c r="DT220" s="182">
        <f t="shared" ca="1" si="140"/>
        <v>0</v>
      </c>
      <c r="DU220" s="182"/>
      <c r="DV220" s="182"/>
      <c r="DW220" s="182"/>
    </row>
    <row r="221" spans="109:127">
      <c r="DE221" s="159"/>
      <c r="DF221" s="159"/>
      <c r="DG221" s="159">
        <v>3</v>
      </c>
      <c r="DH221" s="159">
        <v>8</v>
      </c>
      <c r="DI221" s="123">
        <f t="shared" si="145"/>
        <v>8</v>
      </c>
      <c r="DJ221" s="36" t="str">
        <f ca="1">OFFSET(gr_header,DG221+DE204,1+DF204)</f>
        <v/>
      </c>
      <c r="DK221" s="36" t="str">
        <f ca="1">OFFSET(gr_header,DH221+DE204,1+DF204)</f>
        <v/>
      </c>
      <c r="DL221" s="123">
        <f ca="1">OFFSET(gr_header,DG221+DE204,2*DH221+DF204)</f>
        <v>0</v>
      </c>
      <c r="DM221" s="123">
        <f ca="1">OFFSET(gr_header,DG221+DE204,2*DH221+1+DF204)</f>
        <v>0</v>
      </c>
      <c r="DO221" s="183">
        <f t="shared" ca="1" si="141"/>
        <v>0</v>
      </c>
      <c r="DP221" s="183">
        <f t="shared" ca="1" si="142"/>
        <v>0</v>
      </c>
      <c r="DQ221" s="183">
        <f t="shared" ca="1" si="143"/>
        <v>0</v>
      </c>
      <c r="DR221" s="183">
        <f t="shared" ca="1" si="144"/>
        <v>0</v>
      </c>
      <c r="DS221" s="182">
        <f t="shared" ca="1" si="139"/>
        <v>0</v>
      </c>
      <c r="DT221" s="182">
        <f t="shared" ca="1" si="140"/>
        <v>0</v>
      </c>
      <c r="DU221" s="182"/>
      <c r="DV221" s="182"/>
      <c r="DW221" s="182"/>
    </row>
    <row r="222" spans="109:127">
      <c r="DE222" s="159"/>
      <c r="DF222" s="159"/>
      <c r="DG222" s="159">
        <v>4</v>
      </c>
      <c r="DH222" s="159">
        <v>5</v>
      </c>
      <c r="DI222" s="123">
        <f t="shared" si="145"/>
        <v>8</v>
      </c>
      <c r="DJ222" s="36" t="str">
        <f ca="1">OFFSET(gr_header,DG222+DE204,1+DF204)</f>
        <v/>
      </c>
      <c r="DK222" s="36" t="str">
        <f ca="1">OFFSET(gr_header,DH222+DE204,1+DF204)</f>
        <v/>
      </c>
      <c r="DL222" s="123">
        <f ca="1">OFFSET(gr_header,DG222+DE204,2*DH222+DF204)</f>
        <v>0</v>
      </c>
      <c r="DM222" s="123">
        <f ca="1">OFFSET(gr_header,DG222+DE204,2*DH222+1+DF204)</f>
        <v>0</v>
      </c>
      <c r="DO222" s="183">
        <f t="shared" ca="1" si="141"/>
        <v>0</v>
      </c>
      <c r="DP222" s="183">
        <f t="shared" ca="1" si="142"/>
        <v>0</v>
      </c>
      <c r="DQ222" s="183">
        <f t="shared" ca="1" si="143"/>
        <v>0</v>
      </c>
      <c r="DR222" s="183">
        <f t="shared" ca="1" si="144"/>
        <v>0</v>
      </c>
      <c r="DS222" s="182">
        <f t="shared" ca="1" si="139"/>
        <v>0</v>
      </c>
      <c r="DT222" s="182">
        <f t="shared" ca="1" si="140"/>
        <v>0</v>
      </c>
      <c r="DU222" s="182"/>
      <c r="DV222" s="182"/>
      <c r="DW222" s="182"/>
    </row>
    <row r="223" spans="109:127">
      <c r="DE223" s="159"/>
      <c r="DF223" s="159"/>
      <c r="DG223" s="159">
        <v>4</v>
      </c>
      <c r="DH223" s="159">
        <v>6</v>
      </c>
      <c r="DI223" s="123">
        <f t="shared" si="145"/>
        <v>8</v>
      </c>
      <c r="DJ223" s="36" t="str">
        <f ca="1">OFFSET(gr_header,DG223+DE204,1+DF204)</f>
        <v/>
      </c>
      <c r="DK223" s="36" t="str">
        <f ca="1">OFFSET(gr_header,DH223+DE204,1+DF204)</f>
        <v/>
      </c>
      <c r="DL223" s="123">
        <f ca="1">OFFSET(gr_header,DG223+DE204,2*DH223+DF204)</f>
        <v>0</v>
      </c>
      <c r="DM223" s="123">
        <f ca="1">OFFSET(gr_header,DG223+DE204,2*DH223+1+DF204)</f>
        <v>0</v>
      </c>
      <c r="DO223" s="183">
        <f t="shared" ca="1" si="141"/>
        <v>0</v>
      </c>
      <c r="DP223" s="183">
        <f t="shared" ca="1" si="142"/>
        <v>0</v>
      </c>
      <c r="DQ223" s="183">
        <f t="shared" ca="1" si="143"/>
        <v>0</v>
      </c>
      <c r="DR223" s="183">
        <f t="shared" ca="1" si="144"/>
        <v>0</v>
      </c>
      <c r="DS223" s="182">
        <f t="shared" ca="1" si="139"/>
        <v>0</v>
      </c>
      <c r="DT223" s="182">
        <f t="shared" ca="1" si="140"/>
        <v>0</v>
      </c>
      <c r="DU223" s="182"/>
      <c r="DV223" s="182"/>
      <c r="DW223" s="182"/>
    </row>
    <row r="224" spans="109:127">
      <c r="DE224" s="159"/>
      <c r="DF224" s="159"/>
      <c r="DG224" s="159">
        <v>4</v>
      </c>
      <c r="DH224" s="159">
        <v>7</v>
      </c>
      <c r="DI224" s="123">
        <f t="shared" si="145"/>
        <v>8</v>
      </c>
      <c r="DJ224" s="36" t="str">
        <f ca="1">OFFSET(gr_header,DG224+DE204,1+DF204)</f>
        <v/>
      </c>
      <c r="DK224" s="36" t="str">
        <f ca="1">OFFSET(gr_header,DH224+DE204,1+DF204)</f>
        <v/>
      </c>
      <c r="DL224" s="123">
        <f ca="1">OFFSET(gr_header,DG224+DE204,2*DH224+DF204)</f>
        <v>0</v>
      </c>
      <c r="DM224" s="123">
        <f ca="1">OFFSET(gr_header,DG224+DE204,2*DH224+1+DF204)</f>
        <v>0</v>
      </c>
      <c r="DO224" s="183">
        <f t="shared" ca="1" si="141"/>
        <v>0</v>
      </c>
      <c r="DP224" s="183">
        <f t="shared" ca="1" si="142"/>
        <v>0</v>
      </c>
      <c r="DQ224" s="183">
        <f t="shared" ca="1" si="143"/>
        <v>0</v>
      </c>
      <c r="DR224" s="183">
        <f t="shared" ca="1" si="144"/>
        <v>0</v>
      </c>
      <c r="DS224" s="182">
        <f t="shared" ca="1" si="139"/>
        <v>0</v>
      </c>
      <c r="DT224" s="182">
        <f t="shared" ca="1" si="140"/>
        <v>0</v>
      </c>
      <c r="DU224" s="182"/>
      <c r="DV224" s="182"/>
      <c r="DW224" s="182"/>
    </row>
    <row r="225" spans="109:127">
      <c r="DE225" s="159"/>
      <c r="DF225" s="159"/>
      <c r="DG225" s="159">
        <v>4</v>
      </c>
      <c r="DH225" s="159">
        <v>8</v>
      </c>
      <c r="DI225" s="123">
        <f t="shared" si="145"/>
        <v>8</v>
      </c>
      <c r="DJ225" s="36" t="str">
        <f ca="1">OFFSET(gr_header,DG225+DE204,1+DF204)</f>
        <v/>
      </c>
      <c r="DK225" s="36" t="str">
        <f ca="1">OFFSET(gr_header,DH225+DE204,1+DF204)</f>
        <v/>
      </c>
      <c r="DL225" s="123">
        <f ca="1">OFFSET(gr_header,DG225+DE204,2*DH225+DF204)</f>
        <v>0</v>
      </c>
      <c r="DM225" s="123">
        <f ca="1">OFFSET(gr_header,DG225+DE204,2*DH225+1+DF204)</f>
        <v>0</v>
      </c>
      <c r="DO225" s="183">
        <f t="shared" ca="1" si="141"/>
        <v>0</v>
      </c>
      <c r="DP225" s="183">
        <f t="shared" ca="1" si="142"/>
        <v>0</v>
      </c>
      <c r="DQ225" s="183">
        <f t="shared" ca="1" si="143"/>
        <v>0</v>
      </c>
      <c r="DR225" s="183">
        <f t="shared" ca="1" si="144"/>
        <v>0</v>
      </c>
      <c r="DS225" s="182">
        <f t="shared" ca="1" si="139"/>
        <v>0</v>
      </c>
      <c r="DT225" s="182">
        <f t="shared" ca="1" si="140"/>
        <v>0</v>
      </c>
      <c r="DU225" s="182"/>
      <c r="DV225" s="182"/>
      <c r="DW225" s="182"/>
    </row>
    <row r="226" spans="109:127">
      <c r="DE226" s="159"/>
      <c r="DF226" s="159"/>
      <c r="DG226" s="159">
        <v>5</v>
      </c>
      <c r="DH226" s="159">
        <v>6</v>
      </c>
      <c r="DI226" s="123">
        <f t="shared" si="145"/>
        <v>8</v>
      </c>
      <c r="DJ226" s="36" t="str">
        <f ca="1">OFFSET(gr_header,DG226+DE204,1+DF204)</f>
        <v/>
      </c>
      <c r="DK226" s="36" t="str">
        <f ca="1">OFFSET(gr_header,DH226+DE204,1+DF204)</f>
        <v/>
      </c>
      <c r="DL226" s="123">
        <f ca="1">OFFSET(gr_header,DG226+DE204,2*DH226+DF204)</f>
        <v>0</v>
      </c>
      <c r="DM226" s="123">
        <f ca="1">OFFSET(gr_header,DG226+DE204,2*DH226+1+DF204)</f>
        <v>0</v>
      </c>
      <c r="DO226" s="183">
        <f t="shared" ca="1" si="141"/>
        <v>0</v>
      </c>
      <c r="DP226" s="183">
        <f t="shared" ca="1" si="142"/>
        <v>0</v>
      </c>
      <c r="DQ226" s="183">
        <f t="shared" ca="1" si="143"/>
        <v>0</v>
      </c>
      <c r="DR226" s="183">
        <f t="shared" ca="1" si="144"/>
        <v>0</v>
      </c>
      <c r="DS226" s="182">
        <f t="shared" ca="1" si="139"/>
        <v>0</v>
      </c>
      <c r="DT226" s="182">
        <f t="shared" ca="1" si="140"/>
        <v>0</v>
      </c>
      <c r="DU226" s="182"/>
      <c r="DV226" s="182"/>
      <c r="DW226" s="182"/>
    </row>
    <row r="227" spans="109:127">
      <c r="DE227" s="159"/>
      <c r="DF227" s="159"/>
      <c r="DG227" s="159">
        <v>5</v>
      </c>
      <c r="DH227" s="159">
        <v>7</v>
      </c>
      <c r="DI227" s="123">
        <f t="shared" si="145"/>
        <v>8</v>
      </c>
      <c r="DJ227" s="36" t="str">
        <f ca="1">OFFSET(gr_header,DG227+DE204,1+DF204)</f>
        <v/>
      </c>
      <c r="DK227" s="36" t="str">
        <f ca="1">OFFSET(gr_header,DH227+DE204,1+DF204)</f>
        <v/>
      </c>
      <c r="DL227" s="123">
        <f ca="1">OFFSET(gr_header,DG227+DE204,2*DH227+DF204)</f>
        <v>0</v>
      </c>
      <c r="DM227" s="123">
        <f ca="1">OFFSET(gr_header,DG227+DE204,2*DH227+1+DF204)</f>
        <v>0</v>
      </c>
      <c r="DO227" s="183">
        <f t="shared" ca="1" si="141"/>
        <v>0</v>
      </c>
      <c r="DP227" s="183">
        <f t="shared" ca="1" si="142"/>
        <v>0</v>
      </c>
      <c r="DQ227" s="183">
        <f t="shared" ca="1" si="143"/>
        <v>0</v>
      </c>
      <c r="DR227" s="183">
        <f t="shared" ca="1" si="144"/>
        <v>0</v>
      </c>
      <c r="DS227" s="182">
        <f t="shared" ca="1" si="139"/>
        <v>0</v>
      </c>
      <c r="DT227" s="182">
        <f t="shared" ca="1" si="140"/>
        <v>0</v>
      </c>
      <c r="DU227" s="182"/>
      <c r="DV227" s="182"/>
      <c r="DW227" s="182"/>
    </row>
    <row r="228" spans="109:127">
      <c r="DE228" s="159"/>
      <c r="DF228" s="159"/>
      <c r="DG228" s="159">
        <v>5</v>
      </c>
      <c r="DH228" s="159">
        <v>8</v>
      </c>
      <c r="DI228" s="123">
        <f t="shared" si="145"/>
        <v>8</v>
      </c>
      <c r="DJ228" s="36" t="str">
        <f ca="1">OFFSET(gr_header,DG228+DE204,1+DF204)</f>
        <v/>
      </c>
      <c r="DK228" s="36" t="str">
        <f ca="1">OFFSET(gr_header,DH228+DE204,1+DF204)</f>
        <v/>
      </c>
      <c r="DL228" s="123">
        <f ca="1">OFFSET(gr_header,DG228+DE204,2*DH228+DF204)</f>
        <v>0</v>
      </c>
      <c r="DM228" s="123">
        <f ca="1">OFFSET(gr_header,DG228+DE204,2*DH228+1+DF204)</f>
        <v>0</v>
      </c>
      <c r="DO228" s="183">
        <f t="shared" ca="1" si="141"/>
        <v>0</v>
      </c>
      <c r="DP228" s="183">
        <f t="shared" ca="1" si="142"/>
        <v>0</v>
      </c>
      <c r="DQ228" s="183">
        <f t="shared" ca="1" si="143"/>
        <v>0</v>
      </c>
      <c r="DR228" s="183">
        <f t="shared" ca="1" si="144"/>
        <v>0</v>
      </c>
      <c r="DS228" s="182">
        <f t="shared" ca="1" si="139"/>
        <v>0</v>
      </c>
      <c r="DT228" s="182">
        <f t="shared" ca="1" si="140"/>
        <v>0</v>
      </c>
      <c r="DU228" s="182"/>
      <c r="DV228" s="182"/>
      <c r="DW228" s="182"/>
    </row>
    <row r="229" spans="109:127">
      <c r="DE229" s="159"/>
      <c r="DF229" s="159"/>
      <c r="DG229" s="159">
        <v>6</v>
      </c>
      <c r="DH229" s="159">
        <v>7</v>
      </c>
      <c r="DI229" s="123">
        <f t="shared" si="145"/>
        <v>8</v>
      </c>
      <c r="DJ229" s="36" t="str">
        <f ca="1">OFFSET(gr_header,DG229+DE204,1+DF204)</f>
        <v/>
      </c>
      <c r="DK229" s="36" t="str">
        <f ca="1">OFFSET(gr_header,DH229+DE204,1+DF204)</f>
        <v/>
      </c>
      <c r="DL229" s="123">
        <f ca="1">OFFSET(gr_header,DG229+DE204,2*DH229+DF204)</f>
        <v>0</v>
      </c>
      <c r="DM229" s="123">
        <f ca="1">OFFSET(gr_header,DG229+DE204,2*DH229+1+DF204)</f>
        <v>0</v>
      </c>
      <c r="DO229" s="183">
        <f t="shared" ca="1" si="141"/>
        <v>0</v>
      </c>
      <c r="DP229" s="183">
        <f t="shared" ca="1" si="142"/>
        <v>0</v>
      </c>
      <c r="DQ229" s="183">
        <f t="shared" ca="1" si="143"/>
        <v>0</v>
      </c>
      <c r="DR229" s="183">
        <f t="shared" ca="1" si="144"/>
        <v>0</v>
      </c>
      <c r="DS229" s="182">
        <f t="shared" ca="1" si="139"/>
        <v>0</v>
      </c>
      <c r="DT229" s="182">
        <f t="shared" ca="1" si="140"/>
        <v>0</v>
      </c>
      <c r="DU229" s="182"/>
      <c r="DV229" s="182"/>
      <c r="DW229" s="182"/>
    </row>
    <row r="230" spans="109:127">
      <c r="DE230" s="159"/>
      <c r="DF230" s="159"/>
      <c r="DG230" s="159">
        <v>6</v>
      </c>
      <c r="DH230" s="159">
        <v>8</v>
      </c>
      <c r="DI230" s="123">
        <f t="shared" si="145"/>
        <v>8</v>
      </c>
      <c r="DJ230" s="36" t="str">
        <f ca="1">OFFSET(gr_header,DG230+DE204,1+DF204)</f>
        <v/>
      </c>
      <c r="DK230" s="36" t="str">
        <f ca="1">OFFSET(gr_header,DH230+DE204,1+DF204)</f>
        <v/>
      </c>
      <c r="DL230" s="123">
        <f ca="1">OFFSET(gr_header,DG230+DE204,2*DH230+DF204)</f>
        <v>0</v>
      </c>
      <c r="DM230" s="123">
        <f ca="1">OFFSET(gr_header,DG230+DE204,2*DH230+1+DF204)</f>
        <v>0</v>
      </c>
      <c r="DO230" s="183">
        <f t="shared" ca="1" si="141"/>
        <v>0</v>
      </c>
      <c r="DP230" s="183">
        <f t="shared" ca="1" si="142"/>
        <v>0</v>
      </c>
      <c r="DQ230" s="183">
        <f t="shared" ca="1" si="143"/>
        <v>0</v>
      </c>
      <c r="DR230" s="183">
        <f t="shared" ca="1" si="144"/>
        <v>0</v>
      </c>
      <c r="DS230" s="182">
        <f t="shared" ca="1" si="139"/>
        <v>0</v>
      </c>
      <c r="DT230" s="182">
        <f t="shared" ca="1" si="140"/>
        <v>0</v>
      </c>
      <c r="DU230" s="182"/>
      <c r="DV230" s="182"/>
      <c r="DW230" s="182"/>
    </row>
    <row r="231" spans="109:127">
      <c r="DE231" s="159"/>
      <c r="DF231" s="159"/>
      <c r="DG231" s="159">
        <v>7</v>
      </c>
      <c r="DH231" s="159">
        <v>8</v>
      </c>
      <c r="DI231" s="123">
        <f t="shared" si="145"/>
        <v>8</v>
      </c>
      <c r="DJ231" s="36" t="str">
        <f ca="1">OFFSET(gr_header,DG231+DE204,1+DF204)</f>
        <v/>
      </c>
      <c r="DK231" s="36" t="str">
        <f ca="1">OFFSET(gr_header,DH231+DE204,1+DF204)</f>
        <v/>
      </c>
      <c r="DL231" s="123">
        <f ca="1">OFFSET(gr_header,DG231+DE204,2*DH231+DF204)</f>
        <v>0</v>
      </c>
      <c r="DM231" s="123">
        <f ca="1">OFFSET(gr_header,DG231+DE231,2*DH231+1+DF231)</f>
        <v>0</v>
      </c>
      <c r="DO231" s="183">
        <f t="shared" ca="1" si="141"/>
        <v>0</v>
      </c>
      <c r="DP231" s="183">
        <f t="shared" ca="1" si="142"/>
        <v>0</v>
      </c>
      <c r="DQ231" s="183">
        <f t="shared" ca="1" si="143"/>
        <v>0</v>
      </c>
      <c r="DR231" s="183">
        <f t="shared" ca="1" si="144"/>
        <v>0</v>
      </c>
      <c r="DS231" s="182">
        <f t="shared" ca="1" si="139"/>
        <v>0</v>
      </c>
      <c r="DT231" s="182">
        <f t="shared" ca="1" si="140"/>
        <v>0</v>
      </c>
      <c r="DU231" s="182"/>
      <c r="DV231" s="182"/>
      <c r="DW231" s="182"/>
    </row>
    <row r="232" spans="109:127">
      <c r="DE232" s="123">
        <f>DE233*shift1</f>
        <v>40</v>
      </c>
      <c r="DF232" s="123">
        <f>DF233*shift2</f>
        <v>0</v>
      </c>
      <c r="DG232" s="123">
        <v>1</v>
      </c>
      <c r="DH232" s="123">
        <v>2</v>
      </c>
      <c r="DI232" s="147">
        <f>DI204+1</f>
        <v>9</v>
      </c>
      <c r="DJ232" s="36" t="str">
        <f ca="1">OFFSET(gr_header,DG232+DE232,1+DF232)</f>
        <v/>
      </c>
      <c r="DK232" s="36" t="str">
        <f ca="1">OFFSET(gr_header,DH232+DE232,1+DF232)</f>
        <v/>
      </c>
      <c r="DL232" s="123">
        <f ca="1">OFFSET(gr_header,DG232+DE232,2*DH232+DF232)</f>
        <v>0</v>
      </c>
      <c r="DM232" s="123">
        <f ca="1">OFFSET(gr_header,DG232+DE232,2*DH232+1+DF232)</f>
        <v>0</v>
      </c>
      <c r="DO232" s="183">
        <f t="shared" ca="1" si="141"/>
        <v>0</v>
      </c>
      <c r="DP232" s="183">
        <f t="shared" ca="1" si="142"/>
        <v>0</v>
      </c>
      <c r="DQ232" s="183">
        <f t="shared" ca="1" si="143"/>
        <v>0</v>
      </c>
      <c r="DR232" s="183">
        <f t="shared" ca="1" si="144"/>
        <v>0</v>
      </c>
      <c r="DS232" s="182">
        <f t="shared" ca="1" si="139"/>
        <v>0</v>
      </c>
      <c r="DT232" s="182">
        <f t="shared" ca="1" si="140"/>
        <v>0</v>
      </c>
      <c r="DU232" s="182"/>
      <c r="DV232" s="182"/>
      <c r="DW232" s="182"/>
    </row>
    <row r="233" spans="109:127">
      <c r="DE233" s="123">
        <f>INT((DI232-1)/2)</f>
        <v>4</v>
      </c>
      <c r="DF233" s="123">
        <f>1-(INT((DI232+1)/2)*2-DI232)</f>
        <v>0</v>
      </c>
      <c r="DG233" s="123">
        <v>1</v>
      </c>
      <c r="DH233" s="123">
        <v>3</v>
      </c>
      <c r="DI233" s="123">
        <f>DI232</f>
        <v>9</v>
      </c>
      <c r="DJ233" s="36" t="str">
        <f ca="1">OFFSET(gr_header,DG233+DE232,1+DF232)</f>
        <v/>
      </c>
      <c r="DK233" s="36" t="str">
        <f ca="1">OFFSET(gr_header,DH233+DE232,1+DF232)</f>
        <v/>
      </c>
      <c r="DL233" s="123">
        <f ca="1">OFFSET(gr_header,DG233+DE232,2*DH233+DF232)</f>
        <v>0</v>
      </c>
      <c r="DM233" s="123">
        <f ca="1">OFFSET(gr_header,DG233+DE232,2*DH233+1+DF232)</f>
        <v>0</v>
      </c>
      <c r="DO233" s="183">
        <f t="shared" ca="1" si="141"/>
        <v>0</v>
      </c>
      <c r="DP233" s="183">
        <f t="shared" ca="1" si="142"/>
        <v>0</v>
      </c>
      <c r="DQ233" s="183">
        <f t="shared" ca="1" si="143"/>
        <v>0</v>
      </c>
      <c r="DR233" s="183">
        <f t="shared" ca="1" si="144"/>
        <v>0</v>
      </c>
      <c r="DS233" s="182">
        <f t="shared" ca="1" si="139"/>
        <v>0</v>
      </c>
      <c r="DT233" s="182">
        <f t="shared" ca="1" si="140"/>
        <v>0</v>
      </c>
      <c r="DU233" s="182"/>
      <c r="DV233" s="182"/>
      <c r="DW233" s="182"/>
    </row>
    <row r="234" spans="109:127">
      <c r="DG234" s="123">
        <v>1</v>
      </c>
      <c r="DH234" s="123">
        <v>4</v>
      </c>
      <c r="DI234" s="123">
        <f t="shared" ref="DI234:DI259" si="146">DI233</f>
        <v>9</v>
      </c>
      <c r="DJ234" s="36" t="str">
        <f ca="1">OFFSET(gr_header,DG234+DE232,1+DF232)</f>
        <v/>
      </c>
      <c r="DK234" s="36" t="str">
        <f ca="1">OFFSET(gr_header,DH234+DE232,1+DF232)</f>
        <v/>
      </c>
      <c r="DL234" s="123">
        <f ca="1">OFFSET(gr_header,DG234+DE232,2*DH234+DF232)</f>
        <v>0</v>
      </c>
      <c r="DM234" s="123">
        <f ca="1">OFFSET(gr_header,DG234+DE232,2*DH234+1+DF232)</f>
        <v>0</v>
      </c>
      <c r="DO234" s="183">
        <f t="shared" ca="1" si="141"/>
        <v>0</v>
      </c>
      <c r="DP234" s="183">
        <f t="shared" ca="1" si="142"/>
        <v>0</v>
      </c>
      <c r="DQ234" s="183">
        <f t="shared" ca="1" si="143"/>
        <v>0</v>
      </c>
      <c r="DR234" s="183">
        <f t="shared" ca="1" si="144"/>
        <v>0</v>
      </c>
      <c r="DS234" s="182">
        <f t="shared" ca="1" si="139"/>
        <v>0</v>
      </c>
      <c r="DT234" s="182">
        <f t="shared" ca="1" si="140"/>
        <v>0</v>
      </c>
      <c r="DU234" s="182"/>
      <c r="DV234" s="182"/>
      <c r="DW234" s="182"/>
    </row>
    <row r="235" spans="109:127">
      <c r="DG235" s="123">
        <v>1</v>
      </c>
      <c r="DH235" s="123">
        <v>5</v>
      </c>
      <c r="DI235" s="123">
        <f t="shared" si="146"/>
        <v>9</v>
      </c>
      <c r="DJ235" s="36" t="str">
        <f ca="1">OFFSET(gr_header,DG235+DE232,1+DF232)</f>
        <v/>
      </c>
      <c r="DK235" s="36" t="str">
        <f ca="1">OFFSET(gr_header,DH235+DE232,1+DF232)</f>
        <v/>
      </c>
      <c r="DL235" s="123">
        <f ca="1">OFFSET(gr_header,DG235+DE232,2*DH235+DF232)</f>
        <v>0</v>
      </c>
      <c r="DM235" s="123">
        <f ca="1">OFFSET(gr_header,DG235+DE232,2*DH235+1+DF232)</f>
        <v>0</v>
      </c>
      <c r="DO235" s="183">
        <f t="shared" ca="1" si="141"/>
        <v>0</v>
      </c>
      <c r="DP235" s="183">
        <f t="shared" ca="1" si="142"/>
        <v>0</v>
      </c>
      <c r="DQ235" s="183">
        <f t="shared" ca="1" si="143"/>
        <v>0</v>
      </c>
      <c r="DR235" s="183">
        <f t="shared" ca="1" si="144"/>
        <v>0</v>
      </c>
      <c r="DS235" s="182">
        <f t="shared" ca="1" si="139"/>
        <v>0</v>
      </c>
      <c r="DT235" s="182">
        <f t="shared" ca="1" si="140"/>
        <v>0</v>
      </c>
      <c r="DU235" s="182"/>
      <c r="DV235" s="182"/>
      <c r="DW235" s="182"/>
    </row>
    <row r="236" spans="109:127">
      <c r="DG236" s="123">
        <v>1</v>
      </c>
      <c r="DH236" s="123">
        <v>6</v>
      </c>
      <c r="DI236" s="123">
        <f t="shared" si="146"/>
        <v>9</v>
      </c>
      <c r="DJ236" s="36" t="str">
        <f ca="1">OFFSET(gr_header,DG236+DE232,1+DF232)</f>
        <v/>
      </c>
      <c r="DK236" s="36" t="str">
        <f ca="1">OFFSET(gr_header,DH236+DE232,1+DF232)</f>
        <v/>
      </c>
      <c r="DL236" s="123">
        <f ca="1">OFFSET(gr_header,DG236+DE232,2*DH236+DF232)</f>
        <v>0</v>
      </c>
      <c r="DM236" s="123">
        <f ca="1">OFFSET(gr_header,DG236+DE232,2*DH236+1+DF232)</f>
        <v>0</v>
      </c>
      <c r="DO236" s="183">
        <f t="shared" ca="1" si="141"/>
        <v>0</v>
      </c>
      <c r="DP236" s="183">
        <f t="shared" ca="1" si="142"/>
        <v>0</v>
      </c>
      <c r="DQ236" s="183">
        <f t="shared" ca="1" si="143"/>
        <v>0</v>
      </c>
      <c r="DR236" s="183">
        <f t="shared" ca="1" si="144"/>
        <v>0</v>
      </c>
      <c r="DS236" s="182">
        <f t="shared" ca="1" si="139"/>
        <v>0</v>
      </c>
      <c r="DT236" s="182">
        <f t="shared" ca="1" si="140"/>
        <v>0</v>
      </c>
      <c r="DU236" s="182"/>
      <c r="DV236" s="182"/>
      <c r="DW236" s="182"/>
    </row>
    <row r="237" spans="109:127">
      <c r="DG237" s="123">
        <v>1</v>
      </c>
      <c r="DH237" s="123">
        <v>7</v>
      </c>
      <c r="DI237" s="123">
        <f t="shared" si="146"/>
        <v>9</v>
      </c>
      <c r="DJ237" s="36" t="str">
        <f ca="1">OFFSET(gr_header,DG237+DE232,1+DF232)</f>
        <v/>
      </c>
      <c r="DK237" s="36" t="str">
        <f ca="1">OFFSET(gr_header,DH237+DE232,1+DF232)</f>
        <v/>
      </c>
      <c r="DL237" s="123">
        <f ca="1">OFFSET(gr_header,DG237+DE232,2*DH237+DF232)</f>
        <v>0</v>
      </c>
      <c r="DM237" s="123">
        <f ca="1">OFFSET(gr_header,DG237+DE232,2*DH237+1+DF232)</f>
        <v>0</v>
      </c>
      <c r="DO237" s="183">
        <f t="shared" ca="1" si="141"/>
        <v>0</v>
      </c>
      <c r="DP237" s="183">
        <f t="shared" ca="1" si="142"/>
        <v>0</v>
      </c>
      <c r="DQ237" s="183">
        <f t="shared" ca="1" si="143"/>
        <v>0</v>
      </c>
      <c r="DR237" s="183">
        <f t="shared" ca="1" si="144"/>
        <v>0</v>
      </c>
      <c r="DS237" s="182">
        <f t="shared" ca="1" si="139"/>
        <v>0</v>
      </c>
      <c r="DT237" s="182">
        <f t="shared" ca="1" si="140"/>
        <v>0</v>
      </c>
      <c r="DU237" s="182"/>
      <c r="DV237" s="182"/>
      <c r="DW237" s="182"/>
    </row>
    <row r="238" spans="109:127">
      <c r="DE238" s="159"/>
      <c r="DF238" s="159"/>
      <c r="DG238" s="159">
        <v>1</v>
      </c>
      <c r="DH238" s="123">
        <v>8</v>
      </c>
      <c r="DI238" s="123">
        <f t="shared" si="146"/>
        <v>9</v>
      </c>
      <c r="DJ238" s="36" t="str">
        <f ca="1">OFFSET(gr_header,DG238+DE232,1+DF232)</f>
        <v/>
      </c>
      <c r="DK238" s="36" t="str">
        <f ca="1">OFFSET(gr_header,DH238+DE232,1+DF232)</f>
        <v/>
      </c>
      <c r="DL238" s="123">
        <f ca="1">OFFSET(gr_header,DG238+DE232,2*DH238+DF232)</f>
        <v>0</v>
      </c>
      <c r="DM238" s="123">
        <f ca="1">OFFSET(gr_header,DG238+DE232,2*DH238+1+DF232)</f>
        <v>0</v>
      </c>
      <c r="DO238" s="183">
        <f t="shared" ca="1" si="141"/>
        <v>0</v>
      </c>
      <c r="DP238" s="183">
        <f t="shared" ca="1" si="142"/>
        <v>0</v>
      </c>
      <c r="DQ238" s="183">
        <f t="shared" ca="1" si="143"/>
        <v>0</v>
      </c>
      <c r="DR238" s="183">
        <f t="shared" ca="1" si="144"/>
        <v>0</v>
      </c>
      <c r="DS238" s="182">
        <f t="shared" ca="1" si="139"/>
        <v>0</v>
      </c>
      <c r="DT238" s="182">
        <f t="shared" ca="1" si="140"/>
        <v>0</v>
      </c>
      <c r="DU238" s="182"/>
      <c r="DV238" s="182"/>
      <c r="DW238" s="182"/>
    </row>
    <row r="239" spans="109:127">
      <c r="DE239" s="159"/>
      <c r="DF239" s="159"/>
      <c r="DG239" s="159">
        <v>2</v>
      </c>
      <c r="DH239" s="159">
        <v>3</v>
      </c>
      <c r="DI239" s="123">
        <f t="shared" si="146"/>
        <v>9</v>
      </c>
      <c r="DJ239" s="36" t="str">
        <f ca="1">OFFSET(gr_header,DG239+DE232,1+DF232)</f>
        <v/>
      </c>
      <c r="DK239" s="36" t="str">
        <f ca="1">OFFSET(gr_header,DH239+DE232,1+DF232)</f>
        <v/>
      </c>
      <c r="DL239" s="123">
        <f ca="1">OFFSET(gr_header,DG239+DE232,2*DH239+DF232)</f>
        <v>0</v>
      </c>
      <c r="DM239" s="123">
        <f ca="1">OFFSET(gr_header,DG239+DE232,2*DH239+1+DF232)</f>
        <v>0</v>
      </c>
      <c r="DO239" s="183">
        <f t="shared" ca="1" si="141"/>
        <v>0</v>
      </c>
      <c r="DP239" s="183">
        <f t="shared" ca="1" si="142"/>
        <v>0</v>
      </c>
      <c r="DQ239" s="183">
        <f t="shared" ca="1" si="143"/>
        <v>0</v>
      </c>
      <c r="DR239" s="183">
        <f t="shared" ca="1" si="144"/>
        <v>0</v>
      </c>
      <c r="DS239" s="182">
        <f t="shared" ca="1" si="139"/>
        <v>0</v>
      </c>
      <c r="DT239" s="182">
        <f t="shared" ca="1" si="140"/>
        <v>0</v>
      </c>
      <c r="DU239" s="182"/>
      <c r="DV239" s="182"/>
      <c r="DW239" s="182"/>
    </row>
    <row r="240" spans="109:127">
      <c r="DE240" s="159"/>
      <c r="DF240" s="159"/>
      <c r="DG240" s="159">
        <v>2</v>
      </c>
      <c r="DH240" s="159">
        <v>4</v>
      </c>
      <c r="DI240" s="123">
        <f t="shared" si="146"/>
        <v>9</v>
      </c>
      <c r="DJ240" s="36" t="str">
        <f ca="1">OFFSET(gr_header,DG240+DE232,1+DF232)</f>
        <v/>
      </c>
      <c r="DK240" s="36" t="str">
        <f ca="1">OFFSET(gr_header,DH240+DE232,1+DF232)</f>
        <v/>
      </c>
      <c r="DL240" s="123">
        <f ca="1">OFFSET(gr_header,DG240+DE232,2*DH240+DF232)</f>
        <v>0</v>
      </c>
      <c r="DM240" s="123">
        <f ca="1">OFFSET(gr_header,DG240+DE232,2*DH240+1+DF232)</f>
        <v>0</v>
      </c>
      <c r="DO240" s="183">
        <f t="shared" ca="1" si="141"/>
        <v>0</v>
      </c>
      <c r="DP240" s="183">
        <f t="shared" ca="1" si="142"/>
        <v>0</v>
      </c>
      <c r="DQ240" s="183">
        <f t="shared" ca="1" si="143"/>
        <v>0</v>
      </c>
      <c r="DR240" s="183">
        <f t="shared" ca="1" si="144"/>
        <v>0</v>
      </c>
      <c r="DS240" s="182">
        <f t="shared" ca="1" si="139"/>
        <v>0</v>
      </c>
      <c r="DT240" s="182">
        <f t="shared" ca="1" si="140"/>
        <v>0</v>
      </c>
      <c r="DU240" s="182"/>
      <c r="DV240" s="182"/>
      <c r="DW240" s="182"/>
    </row>
    <row r="241" spans="109:127">
      <c r="DE241" s="159"/>
      <c r="DF241" s="159"/>
      <c r="DG241" s="159">
        <v>2</v>
      </c>
      <c r="DH241" s="159">
        <v>5</v>
      </c>
      <c r="DI241" s="123">
        <f t="shared" si="146"/>
        <v>9</v>
      </c>
      <c r="DJ241" s="36" t="str">
        <f ca="1">OFFSET(gr_header,DG241+DE232,1+DF232)</f>
        <v/>
      </c>
      <c r="DK241" s="36" t="str">
        <f ca="1">OFFSET(gr_header,DH241+DE232,1+DF232)</f>
        <v/>
      </c>
      <c r="DL241" s="123">
        <f ca="1">OFFSET(gr_header,DG241+DE232,2*DH241+DF232)</f>
        <v>0</v>
      </c>
      <c r="DM241" s="123">
        <f ca="1">OFFSET(gr_header,DG241+DE232,2*DH241+1+DF232)</f>
        <v>0</v>
      </c>
      <c r="DO241" s="183">
        <f t="shared" ca="1" si="141"/>
        <v>0</v>
      </c>
      <c r="DP241" s="183">
        <f t="shared" ca="1" si="142"/>
        <v>0</v>
      </c>
      <c r="DQ241" s="183">
        <f t="shared" ca="1" si="143"/>
        <v>0</v>
      </c>
      <c r="DR241" s="183">
        <f t="shared" ca="1" si="144"/>
        <v>0</v>
      </c>
      <c r="DS241" s="182">
        <f t="shared" ca="1" si="139"/>
        <v>0</v>
      </c>
      <c r="DT241" s="182">
        <f t="shared" ca="1" si="140"/>
        <v>0</v>
      </c>
      <c r="DU241" s="182"/>
      <c r="DV241" s="182"/>
      <c r="DW241" s="182"/>
    </row>
    <row r="242" spans="109:127">
      <c r="DE242" s="159"/>
      <c r="DF242" s="159"/>
      <c r="DG242" s="159">
        <v>2</v>
      </c>
      <c r="DH242" s="159">
        <v>6</v>
      </c>
      <c r="DI242" s="123">
        <f t="shared" si="146"/>
        <v>9</v>
      </c>
      <c r="DJ242" s="36" t="str">
        <f ca="1">OFFSET(gr_header,DG242+DE232,1+DF232)</f>
        <v/>
      </c>
      <c r="DK242" s="36" t="str">
        <f ca="1">OFFSET(gr_header,DH242+DE232,1+DF232)</f>
        <v/>
      </c>
      <c r="DL242" s="123">
        <f ca="1">OFFSET(gr_header,DG242+DE232,2*DH242+DF232)</f>
        <v>0</v>
      </c>
      <c r="DM242" s="123">
        <f ca="1">OFFSET(gr_header,DG242+DE232,2*DH242+1+DF232)</f>
        <v>0</v>
      </c>
      <c r="DO242" s="183">
        <f t="shared" ca="1" si="141"/>
        <v>0</v>
      </c>
      <c r="DP242" s="183">
        <f t="shared" ca="1" si="142"/>
        <v>0</v>
      </c>
      <c r="DQ242" s="183">
        <f t="shared" ca="1" si="143"/>
        <v>0</v>
      </c>
      <c r="DR242" s="183">
        <f t="shared" ca="1" si="144"/>
        <v>0</v>
      </c>
      <c r="DS242" s="182">
        <f t="shared" ca="1" si="139"/>
        <v>0</v>
      </c>
      <c r="DT242" s="182">
        <f t="shared" ca="1" si="140"/>
        <v>0</v>
      </c>
      <c r="DU242" s="182"/>
      <c r="DV242" s="182"/>
      <c r="DW242" s="182"/>
    </row>
    <row r="243" spans="109:127">
      <c r="DE243" s="159"/>
      <c r="DF243" s="159"/>
      <c r="DG243" s="159">
        <v>2</v>
      </c>
      <c r="DH243" s="159">
        <v>7</v>
      </c>
      <c r="DI243" s="123">
        <f t="shared" si="146"/>
        <v>9</v>
      </c>
      <c r="DJ243" s="36" t="str">
        <f ca="1">OFFSET(gr_header,DG243+DE232,1+DF232)</f>
        <v/>
      </c>
      <c r="DK243" s="36" t="str">
        <f ca="1">OFFSET(gr_header,DH243+DE232,1+DF232)</f>
        <v/>
      </c>
      <c r="DL243" s="123">
        <f ca="1">OFFSET(gr_header,DG243+DE232,2*DH243+DF232)</f>
        <v>0</v>
      </c>
      <c r="DM243" s="123">
        <f ca="1">OFFSET(gr_header,DG243+DE232,2*DH243+1+DF232)</f>
        <v>0</v>
      </c>
      <c r="DO243" s="183">
        <f t="shared" ca="1" si="141"/>
        <v>0</v>
      </c>
      <c r="DP243" s="183">
        <f t="shared" ca="1" si="142"/>
        <v>0</v>
      </c>
      <c r="DQ243" s="183">
        <f t="shared" ca="1" si="143"/>
        <v>0</v>
      </c>
      <c r="DR243" s="183">
        <f t="shared" ca="1" si="144"/>
        <v>0</v>
      </c>
      <c r="DS243" s="182">
        <f t="shared" ca="1" si="139"/>
        <v>0</v>
      </c>
      <c r="DT243" s="182">
        <f t="shared" ca="1" si="140"/>
        <v>0</v>
      </c>
      <c r="DU243" s="182"/>
      <c r="DV243" s="182"/>
      <c r="DW243" s="182"/>
    </row>
    <row r="244" spans="109:127">
      <c r="DE244" s="159"/>
      <c r="DF244" s="159"/>
      <c r="DG244" s="159">
        <v>2</v>
      </c>
      <c r="DH244" s="159">
        <v>8</v>
      </c>
      <c r="DI244" s="123">
        <f t="shared" si="146"/>
        <v>9</v>
      </c>
      <c r="DJ244" s="36" t="str">
        <f ca="1">OFFSET(gr_header,DG244+DE232,1+DF232)</f>
        <v/>
      </c>
      <c r="DK244" s="36" t="str">
        <f ca="1">OFFSET(gr_header,DH244+DE232,1+DF232)</f>
        <v/>
      </c>
      <c r="DL244" s="123">
        <f ca="1">OFFSET(gr_header,DG244+DE232,2*DH244+DF232)</f>
        <v>0</v>
      </c>
      <c r="DM244" s="123">
        <f ca="1">OFFSET(gr_header,DG244+DE232,2*DH244+1+DF232)</f>
        <v>0</v>
      </c>
      <c r="DO244" s="183">
        <f t="shared" ca="1" si="141"/>
        <v>0</v>
      </c>
      <c r="DP244" s="183">
        <f t="shared" ca="1" si="142"/>
        <v>0</v>
      </c>
      <c r="DQ244" s="183">
        <f t="shared" ca="1" si="143"/>
        <v>0</v>
      </c>
      <c r="DR244" s="183">
        <f t="shared" ca="1" si="144"/>
        <v>0</v>
      </c>
      <c r="DS244" s="182">
        <f t="shared" ca="1" si="139"/>
        <v>0</v>
      </c>
      <c r="DT244" s="182">
        <f t="shared" ca="1" si="140"/>
        <v>0</v>
      </c>
      <c r="DU244" s="182"/>
      <c r="DV244" s="182"/>
      <c r="DW244" s="182"/>
    </row>
    <row r="245" spans="109:127">
      <c r="DE245" s="159"/>
      <c r="DF245" s="159"/>
      <c r="DG245" s="159">
        <v>3</v>
      </c>
      <c r="DH245" s="159">
        <v>4</v>
      </c>
      <c r="DI245" s="123">
        <f t="shared" si="146"/>
        <v>9</v>
      </c>
      <c r="DJ245" s="36" t="str">
        <f ca="1">OFFSET(gr_header,DG245+DE232,1+DF232)</f>
        <v/>
      </c>
      <c r="DK245" s="36" t="str">
        <f ca="1">OFFSET(gr_header,DH245+DE232,1+DF232)</f>
        <v/>
      </c>
      <c r="DL245" s="123">
        <f ca="1">OFFSET(gr_header,DG245+DE232,2*DH245+DF232)</f>
        <v>0</v>
      </c>
      <c r="DM245" s="123">
        <f ca="1">OFFSET(gr_header,DG245+DE232,2*DH245+1+DF232)</f>
        <v>0</v>
      </c>
      <c r="DO245" s="183">
        <f t="shared" ca="1" si="141"/>
        <v>0</v>
      </c>
      <c r="DP245" s="183">
        <f t="shared" ca="1" si="142"/>
        <v>0</v>
      </c>
      <c r="DQ245" s="183">
        <f t="shared" ca="1" si="143"/>
        <v>0</v>
      </c>
      <c r="DR245" s="183">
        <f t="shared" ca="1" si="144"/>
        <v>0</v>
      </c>
      <c r="DS245" s="182">
        <f t="shared" ca="1" si="139"/>
        <v>0</v>
      </c>
      <c r="DT245" s="182">
        <f t="shared" ca="1" si="140"/>
        <v>0</v>
      </c>
      <c r="DU245" s="182"/>
      <c r="DV245" s="182"/>
      <c r="DW245" s="182"/>
    </row>
    <row r="246" spans="109:127">
      <c r="DE246" s="159"/>
      <c r="DF246" s="159"/>
      <c r="DG246" s="159">
        <v>3</v>
      </c>
      <c r="DH246" s="159">
        <v>5</v>
      </c>
      <c r="DI246" s="123">
        <f t="shared" si="146"/>
        <v>9</v>
      </c>
      <c r="DJ246" s="36" t="str">
        <f ca="1">OFFSET(gr_header,DG246+DE232,1+DF232)</f>
        <v/>
      </c>
      <c r="DK246" s="36" t="str">
        <f ca="1">OFFSET(gr_header,DH246+DE232,1+DF232)</f>
        <v/>
      </c>
      <c r="DL246" s="123">
        <f ca="1">OFFSET(gr_header,DG246+DE232,2*DH246+DF232)</f>
        <v>0</v>
      </c>
      <c r="DM246" s="123">
        <f ca="1">OFFSET(gr_header,DG246+DE232,2*DH246+1+DF232)</f>
        <v>0</v>
      </c>
      <c r="DO246" s="183">
        <f t="shared" ca="1" si="141"/>
        <v>0</v>
      </c>
      <c r="DP246" s="183">
        <f t="shared" ca="1" si="142"/>
        <v>0</v>
      </c>
      <c r="DQ246" s="183">
        <f t="shared" ca="1" si="143"/>
        <v>0</v>
      </c>
      <c r="DR246" s="183">
        <f t="shared" ca="1" si="144"/>
        <v>0</v>
      </c>
      <c r="DS246" s="182">
        <f t="shared" ca="1" si="139"/>
        <v>0</v>
      </c>
      <c r="DT246" s="182">
        <f t="shared" ca="1" si="140"/>
        <v>0</v>
      </c>
      <c r="DU246" s="182"/>
      <c r="DV246" s="182"/>
      <c r="DW246" s="182"/>
    </row>
    <row r="247" spans="109:127">
      <c r="DE247" s="159"/>
      <c r="DF247" s="159"/>
      <c r="DG247" s="159">
        <v>3</v>
      </c>
      <c r="DH247" s="159">
        <v>6</v>
      </c>
      <c r="DI247" s="123">
        <f t="shared" si="146"/>
        <v>9</v>
      </c>
      <c r="DJ247" s="36" t="str">
        <f ca="1">OFFSET(gr_header,DG247+DE232,1+DF232)</f>
        <v/>
      </c>
      <c r="DK247" s="36" t="str">
        <f ca="1">OFFSET(gr_header,DH247+DE232,1+DF232)</f>
        <v/>
      </c>
      <c r="DL247" s="123">
        <f ca="1">OFFSET(gr_header,DG247+DE232,2*DH247+DF232)</f>
        <v>0</v>
      </c>
      <c r="DM247" s="123">
        <f ca="1">OFFSET(gr_header,DG247+DE232,2*DH247+1+DF232)</f>
        <v>0</v>
      </c>
      <c r="DO247" s="183">
        <f t="shared" ca="1" si="141"/>
        <v>0</v>
      </c>
      <c r="DP247" s="183">
        <f t="shared" ca="1" si="142"/>
        <v>0</v>
      </c>
      <c r="DQ247" s="183">
        <f t="shared" ca="1" si="143"/>
        <v>0</v>
      </c>
      <c r="DR247" s="183">
        <f t="shared" ca="1" si="144"/>
        <v>0</v>
      </c>
      <c r="DS247" s="182">
        <f t="shared" ca="1" si="139"/>
        <v>0</v>
      </c>
      <c r="DT247" s="182">
        <f t="shared" ca="1" si="140"/>
        <v>0</v>
      </c>
      <c r="DU247" s="182"/>
      <c r="DV247" s="182"/>
      <c r="DW247" s="182"/>
    </row>
    <row r="248" spans="109:127">
      <c r="DE248" s="159"/>
      <c r="DF248" s="159"/>
      <c r="DG248" s="159">
        <v>3</v>
      </c>
      <c r="DH248" s="159">
        <v>7</v>
      </c>
      <c r="DI248" s="123">
        <f t="shared" si="146"/>
        <v>9</v>
      </c>
      <c r="DJ248" s="36" t="str">
        <f ca="1">OFFSET(gr_header,DG248+DE232,1+DF232)</f>
        <v/>
      </c>
      <c r="DK248" s="36" t="str">
        <f ca="1">OFFSET(gr_header,DH248+DE232,1+DF232)</f>
        <v/>
      </c>
      <c r="DL248" s="123">
        <f ca="1">OFFSET(gr_header,DG248+DE232,2*DH248+DF232)</f>
        <v>0</v>
      </c>
      <c r="DM248" s="123">
        <f ca="1">OFFSET(gr_header,DG248+DE232,2*DH248+1+DF232)</f>
        <v>0</v>
      </c>
      <c r="DO248" s="183">
        <f t="shared" ca="1" si="141"/>
        <v>0</v>
      </c>
      <c r="DP248" s="183">
        <f t="shared" ca="1" si="142"/>
        <v>0</v>
      </c>
      <c r="DQ248" s="183">
        <f t="shared" ca="1" si="143"/>
        <v>0</v>
      </c>
      <c r="DR248" s="183">
        <f t="shared" ca="1" si="144"/>
        <v>0</v>
      </c>
      <c r="DS248" s="182">
        <f t="shared" ref="DS248:DS287" ca="1" si="147">DL248</f>
        <v>0</v>
      </c>
      <c r="DT248" s="182">
        <f t="shared" ref="DT248:DT287" ca="1" si="148">DM248</f>
        <v>0</v>
      </c>
      <c r="DU248" s="182"/>
      <c r="DV248" s="182"/>
      <c r="DW248" s="182"/>
    </row>
    <row r="249" spans="109:127">
      <c r="DE249" s="159"/>
      <c r="DF249" s="159"/>
      <c r="DG249" s="159">
        <v>3</v>
      </c>
      <c r="DH249" s="159">
        <v>8</v>
      </c>
      <c r="DI249" s="123">
        <f t="shared" si="146"/>
        <v>9</v>
      </c>
      <c r="DJ249" s="36" t="str">
        <f ca="1">OFFSET(gr_header,DG249+DE232,1+DF232)</f>
        <v/>
      </c>
      <c r="DK249" s="36" t="str">
        <f ca="1">OFFSET(gr_header,DH249+DE232,1+DF232)</f>
        <v/>
      </c>
      <c r="DL249" s="123">
        <f ca="1">OFFSET(gr_header,DG249+DE232,2*DH249+DF232)</f>
        <v>0</v>
      </c>
      <c r="DM249" s="123">
        <f ca="1">OFFSET(gr_header,DG249+DE232,2*DH249+1+DF232)</f>
        <v>0</v>
      </c>
      <c r="DO249" s="183">
        <f t="shared" ca="1" si="141"/>
        <v>0</v>
      </c>
      <c r="DP249" s="183">
        <f t="shared" ca="1" si="142"/>
        <v>0</v>
      </c>
      <c r="DQ249" s="183">
        <f t="shared" ca="1" si="143"/>
        <v>0</v>
      </c>
      <c r="DR249" s="183">
        <f t="shared" ca="1" si="144"/>
        <v>0</v>
      </c>
      <c r="DS249" s="182">
        <f t="shared" ca="1" si="147"/>
        <v>0</v>
      </c>
      <c r="DT249" s="182">
        <f t="shared" ca="1" si="148"/>
        <v>0</v>
      </c>
      <c r="DU249" s="182"/>
      <c r="DV249" s="182"/>
      <c r="DW249" s="182"/>
    </row>
    <row r="250" spans="109:127">
      <c r="DE250" s="159"/>
      <c r="DF250" s="159"/>
      <c r="DG250" s="159">
        <v>4</v>
      </c>
      <c r="DH250" s="159">
        <v>5</v>
      </c>
      <c r="DI250" s="123">
        <f t="shared" si="146"/>
        <v>9</v>
      </c>
      <c r="DJ250" s="36" t="str">
        <f ca="1">OFFSET(gr_header,DG250+DE232,1+DF232)</f>
        <v/>
      </c>
      <c r="DK250" s="36" t="str">
        <f ca="1">OFFSET(gr_header,DH250+DE232,1+DF232)</f>
        <v/>
      </c>
      <c r="DL250" s="123">
        <f ca="1">OFFSET(gr_header,DG250+DE232,2*DH250+DF232)</f>
        <v>0</v>
      </c>
      <c r="DM250" s="123">
        <f ca="1">OFFSET(gr_header,DG250+DE232,2*DH250+1+DF232)</f>
        <v>0</v>
      </c>
      <c r="DO250" s="183">
        <f t="shared" ca="1" si="141"/>
        <v>0</v>
      </c>
      <c r="DP250" s="183">
        <f t="shared" ca="1" si="142"/>
        <v>0</v>
      </c>
      <c r="DQ250" s="183">
        <f t="shared" ca="1" si="143"/>
        <v>0</v>
      </c>
      <c r="DR250" s="183">
        <f t="shared" ca="1" si="144"/>
        <v>0</v>
      </c>
      <c r="DS250" s="182">
        <f t="shared" ca="1" si="147"/>
        <v>0</v>
      </c>
      <c r="DT250" s="182">
        <f t="shared" ca="1" si="148"/>
        <v>0</v>
      </c>
      <c r="DU250" s="182"/>
      <c r="DV250" s="182"/>
      <c r="DW250" s="182"/>
    </row>
    <row r="251" spans="109:127">
      <c r="DE251" s="159"/>
      <c r="DF251" s="159"/>
      <c r="DG251" s="159">
        <v>4</v>
      </c>
      <c r="DH251" s="159">
        <v>6</v>
      </c>
      <c r="DI251" s="123">
        <f t="shared" si="146"/>
        <v>9</v>
      </c>
      <c r="DJ251" s="36" t="str">
        <f ca="1">OFFSET(gr_header,DG251+DE232,1+DF232)</f>
        <v/>
      </c>
      <c r="DK251" s="36" t="str">
        <f ca="1">OFFSET(gr_header,DH251+DE232,1+DF232)</f>
        <v/>
      </c>
      <c r="DL251" s="123">
        <f ca="1">OFFSET(gr_header,DG251+DE232,2*DH251+DF232)</f>
        <v>0</v>
      </c>
      <c r="DM251" s="123">
        <f ca="1">OFFSET(gr_header,DG251+DE232,2*DH251+1+DF232)</f>
        <v>0</v>
      </c>
      <c r="DO251" s="183">
        <f t="shared" ca="1" si="141"/>
        <v>0</v>
      </c>
      <c r="DP251" s="183">
        <f t="shared" ca="1" si="142"/>
        <v>0</v>
      </c>
      <c r="DQ251" s="183">
        <f t="shared" ca="1" si="143"/>
        <v>0</v>
      </c>
      <c r="DR251" s="183">
        <f t="shared" ca="1" si="144"/>
        <v>0</v>
      </c>
      <c r="DS251" s="182">
        <f t="shared" ca="1" si="147"/>
        <v>0</v>
      </c>
      <c r="DT251" s="182">
        <f t="shared" ca="1" si="148"/>
        <v>0</v>
      </c>
      <c r="DU251" s="182"/>
      <c r="DV251" s="182"/>
      <c r="DW251" s="182"/>
    </row>
    <row r="252" spans="109:127">
      <c r="DE252" s="159"/>
      <c r="DF252" s="159"/>
      <c r="DG252" s="159">
        <v>4</v>
      </c>
      <c r="DH252" s="159">
        <v>7</v>
      </c>
      <c r="DI252" s="123">
        <f t="shared" si="146"/>
        <v>9</v>
      </c>
      <c r="DJ252" s="36" t="str">
        <f ca="1">OFFSET(gr_header,DG252+DE232,1+DF232)</f>
        <v/>
      </c>
      <c r="DK252" s="36" t="str">
        <f ca="1">OFFSET(gr_header,DH252+DE232,1+DF232)</f>
        <v/>
      </c>
      <c r="DL252" s="123">
        <f ca="1">OFFSET(gr_header,DG252+DE232,2*DH252+DF232)</f>
        <v>0</v>
      </c>
      <c r="DM252" s="123">
        <f ca="1">OFFSET(gr_header,DG252+DE232,2*DH252+1+DF232)</f>
        <v>0</v>
      </c>
      <c r="DO252" s="183">
        <f t="shared" ca="1" si="141"/>
        <v>0</v>
      </c>
      <c r="DP252" s="183">
        <f t="shared" ca="1" si="142"/>
        <v>0</v>
      </c>
      <c r="DQ252" s="183">
        <f t="shared" ca="1" si="143"/>
        <v>0</v>
      </c>
      <c r="DR252" s="183">
        <f t="shared" ca="1" si="144"/>
        <v>0</v>
      </c>
      <c r="DS252" s="182">
        <f t="shared" ca="1" si="147"/>
        <v>0</v>
      </c>
      <c r="DT252" s="182">
        <f t="shared" ca="1" si="148"/>
        <v>0</v>
      </c>
      <c r="DU252" s="182"/>
      <c r="DV252" s="182"/>
      <c r="DW252" s="182"/>
    </row>
    <row r="253" spans="109:127">
      <c r="DE253" s="159"/>
      <c r="DF253" s="159"/>
      <c r="DG253" s="159">
        <v>4</v>
      </c>
      <c r="DH253" s="159">
        <v>8</v>
      </c>
      <c r="DI253" s="123">
        <f t="shared" si="146"/>
        <v>9</v>
      </c>
      <c r="DJ253" s="36" t="str">
        <f ca="1">OFFSET(gr_header,DG253+DE232,1+DF232)</f>
        <v/>
      </c>
      <c r="DK253" s="36" t="str">
        <f ca="1">OFFSET(gr_header,DH253+DE232,1+DF232)</f>
        <v/>
      </c>
      <c r="DL253" s="123">
        <f ca="1">OFFSET(gr_header,DG253+DE232,2*DH253+DF232)</f>
        <v>0</v>
      </c>
      <c r="DM253" s="123">
        <f ca="1">OFFSET(gr_header,DG253+DE232,2*DH253+1+DF232)</f>
        <v>0</v>
      </c>
      <c r="DO253" s="183">
        <f t="shared" ca="1" si="141"/>
        <v>0</v>
      </c>
      <c r="DP253" s="183">
        <f t="shared" ca="1" si="142"/>
        <v>0</v>
      </c>
      <c r="DQ253" s="183">
        <f t="shared" ca="1" si="143"/>
        <v>0</v>
      </c>
      <c r="DR253" s="183">
        <f t="shared" ca="1" si="144"/>
        <v>0</v>
      </c>
      <c r="DS253" s="182">
        <f t="shared" ca="1" si="147"/>
        <v>0</v>
      </c>
      <c r="DT253" s="182">
        <f t="shared" ca="1" si="148"/>
        <v>0</v>
      </c>
      <c r="DU253" s="182"/>
      <c r="DV253" s="182"/>
      <c r="DW253" s="182"/>
    </row>
    <row r="254" spans="109:127">
      <c r="DE254" s="159"/>
      <c r="DF254" s="159"/>
      <c r="DG254" s="159">
        <v>5</v>
      </c>
      <c r="DH254" s="159">
        <v>6</v>
      </c>
      <c r="DI254" s="123">
        <f t="shared" si="146"/>
        <v>9</v>
      </c>
      <c r="DJ254" s="36" t="str">
        <f ca="1">OFFSET(gr_header,DG254+DE232,1+DF232)</f>
        <v/>
      </c>
      <c r="DK254" s="36" t="str">
        <f ca="1">OFFSET(gr_header,DH254+DE232,1+DF232)</f>
        <v/>
      </c>
      <c r="DL254" s="123">
        <f ca="1">OFFSET(gr_header,DG254+DE232,2*DH254+DF232)</f>
        <v>0</v>
      </c>
      <c r="DM254" s="123">
        <f ca="1">OFFSET(gr_header,DG254+DE232,2*DH254+1+DF232)</f>
        <v>0</v>
      </c>
      <c r="DO254" s="183">
        <f t="shared" ca="1" si="141"/>
        <v>0</v>
      </c>
      <c r="DP254" s="183">
        <f t="shared" ca="1" si="142"/>
        <v>0</v>
      </c>
      <c r="DQ254" s="183">
        <f t="shared" ca="1" si="143"/>
        <v>0</v>
      </c>
      <c r="DR254" s="183">
        <f t="shared" ca="1" si="144"/>
        <v>0</v>
      </c>
      <c r="DS254" s="182">
        <f t="shared" ca="1" si="147"/>
        <v>0</v>
      </c>
      <c r="DT254" s="182">
        <f t="shared" ca="1" si="148"/>
        <v>0</v>
      </c>
      <c r="DU254" s="182"/>
      <c r="DV254" s="182"/>
      <c r="DW254" s="182"/>
    </row>
    <row r="255" spans="109:127">
      <c r="DE255" s="159"/>
      <c r="DF255" s="159"/>
      <c r="DG255" s="159">
        <v>5</v>
      </c>
      <c r="DH255" s="159">
        <v>7</v>
      </c>
      <c r="DI255" s="123">
        <f t="shared" si="146"/>
        <v>9</v>
      </c>
      <c r="DJ255" s="36" t="str">
        <f ca="1">OFFSET(gr_header,DG255+DE232,1+DF232)</f>
        <v/>
      </c>
      <c r="DK255" s="36" t="str">
        <f ca="1">OFFSET(gr_header,DH255+DE232,1+DF232)</f>
        <v/>
      </c>
      <c r="DL255" s="123">
        <f ca="1">OFFSET(gr_header,DG255+DE232,2*DH255+DF232)</f>
        <v>0</v>
      </c>
      <c r="DM255" s="123">
        <f ca="1">OFFSET(gr_header,DG255+DE232,2*DH255+1+DF232)</f>
        <v>0</v>
      </c>
      <c r="DO255" s="183">
        <f t="shared" ca="1" si="141"/>
        <v>0</v>
      </c>
      <c r="DP255" s="183">
        <f t="shared" ca="1" si="142"/>
        <v>0</v>
      </c>
      <c r="DQ255" s="183">
        <f t="shared" ca="1" si="143"/>
        <v>0</v>
      </c>
      <c r="DR255" s="183">
        <f t="shared" ca="1" si="144"/>
        <v>0</v>
      </c>
      <c r="DS255" s="182">
        <f t="shared" ca="1" si="147"/>
        <v>0</v>
      </c>
      <c r="DT255" s="182">
        <f t="shared" ca="1" si="148"/>
        <v>0</v>
      </c>
      <c r="DU255" s="182"/>
      <c r="DV255" s="182"/>
      <c r="DW255" s="182"/>
    </row>
    <row r="256" spans="109:127">
      <c r="DE256" s="159"/>
      <c r="DF256" s="159"/>
      <c r="DG256" s="159">
        <v>5</v>
      </c>
      <c r="DH256" s="159">
        <v>8</v>
      </c>
      <c r="DI256" s="123">
        <f t="shared" si="146"/>
        <v>9</v>
      </c>
      <c r="DJ256" s="36" t="str">
        <f ca="1">OFFSET(gr_header,DG256+DE232,1+DF232)</f>
        <v/>
      </c>
      <c r="DK256" s="36" t="str">
        <f ca="1">OFFSET(gr_header,DH256+DE232,1+DF232)</f>
        <v/>
      </c>
      <c r="DL256" s="123">
        <f ca="1">OFFSET(gr_header,DG256+DE232,2*DH256+DF232)</f>
        <v>0</v>
      </c>
      <c r="DM256" s="123">
        <f ca="1">OFFSET(gr_header,DG256+DE232,2*DH256+1+DF232)</f>
        <v>0</v>
      </c>
      <c r="DO256" s="183">
        <f t="shared" ca="1" si="141"/>
        <v>0</v>
      </c>
      <c r="DP256" s="183">
        <f t="shared" ca="1" si="142"/>
        <v>0</v>
      </c>
      <c r="DQ256" s="183">
        <f t="shared" ca="1" si="143"/>
        <v>0</v>
      </c>
      <c r="DR256" s="183">
        <f t="shared" ca="1" si="144"/>
        <v>0</v>
      </c>
      <c r="DS256" s="182">
        <f t="shared" ca="1" si="147"/>
        <v>0</v>
      </c>
      <c r="DT256" s="182">
        <f t="shared" ca="1" si="148"/>
        <v>0</v>
      </c>
      <c r="DU256" s="182"/>
      <c r="DV256" s="182"/>
      <c r="DW256" s="182"/>
    </row>
    <row r="257" spans="109:127">
      <c r="DE257" s="159"/>
      <c r="DF257" s="159"/>
      <c r="DG257" s="159">
        <v>6</v>
      </c>
      <c r="DH257" s="159">
        <v>7</v>
      </c>
      <c r="DI257" s="123">
        <f t="shared" si="146"/>
        <v>9</v>
      </c>
      <c r="DJ257" s="36" t="str">
        <f ca="1">OFFSET(gr_header,DG257+DE232,1+DF232)</f>
        <v/>
      </c>
      <c r="DK257" s="36" t="str">
        <f ca="1">OFFSET(gr_header,DH257+DE232,1+DF232)</f>
        <v/>
      </c>
      <c r="DL257" s="123">
        <f ca="1">OFFSET(gr_header,DG257+DE232,2*DH257+DF232)</f>
        <v>0</v>
      </c>
      <c r="DM257" s="123">
        <f ca="1">OFFSET(gr_header,DG257+DE232,2*DH257+1+DF232)</f>
        <v>0</v>
      </c>
      <c r="DO257" s="183">
        <f t="shared" ca="1" si="141"/>
        <v>0</v>
      </c>
      <c r="DP257" s="183">
        <f t="shared" ca="1" si="142"/>
        <v>0</v>
      </c>
      <c r="DQ257" s="183">
        <f t="shared" ca="1" si="143"/>
        <v>0</v>
      </c>
      <c r="DR257" s="183">
        <f t="shared" ca="1" si="144"/>
        <v>0</v>
      </c>
      <c r="DS257" s="182">
        <f t="shared" ca="1" si="147"/>
        <v>0</v>
      </c>
      <c r="DT257" s="182">
        <f t="shared" ca="1" si="148"/>
        <v>0</v>
      </c>
      <c r="DU257" s="182"/>
      <c r="DV257" s="182"/>
      <c r="DW257" s="182"/>
    </row>
    <row r="258" spans="109:127">
      <c r="DE258" s="159"/>
      <c r="DF258" s="159"/>
      <c r="DG258" s="159">
        <v>6</v>
      </c>
      <c r="DH258" s="159">
        <v>8</v>
      </c>
      <c r="DI258" s="123">
        <f t="shared" si="146"/>
        <v>9</v>
      </c>
      <c r="DJ258" s="36" t="str">
        <f ca="1">OFFSET(gr_header,DG258+DE232,1+DF232)</f>
        <v/>
      </c>
      <c r="DK258" s="36" t="str">
        <f ca="1">OFFSET(gr_header,DH258+DE232,1+DF232)</f>
        <v/>
      </c>
      <c r="DL258" s="123">
        <f ca="1">OFFSET(gr_header,DG258+DE232,2*DH258+DF232)</f>
        <v>0</v>
      </c>
      <c r="DM258" s="123">
        <f ca="1">OFFSET(gr_header,DG258+DE232,2*DH258+1+DF232)</f>
        <v>0</v>
      </c>
      <c r="DO258" s="183">
        <f t="shared" ca="1" si="141"/>
        <v>0</v>
      </c>
      <c r="DP258" s="183">
        <f t="shared" ca="1" si="142"/>
        <v>0</v>
      </c>
      <c r="DQ258" s="183">
        <f t="shared" ca="1" si="143"/>
        <v>0</v>
      </c>
      <c r="DR258" s="183">
        <f t="shared" ca="1" si="144"/>
        <v>0</v>
      </c>
      <c r="DS258" s="182">
        <f t="shared" ca="1" si="147"/>
        <v>0</v>
      </c>
      <c r="DT258" s="182">
        <f t="shared" ca="1" si="148"/>
        <v>0</v>
      </c>
      <c r="DU258" s="182"/>
      <c r="DV258" s="182"/>
      <c r="DW258" s="182"/>
    </row>
    <row r="259" spans="109:127">
      <c r="DE259" s="159"/>
      <c r="DF259" s="159"/>
      <c r="DG259" s="159">
        <v>7</v>
      </c>
      <c r="DH259" s="159">
        <v>8</v>
      </c>
      <c r="DI259" s="123">
        <f t="shared" si="146"/>
        <v>9</v>
      </c>
      <c r="DJ259" s="36" t="str">
        <f ca="1">OFFSET(gr_header,DG259+DE232,1+DF232)</f>
        <v/>
      </c>
      <c r="DK259" s="36" t="str">
        <f ca="1">OFFSET(gr_header,DH259+DE232,1+DF232)</f>
        <v/>
      </c>
      <c r="DL259" s="123">
        <f ca="1">OFFSET(gr_header,DG259+DE232,2*DH259+DF232)</f>
        <v>0</v>
      </c>
      <c r="DM259" s="123">
        <f ca="1">OFFSET(gr_header,DG259+DE259,2*DH259+1+DF259)</f>
        <v>0</v>
      </c>
      <c r="DO259" s="183">
        <f t="shared" ca="1" si="141"/>
        <v>0</v>
      </c>
      <c r="DP259" s="183">
        <f t="shared" ca="1" si="142"/>
        <v>0</v>
      </c>
      <c r="DQ259" s="183">
        <f t="shared" ca="1" si="143"/>
        <v>0</v>
      </c>
      <c r="DR259" s="183">
        <f t="shared" ca="1" si="144"/>
        <v>0</v>
      </c>
      <c r="DS259" s="182">
        <f t="shared" ca="1" si="147"/>
        <v>0</v>
      </c>
      <c r="DT259" s="182">
        <f t="shared" ca="1" si="148"/>
        <v>0</v>
      </c>
      <c r="DU259" s="182"/>
      <c r="DV259" s="182"/>
      <c r="DW259" s="182"/>
    </row>
    <row r="260" spans="109:127">
      <c r="DE260" s="123">
        <f>DE261*shift1</f>
        <v>40</v>
      </c>
      <c r="DF260" s="123">
        <f>DF261*shift2</f>
        <v>24</v>
      </c>
      <c r="DG260" s="123">
        <v>1</v>
      </c>
      <c r="DH260" s="123">
        <v>2</v>
      </c>
      <c r="DI260" s="147">
        <f>DI232+1</f>
        <v>10</v>
      </c>
      <c r="DJ260" s="36" t="str">
        <f ca="1">OFFSET(gr_header,DG260+DE260,1+DF260)</f>
        <v/>
      </c>
      <c r="DK260" s="36" t="str">
        <f ca="1">OFFSET(gr_header,DH260+DE260,1+DF260)</f>
        <v/>
      </c>
      <c r="DL260" s="123">
        <f ca="1">OFFSET(gr_header,DG260+DE260,2*DH260+DF260)</f>
        <v>0</v>
      </c>
      <c r="DM260" s="123">
        <f ca="1">OFFSET(gr_header,DG260+DE260,2*DH260+1+DF260)</f>
        <v>0</v>
      </c>
      <c r="DO260" s="183">
        <f t="shared" ca="1" si="141"/>
        <v>0</v>
      </c>
      <c r="DP260" s="183">
        <f t="shared" ca="1" si="142"/>
        <v>0</v>
      </c>
      <c r="DQ260" s="183">
        <f t="shared" ca="1" si="143"/>
        <v>0</v>
      </c>
      <c r="DR260" s="183">
        <f t="shared" ca="1" si="144"/>
        <v>0</v>
      </c>
      <c r="DS260" s="182">
        <f t="shared" ca="1" si="147"/>
        <v>0</v>
      </c>
      <c r="DT260" s="182">
        <f t="shared" ca="1" si="148"/>
        <v>0</v>
      </c>
      <c r="DU260" s="182"/>
      <c r="DV260" s="182"/>
      <c r="DW260" s="182"/>
    </row>
    <row r="261" spans="109:127">
      <c r="DE261" s="123">
        <f>INT((DI260-1)/2)</f>
        <v>4</v>
      </c>
      <c r="DF261" s="123">
        <f>1-(INT((DI260+1)/2)*2-DI260)</f>
        <v>1</v>
      </c>
      <c r="DG261" s="123">
        <v>1</v>
      </c>
      <c r="DH261" s="123">
        <v>3</v>
      </c>
      <c r="DI261" s="123">
        <f>DI260</f>
        <v>10</v>
      </c>
      <c r="DJ261" s="36" t="str">
        <f ca="1">OFFSET(gr_header,DG261+DE260,1+DF260)</f>
        <v/>
      </c>
      <c r="DK261" s="36" t="str">
        <f ca="1">OFFSET(gr_header,DH261+DE260,1+DF260)</f>
        <v/>
      </c>
      <c r="DL261" s="123">
        <f ca="1">OFFSET(gr_header,DG261+DE260,2*DH261+DF260)</f>
        <v>0</v>
      </c>
      <c r="DM261" s="123">
        <f ca="1">OFFSET(gr_header,DG261+DE260,2*DH261+1+DF260)</f>
        <v>0</v>
      </c>
      <c r="DO261" s="183">
        <f t="shared" ca="1" si="141"/>
        <v>0</v>
      </c>
      <c r="DP261" s="183">
        <f t="shared" ca="1" si="142"/>
        <v>0</v>
      </c>
      <c r="DQ261" s="183">
        <f t="shared" ca="1" si="143"/>
        <v>0</v>
      </c>
      <c r="DR261" s="183">
        <f t="shared" ca="1" si="144"/>
        <v>0</v>
      </c>
      <c r="DS261" s="182">
        <f t="shared" ca="1" si="147"/>
        <v>0</v>
      </c>
      <c r="DT261" s="182">
        <f t="shared" ca="1" si="148"/>
        <v>0</v>
      </c>
      <c r="DU261" s="182"/>
      <c r="DV261" s="182"/>
      <c r="DW261" s="182"/>
    </row>
    <row r="262" spans="109:127">
      <c r="DG262" s="123">
        <v>1</v>
      </c>
      <c r="DH262" s="123">
        <v>4</v>
      </c>
      <c r="DI262" s="123">
        <f t="shared" ref="DI262:DI287" si="149">DI261</f>
        <v>10</v>
      </c>
      <c r="DJ262" s="36" t="str">
        <f ca="1">OFFSET(gr_header,DG262+DE260,1+DF260)</f>
        <v/>
      </c>
      <c r="DK262" s="36" t="str">
        <f ca="1">OFFSET(gr_header,DH262+DE260,1+DF260)</f>
        <v/>
      </c>
      <c r="DL262" s="123">
        <f ca="1">OFFSET(gr_header,DG262+DE260,2*DH262+DF260)</f>
        <v>0</v>
      </c>
      <c r="DM262" s="123">
        <f ca="1">OFFSET(gr_header,DG262+DE260,2*DH262+1+DF260)</f>
        <v>0</v>
      </c>
      <c r="DO262" s="183">
        <f t="shared" ca="1" si="141"/>
        <v>0</v>
      </c>
      <c r="DP262" s="183">
        <f t="shared" ca="1" si="142"/>
        <v>0</v>
      </c>
      <c r="DQ262" s="183">
        <f t="shared" ca="1" si="143"/>
        <v>0</v>
      </c>
      <c r="DR262" s="183">
        <f t="shared" ca="1" si="144"/>
        <v>0</v>
      </c>
      <c r="DS262" s="182">
        <f t="shared" ca="1" si="147"/>
        <v>0</v>
      </c>
      <c r="DT262" s="182">
        <f t="shared" ca="1" si="148"/>
        <v>0</v>
      </c>
      <c r="DU262" s="182"/>
      <c r="DV262" s="182"/>
      <c r="DW262" s="182"/>
    </row>
    <row r="263" spans="109:127">
      <c r="DG263" s="123">
        <v>1</v>
      </c>
      <c r="DH263" s="123">
        <v>5</v>
      </c>
      <c r="DI263" s="123">
        <f t="shared" si="149"/>
        <v>10</v>
      </c>
      <c r="DJ263" s="36" t="str">
        <f ca="1">OFFSET(gr_header,DG263+DE260,1+DF260)</f>
        <v/>
      </c>
      <c r="DK263" s="36" t="str">
        <f ca="1">OFFSET(gr_header,DH263+DE260,1+DF260)</f>
        <v/>
      </c>
      <c r="DL263" s="123">
        <f ca="1">OFFSET(gr_header,DG263+DE260,2*DH263+DF260)</f>
        <v>0</v>
      </c>
      <c r="DM263" s="123">
        <f ca="1">OFFSET(gr_header,DG263+DE260,2*DH263+1+DF260)</f>
        <v>0</v>
      </c>
      <c r="DO263" s="183">
        <f t="shared" ca="1" si="141"/>
        <v>0</v>
      </c>
      <c r="DP263" s="183">
        <f t="shared" ca="1" si="142"/>
        <v>0</v>
      </c>
      <c r="DQ263" s="183">
        <f t="shared" ca="1" si="143"/>
        <v>0</v>
      </c>
      <c r="DR263" s="183">
        <f t="shared" ca="1" si="144"/>
        <v>0</v>
      </c>
      <c r="DS263" s="182">
        <f t="shared" ca="1" si="147"/>
        <v>0</v>
      </c>
      <c r="DT263" s="182">
        <f t="shared" ca="1" si="148"/>
        <v>0</v>
      </c>
      <c r="DU263" s="182"/>
      <c r="DV263" s="182"/>
      <c r="DW263" s="182"/>
    </row>
    <row r="264" spans="109:127">
      <c r="DG264" s="123">
        <v>1</v>
      </c>
      <c r="DH264" s="123">
        <v>6</v>
      </c>
      <c r="DI264" s="123">
        <f t="shared" si="149"/>
        <v>10</v>
      </c>
      <c r="DJ264" s="36" t="str">
        <f ca="1">OFFSET(gr_header,DG264+DE260,1+DF260)</f>
        <v/>
      </c>
      <c r="DK264" s="36" t="str">
        <f ca="1">OFFSET(gr_header,DH264+DE260,1+DF260)</f>
        <v/>
      </c>
      <c r="DL264" s="123">
        <f ca="1">OFFSET(gr_header,DG264+DE260,2*DH264+DF260)</f>
        <v>0</v>
      </c>
      <c r="DM264" s="123">
        <f ca="1">OFFSET(gr_header,DG264+DE260,2*DH264+1+DF260)</f>
        <v>0</v>
      </c>
      <c r="DO264" s="183">
        <f t="shared" ca="1" si="141"/>
        <v>0</v>
      </c>
      <c r="DP264" s="183">
        <f t="shared" ca="1" si="142"/>
        <v>0</v>
      </c>
      <c r="DQ264" s="183">
        <f t="shared" ca="1" si="143"/>
        <v>0</v>
      </c>
      <c r="DR264" s="183">
        <f t="shared" ca="1" si="144"/>
        <v>0</v>
      </c>
      <c r="DS264" s="182">
        <f t="shared" ca="1" si="147"/>
        <v>0</v>
      </c>
      <c r="DT264" s="182">
        <f t="shared" ca="1" si="148"/>
        <v>0</v>
      </c>
      <c r="DU264" s="182"/>
      <c r="DV264" s="182"/>
      <c r="DW264" s="182"/>
    </row>
    <row r="265" spans="109:127">
      <c r="DG265" s="123">
        <v>1</v>
      </c>
      <c r="DH265" s="123">
        <v>7</v>
      </c>
      <c r="DI265" s="123">
        <f t="shared" si="149"/>
        <v>10</v>
      </c>
      <c r="DJ265" s="36" t="str">
        <f ca="1">OFFSET(gr_header,DG265+DE260,1+DF260)</f>
        <v/>
      </c>
      <c r="DK265" s="36" t="str">
        <f ca="1">OFFSET(gr_header,DH265+DE260,1+DF260)</f>
        <v/>
      </c>
      <c r="DL265" s="123">
        <f ca="1">OFFSET(gr_header,DG265+DE260,2*DH265+DF260)</f>
        <v>0</v>
      </c>
      <c r="DM265" s="123">
        <f ca="1">OFFSET(gr_header,DG265+DE260,2*DH265+1+DF260)</f>
        <v>0</v>
      </c>
      <c r="DO265" s="183">
        <f t="shared" ref="DO265:DO287" ca="1" si="150">IF(DJ265="",0,TRIM(MID(DJ265,1,FIND(" ; ",DJ265)-1)))</f>
        <v>0</v>
      </c>
      <c r="DP265" s="183">
        <f t="shared" ref="DP265:DP287" ca="1" si="151">IF(DJ265="",0,TRIM(MID(DJ265,FIND(";",DJ265)+1,LEN(DJ265))))</f>
        <v>0</v>
      </c>
      <c r="DQ265" s="183">
        <f t="shared" ref="DQ265:DQ287" ca="1" si="152">IF(DK265="",0,TRIM(MID(DK265,1,FIND(" ; ",DK265)-1)))</f>
        <v>0</v>
      </c>
      <c r="DR265" s="183">
        <f t="shared" ref="DR265:DR287" ca="1" si="153">IF(DK265="",0,TRIM(MID(DK265,FIND(";",DK265)+1,LEN(DK265))))</f>
        <v>0</v>
      </c>
      <c r="DS265" s="182">
        <f t="shared" ca="1" si="147"/>
        <v>0</v>
      </c>
      <c r="DT265" s="182">
        <f t="shared" ca="1" si="148"/>
        <v>0</v>
      </c>
      <c r="DU265" s="182"/>
      <c r="DV265" s="182"/>
      <c r="DW265" s="182"/>
    </row>
    <row r="266" spans="109:127">
      <c r="DE266" s="159"/>
      <c r="DF266" s="159"/>
      <c r="DG266" s="159">
        <v>1</v>
      </c>
      <c r="DH266" s="123">
        <v>8</v>
      </c>
      <c r="DI266" s="123">
        <f t="shared" si="149"/>
        <v>10</v>
      </c>
      <c r="DJ266" s="36" t="str">
        <f ca="1">OFFSET(gr_header,DG266+DE260,1+DF260)</f>
        <v/>
      </c>
      <c r="DK266" s="36" t="str">
        <f ca="1">OFFSET(gr_header,DH266+DE260,1+DF260)</f>
        <v/>
      </c>
      <c r="DL266" s="123">
        <f ca="1">OFFSET(gr_header,DG266+DE260,2*DH266+DF260)</f>
        <v>0</v>
      </c>
      <c r="DM266" s="123">
        <f ca="1">OFFSET(gr_header,DG266+DE260,2*DH266+1+DF260)</f>
        <v>0</v>
      </c>
      <c r="DO266" s="183">
        <f t="shared" ca="1" si="150"/>
        <v>0</v>
      </c>
      <c r="DP266" s="183">
        <f t="shared" ca="1" si="151"/>
        <v>0</v>
      </c>
      <c r="DQ266" s="183">
        <f t="shared" ca="1" si="152"/>
        <v>0</v>
      </c>
      <c r="DR266" s="183">
        <f t="shared" ca="1" si="153"/>
        <v>0</v>
      </c>
      <c r="DS266" s="182">
        <f t="shared" ca="1" si="147"/>
        <v>0</v>
      </c>
      <c r="DT266" s="182">
        <f t="shared" ca="1" si="148"/>
        <v>0</v>
      </c>
      <c r="DU266" s="182"/>
      <c r="DV266" s="182"/>
      <c r="DW266" s="182"/>
    </row>
    <row r="267" spans="109:127">
      <c r="DE267" s="159"/>
      <c r="DF267" s="159"/>
      <c r="DG267" s="159">
        <v>2</v>
      </c>
      <c r="DH267" s="159">
        <v>3</v>
      </c>
      <c r="DI267" s="123">
        <f t="shared" si="149"/>
        <v>10</v>
      </c>
      <c r="DJ267" s="36" t="str">
        <f ca="1">OFFSET(gr_header,DG267+DE260,1+DF260)</f>
        <v/>
      </c>
      <c r="DK267" s="36" t="str">
        <f ca="1">OFFSET(gr_header,DH267+DE260,1+DF260)</f>
        <v/>
      </c>
      <c r="DL267" s="123">
        <f ca="1">OFFSET(gr_header,DG267+DE260,2*DH267+DF260)</f>
        <v>0</v>
      </c>
      <c r="DM267" s="123">
        <f ca="1">OFFSET(gr_header,DG267+DE260,2*DH267+1+DF260)</f>
        <v>0</v>
      </c>
      <c r="DO267" s="183">
        <f t="shared" ca="1" si="150"/>
        <v>0</v>
      </c>
      <c r="DP267" s="183">
        <f t="shared" ca="1" si="151"/>
        <v>0</v>
      </c>
      <c r="DQ267" s="183">
        <f t="shared" ca="1" si="152"/>
        <v>0</v>
      </c>
      <c r="DR267" s="183">
        <f t="shared" ca="1" si="153"/>
        <v>0</v>
      </c>
      <c r="DS267" s="182">
        <f t="shared" ca="1" si="147"/>
        <v>0</v>
      </c>
      <c r="DT267" s="182">
        <f t="shared" ca="1" si="148"/>
        <v>0</v>
      </c>
      <c r="DU267" s="182"/>
      <c r="DV267" s="182"/>
      <c r="DW267" s="182"/>
    </row>
    <row r="268" spans="109:127">
      <c r="DE268" s="159"/>
      <c r="DF268" s="159"/>
      <c r="DG268" s="159">
        <v>2</v>
      </c>
      <c r="DH268" s="159">
        <v>4</v>
      </c>
      <c r="DI268" s="123">
        <f t="shared" si="149"/>
        <v>10</v>
      </c>
      <c r="DJ268" s="36" t="str">
        <f ca="1">OFFSET(gr_header,DG268+DE260,1+DF260)</f>
        <v/>
      </c>
      <c r="DK268" s="36" t="str">
        <f ca="1">OFFSET(gr_header,DH268+DE260,1+DF260)</f>
        <v/>
      </c>
      <c r="DL268" s="123">
        <f ca="1">OFFSET(gr_header,DG268+DE260,2*DH268+DF260)</f>
        <v>0</v>
      </c>
      <c r="DM268" s="123">
        <f ca="1">OFFSET(gr_header,DG268+DE260,2*DH268+1+DF260)</f>
        <v>0</v>
      </c>
      <c r="DO268" s="183">
        <f t="shared" ca="1" si="150"/>
        <v>0</v>
      </c>
      <c r="DP268" s="183">
        <f t="shared" ca="1" si="151"/>
        <v>0</v>
      </c>
      <c r="DQ268" s="183">
        <f t="shared" ca="1" si="152"/>
        <v>0</v>
      </c>
      <c r="DR268" s="183">
        <f t="shared" ca="1" si="153"/>
        <v>0</v>
      </c>
      <c r="DS268" s="182">
        <f t="shared" ca="1" si="147"/>
        <v>0</v>
      </c>
      <c r="DT268" s="182">
        <f t="shared" ca="1" si="148"/>
        <v>0</v>
      </c>
      <c r="DU268" s="182"/>
      <c r="DV268" s="182"/>
      <c r="DW268" s="182"/>
    </row>
    <row r="269" spans="109:127">
      <c r="DE269" s="159"/>
      <c r="DF269" s="159"/>
      <c r="DG269" s="159">
        <v>2</v>
      </c>
      <c r="DH269" s="159">
        <v>5</v>
      </c>
      <c r="DI269" s="123">
        <f t="shared" si="149"/>
        <v>10</v>
      </c>
      <c r="DJ269" s="36" t="str">
        <f ca="1">OFFSET(gr_header,DG269+DE260,1+DF260)</f>
        <v/>
      </c>
      <c r="DK269" s="36" t="str">
        <f ca="1">OFFSET(gr_header,DH269+DE260,1+DF260)</f>
        <v/>
      </c>
      <c r="DL269" s="123">
        <f ca="1">OFFSET(gr_header,DG269+DE260,2*DH269+DF260)</f>
        <v>0</v>
      </c>
      <c r="DM269" s="123">
        <f ca="1">OFFSET(gr_header,DG269+DE260,2*DH269+1+DF260)</f>
        <v>0</v>
      </c>
      <c r="DO269" s="183">
        <f t="shared" ca="1" si="150"/>
        <v>0</v>
      </c>
      <c r="DP269" s="183">
        <f t="shared" ca="1" si="151"/>
        <v>0</v>
      </c>
      <c r="DQ269" s="183">
        <f t="shared" ca="1" si="152"/>
        <v>0</v>
      </c>
      <c r="DR269" s="183">
        <f t="shared" ca="1" si="153"/>
        <v>0</v>
      </c>
      <c r="DS269" s="182">
        <f t="shared" ca="1" si="147"/>
        <v>0</v>
      </c>
      <c r="DT269" s="182">
        <f t="shared" ca="1" si="148"/>
        <v>0</v>
      </c>
      <c r="DU269" s="182"/>
      <c r="DV269" s="182"/>
      <c r="DW269" s="182"/>
    </row>
    <row r="270" spans="109:127">
      <c r="DE270" s="159"/>
      <c r="DF270" s="159"/>
      <c r="DG270" s="159">
        <v>2</v>
      </c>
      <c r="DH270" s="159">
        <v>6</v>
      </c>
      <c r="DI270" s="123">
        <f t="shared" si="149"/>
        <v>10</v>
      </c>
      <c r="DJ270" s="36" t="str">
        <f ca="1">OFFSET(gr_header,DG270+DE260,1+DF260)</f>
        <v/>
      </c>
      <c r="DK270" s="36" t="str">
        <f ca="1">OFFSET(gr_header,DH270+DE260,1+DF260)</f>
        <v/>
      </c>
      <c r="DL270" s="123">
        <f ca="1">OFFSET(gr_header,DG270+DE260,2*DH270+DF260)</f>
        <v>0</v>
      </c>
      <c r="DM270" s="123">
        <f ca="1">OFFSET(gr_header,DG270+DE260,2*DH270+1+DF260)</f>
        <v>0</v>
      </c>
      <c r="DO270" s="183">
        <f t="shared" ca="1" si="150"/>
        <v>0</v>
      </c>
      <c r="DP270" s="183">
        <f t="shared" ca="1" si="151"/>
        <v>0</v>
      </c>
      <c r="DQ270" s="183">
        <f t="shared" ca="1" si="152"/>
        <v>0</v>
      </c>
      <c r="DR270" s="183">
        <f t="shared" ca="1" si="153"/>
        <v>0</v>
      </c>
      <c r="DS270" s="182">
        <f t="shared" ca="1" si="147"/>
        <v>0</v>
      </c>
      <c r="DT270" s="182">
        <f t="shared" ca="1" si="148"/>
        <v>0</v>
      </c>
      <c r="DU270" s="182"/>
      <c r="DV270" s="182"/>
      <c r="DW270" s="182"/>
    </row>
    <row r="271" spans="109:127">
      <c r="DE271" s="159"/>
      <c r="DF271" s="159"/>
      <c r="DG271" s="159">
        <v>2</v>
      </c>
      <c r="DH271" s="159">
        <v>7</v>
      </c>
      <c r="DI271" s="123">
        <f t="shared" si="149"/>
        <v>10</v>
      </c>
      <c r="DJ271" s="36" t="str">
        <f ca="1">OFFSET(gr_header,DG271+DE260,1+DF260)</f>
        <v/>
      </c>
      <c r="DK271" s="36" t="str">
        <f ca="1">OFFSET(gr_header,DH271+DE260,1+DF260)</f>
        <v/>
      </c>
      <c r="DL271" s="123">
        <f ca="1">OFFSET(gr_header,DG271+DE260,2*DH271+DF260)</f>
        <v>0</v>
      </c>
      <c r="DM271" s="123">
        <f ca="1">OFFSET(gr_header,DG271+DE260,2*DH271+1+DF260)</f>
        <v>0</v>
      </c>
      <c r="DO271" s="183">
        <f t="shared" ca="1" si="150"/>
        <v>0</v>
      </c>
      <c r="DP271" s="183">
        <f t="shared" ca="1" si="151"/>
        <v>0</v>
      </c>
      <c r="DQ271" s="183">
        <f t="shared" ca="1" si="152"/>
        <v>0</v>
      </c>
      <c r="DR271" s="183">
        <f t="shared" ca="1" si="153"/>
        <v>0</v>
      </c>
      <c r="DS271" s="182">
        <f t="shared" ca="1" si="147"/>
        <v>0</v>
      </c>
      <c r="DT271" s="182">
        <f t="shared" ca="1" si="148"/>
        <v>0</v>
      </c>
      <c r="DU271" s="182"/>
      <c r="DV271" s="182"/>
      <c r="DW271" s="182"/>
    </row>
    <row r="272" spans="109:127">
      <c r="DE272" s="159"/>
      <c r="DF272" s="159"/>
      <c r="DG272" s="159">
        <v>2</v>
      </c>
      <c r="DH272" s="159">
        <v>8</v>
      </c>
      <c r="DI272" s="123">
        <f t="shared" si="149"/>
        <v>10</v>
      </c>
      <c r="DJ272" s="36" t="str">
        <f ca="1">OFFSET(gr_header,DG272+DE260,1+DF260)</f>
        <v/>
      </c>
      <c r="DK272" s="36" t="str">
        <f ca="1">OFFSET(gr_header,DH272+DE260,1+DF260)</f>
        <v/>
      </c>
      <c r="DL272" s="123">
        <f ca="1">OFFSET(gr_header,DG272+DE260,2*DH272+DF260)</f>
        <v>0</v>
      </c>
      <c r="DM272" s="123">
        <f ca="1">OFFSET(gr_header,DG272+DE260,2*DH272+1+DF260)</f>
        <v>0</v>
      </c>
      <c r="DO272" s="183">
        <f t="shared" ca="1" si="150"/>
        <v>0</v>
      </c>
      <c r="DP272" s="183">
        <f t="shared" ca="1" si="151"/>
        <v>0</v>
      </c>
      <c r="DQ272" s="183">
        <f t="shared" ca="1" si="152"/>
        <v>0</v>
      </c>
      <c r="DR272" s="183">
        <f t="shared" ca="1" si="153"/>
        <v>0</v>
      </c>
      <c r="DS272" s="182">
        <f t="shared" ca="1" si="147"/>
        <v>0</v>
      </c>
      <c r="DT272" s="182">
        <f t="shared" ca="1" si="148"/>
        <v>0</v>
      </c>
      <c r="DU272" s="182"/>
      <c r="DV272" s="182"/>
      <c r="DW272" s="182"/>
    </row>
    <row r="273" spans="109:127">
      <c r="DE273" s="159"/>
      <c r="DF273" s="159"/>
      <c r="DG273" s="159">
        <v>3</v>
      </c>
      <c r="DH273" s="159">
        <v>4</v>
      </c>
      <c r="DI273" s="123">
        <f t="shared" si="149"/>
        <v>10</v>
      </c>
      <c r="DJ273" s="36" t="str">
        <f ca="1">OFFSET(gr_header,DG273+DE260,1+DF260)</f>
        <v/>
      </c>
      <c r="DK273" s="36" t="str">
        <f ca="1">OFFSET(gr_header,DH273+DE260,1+DF260)</f>
        <v/>
      </c>
      <c r="DL273" s="123">
        <f ca="1">OFFSET(gr_header,DG273+DE260,2*DH273+DF260)</f>
        <v>0</v>
      </c>
      <c r="DM273" s="123">
        <f ca="1">OFFSET(gr_header,DG273+DE260,2*DH273+1+DF260)</f>
        <v>0</v>
      </c>
      <c r="DO273" s="183">
        <f t="shared" ca="1" si="150"/>
        <v>0</v>
      </c>
      <c r="DP273" s="183">
        <f t="shared" ca="1" si="151"/>
        <v>0</v>
      </c>
      <c r="DQ273" s="183">
        <f t="shared" ca="1" si="152"/>
        <v>0</v>
      </c>
      <c r="DR273" s="183">
        <f t="shared" ca="1" si="153"/>
        <v>0</v>
      </c>
      <c r="DS273" s="182">
        <f t="shared" ca="1" si="147"/>
        <v>0</v>
      </c>
      <c r="DT273" s="182">
        <f t="shared" ca="1" si="148"/>
        <v>0</v>
      </c>
      <c r="DU273" s="182"/>
      <c r="DV273" s="182"/>
      <c r="DW273" s="182"/>
    </row>
    <row r="274" spans="109:127">
      <c r="DE274" s="159"/>
      <c r="DF274" s="159"/>
      <c r="DG274" s="159">
        <v>3</v>
      </c>
      <c r="DH274" s="159">
        <v>5</v>
      </c>
      <c r="DI274" s="123">
        <f t="shared" si="149"/>
        <v>10</v>
      </c>
      <c r="DJ274" s="36" t="str">
        <f ca="1">OFFSET(gr_header,DG274+DE260,1+DF260)</f>
        <v/>
      </c>
      <c r="DK274" s="36" t="str">
        <f ca="1">OFFSET(gr_header,DH274+DE260,1+DF260)</f>
        <v/>
      </c>
      <c r="DL274" s="123">
        <f ca="1">OFFSET(gr_header,DG274+DE260,2*DH274+DF260)</f>
        <v>0</v>
      </c>
      <c r="DM274" s="123">
        <f ca="1">OFFSET(gr_header,DG274+DE260,2*DH274+1+DF260)</f>
        <v>0</v>
      </c>
      <c r="DO274" s="183">
        <f t="shared" ca="1" si="150"/>
        <v>0</v>
      </c>
      <c r="DP274" s="183">
        <f t="shared" ca="1" si="151"/>
        <v>0</v>
      </c>
      <c r="DQ274" s="183">
        <f t="shared" ca="1" si="152"/>
        <v>0</v>
      </c>
      <c r="DR274" s="183">
        <f t="shared" ca="1" si="153"/>
        <v>0</v>
      </c>
      <c r="DS274" s="182">
        <f t="shared" ca="1" si="147"/>
        <v>0</v>
      </c>
      <c r="DT274" s="182">
        <f t="shared" ca="1" si="148"/>
        <v>0</v>
      </c>
      <c r="DU274" s="182"/>
      <c r="DV274" s="182"/>
      <c r="DW274" s="182"/>
    </row>
    <row r="275" spans="109:127">
      <c r="DE275" s="159"/>
      <c r="DF275" s="159"/>
      <c r="DG275" s="159">
        <v>3</v>
      </c>
      <c r="DH275" s="159">
        <v>6</v>
      </c>
      <c r="DI275" s="123">
        <f t="shared" si="149"/>
        <v>10</v>
      </c>
      <c r="DJ275" s="36" t="str">
        <f ca="1">OFFSET(gr_header,DG275+DE260,1+DF260)</f>
        <v/>
      </c>
      <c r="DK275" s="36" t="str">
        <f ca="1">OFFSET(gr_header,DH275+DE260,1+DF260)</f>
        <v/>
      </c>
      <c r="DL275" s="123">
        <f ca="1">OFFSET(gr_header,DG275+DE260,2*DH275+DF260)</f>
        <v>0</v>
      </c>
      <c r="DM275" s="123">
        <f ca="1">OFFSET(gr_header,DG275+DE260,2*DH275+1+DF260)</f>
        <v>0</v>
      </c>
      <c r="DO275" s="183">
        <f t="shared" ca="1" si="150"/>
        <v>0</v>
      </c>
      <c r="DP275" s="183">
        <f t="shared" ca="1" si="151"/>
        <v>0</v>
      </c>
      <c r="DQ275" s="183">
        <f t="shared" ca="1" si="152"/>
        <v>0</v>
      </c>
      <c r="DR275" s="183">
        <f t="shared" ca="1" si="153"/>
        <v>0</v>
      </c>
      <c r="DS275" s="182">
        <f t="shared" ca="1" si="147"/>
        <v>0</v>
      </c>
      <c r="DT275" s="182">
        <f t="shared" ca="1" si="148"/>
        <v>0</v>
      </c>
      <c r="DU275" s="182"/>
      <c r="DV275" s="182"/>
      <c r="DW275" s="182"/>
    </row>
    <row r="276" spans="109:127">
      <c r="DE276" s="159"/>
      <c r="DF276" s="159"/>
      <c r="DG276" s="159">
        <v>3</v>
      </c>
      <c r="DH276" s="159">
        <v>7</v>
      </c>
      <c r="DI276" s="123">
        <f t="shared" si="149"/>
        <v>10</v>
      </c>
      <c r="DJ276" s="36" t="str">
        <f ca="1">OFFSET(gr_header,DG276+DE260,1+DF260)</f>
        <v/>
      </c>
      <c r="DK276" s="36" t="str">
        <f ca="1">OFFSET(gr_header,DH276+DE260,1+DF260)</f>
        <v/>
      </c>
      <c r="DL276" s="123">
        <f ca="1">OFFSET(gr_header,DG276+DE260,2*DH276+DF260)</f>
        <v>0</v>
      </c>
      <c r="DM276" s="123">
        <f ca="1">OFFSET(gr_header,DG276+DE260,2*DH276+1+DF260)</f>
        <v>0</v>
      </c>
      <c r="DO276" s="183">
        <f t="shared" ca="1" si="150"/>
        <v>0</v>
      </c>
      <c r="DP276" s="183">
        <f t="shared" ca="1" si="151"/>
        <v>0</v>
      </c>
      <c r="DQ276" s="183">
        <f t="shared" ca="1" si="152"/>
        <v>0</v>
      </c>
      <c r="DR276" s="183">
        <f t="shared" ca="1" si="153"/>
        <v>0</v>
      </c>
      <c r="DS276" s="182">
        <f t="shared" ca="1" si="147"/>
        <v>0</v>
      </c>
      <c r="DT276" s="182">
        <f t="shared" ca="1" si="148"/>
        <v>0</v>
      </c>
      <c r="DU276" s="182"/>
      <c r="DV276" s="182"/>
      <c r="DW276" s="182"/>
    </row>
    <row r="277" spans="109:127">
      <c r="DE277" s="159"/>
      <c r="DF277" s="159"/>
      <c r="DG277" s="159">
        <v>3</v>
      </c>
      <c r="DH277" s="159">
        <v>8</v>
      </c>
      <c r="DI277" s="123">
        <f t="shared" si="149"/>
        <v>10</v>
      </c>
      <c r="DJ277" s="36" t="str">
        <f ca="1">OFFSET(gr_header,DG277+DE260,1+DF260)</f>
        <v/>
      </c>
      <c r="DK277" s="36" t="str">
        <f ca="1">OFFSET(gr_header,DH277+DE260,1+DF260)</f>
        <v/>
      </c>
      <c r="DL277" s="123">
        <f ca="1">OFFSET(gr_header,DG277+DE260,2*DH277+DF260)</f>
        <v>0</v>
      </c>
      <c r="DM277" s="123">
        <f ca="1">OFFSET(gr_header,DG277+DE260,2*DH277+1+DF260)</f>
        <v>0</v>
      </c>
      <c r="DO277" s="183">
        <f t="shared" ca="1" si="150"/>
        <v>0</v>
      </c>
      <c r="DP277" s="183">
        <f t="shared" ca="1" si="151"/>
        <v>0</v>
      </c>
      <c r="DQ277" s="183">
        <f t="shared" ca="1" si="152"/>
        <v>0</v>
      </c>
      <c r="DR277" s="183">
        <f t="shared" ca="1" si="153"/>
        <v>0</v>
      </c>
      <c r="DS277" s="182">
        <f t="shared" ca="1" si="147"/>
        <v>0</v>
      </c>
      <c r="DT277" s="182">
        <f t="shared" ca="1" si="148"/>
        <v>0</v>
      </c>
      <c r="DU277" s="182"/>
      <c r="DV277" s="182"/>
      <c r="DW277" s="182"/>
    </row>
    <row r="278" spans="109:127">
      <c r="DE278" s="159"/>
      <c r="DF278" s="159"/>
      <c r="DG278" s="159">
        <v>4</v>
      </c>
      <c r="DH278" s="159">
        <v>5</v>
      </c>
      <c r="DI278" s="123">
        <f t="shared" si="149"/>
        <v>10</v>
      </c>
      <c r="DJ278" s="36" t="str">
        <f ca="1">OFFSET(gr_header,DG278+DE260,1+DF260)</f>
        <v/>
      </c>
      <c r="DK278" s="36" t="str">
        <f ca="1">OFFSET(gr_header,DH278+DE260,1+DF260)</f>
        <v/>
      </c>
      <c r="DL278" s="123">
        <f ca="1">OFFSET(gr_header,DG278+DE260,2*DH278+DF260)</f>
        <v>0</v>
      </c>
      <c r="DM278" s="123">
        <f ca="1">OFFSET(gr_header,DG278+DE260,2*DH278+1+DF260)</f>
        <v>0</v>
      </c>
      <c r="DO278" s="183">
        <f t="shared" ca="1" si="150"/>
        <v>0</v>
      </c>
      <c r="DP278" s="183">
        <f t="shared" ca="1" si="151"/>
        <v>0</v>
      </c>
      <c r="DQ278" s="183">
        <f t="shared" ca="1" si="152"/>
        <v>0</v>
      </c>
      <c r="DR278" s="183">
        <f t="shared" ca="1" si="153"/>
        <v>0</v>
      </c>
      <c r="DS278" s="182">
        <f t="shared" ca="1" si="147"/>
        <v>0</v>
      </c>
      <c r="DT278" s="182">
        <f t="shared" ca="1" si="148"/>
        <v>0</v>
      </c>
      <c r="DU278" s="182"/>
      <c r="DV278" s="182"/>
      <c r="DW278" s="182"/>
    </row>
    <row r="279" spans="109:127">
      <c r="DE279" s="159"/>
      <c r="DF279" s="159"/>
      <c r="DG279" s="159">
        <v>4</v>
      </c>
      <c r="DH279" s="159">
        <v>6</v>
      </c>
      <c r="DI279" s="123">
        <f t="shared" si="149"/>
        <v>10</v>
      </c>
      <c r="DJ279" s="36" t="str">
        <f ca="1">OFFSET(gr_header,DG279+DE260,1+DF260)</f>
        <v/>
      </c>
      <c r="DK279" s="36" t="str">
        <f ca="1">OFFSET(gr_header,DH279+DE260,1+DF260)</f>
        <v/>
      </c>
      <c r="DL279" s="123">
        <f ca="1">OFFSET(gr_header,DG279+DE260,2*DH279+DF260)</f>
        <v>0</v>
      </c>
      <c r="DM279" s="123">
        <f ca="1">OFFSET(gr_header,DG279+DE260,2*DH279+1+DF260)</f>
        <v>0</v>
      </c>
      <c r="DO279" s="183">
        <f t="shared" ca="1" si="150"/>
        <v>0</v>
      </c>
      <c r="DP279" s="183">
        <f t="shared" ca="1" si="151"/>
        <v>0</v>
      </c>
      <c r="DQ279" s="183">
        <f t="shared" ca="1" si="152"/>
        <v>0</v>
      </c>
      <c r="DR279" s="183">
        <f t="shared" ca="1" si="153"/>
        <v>0</v>
      </c>
      <c r="DS279" s="182">
        <f t="shared" ca="1" si="147"/>
        <v>0</v>
      </c>
      <c r="DT279" s="182">
        <f t="shared" ca="1" si="148"/>
        <v>0</v>
      </c>
      <c r="DU279" s="182"/>
      <c r="DV279" s="182"/>
      <c r="DW279" s="182"/>
    </row>
    <row r="280" spans="109:127">
      <c r="DE280" s="159"/>
      <c r="DF280" s="159"/>
      <c r="DG280" s="159">
        <v>4</v>
      </c>
      <c r="DH280" s="159">
        <v>7</v>
      </c>
      <c r="DI280" s="123">
        <f t="shared" si="149"/>
        <v>10</v>
      </c>
      <c r="DJ280" s="36" t="str">
        <f ca="1">OFFSET(gr_header,DG280+DE260,1+DF260)</f>
        <v/>
      </c>
      <c r="DK280" s="36" t="str">
        <f ca="1">OFFSET(gr_header,DH280+DE260,1+DF260)</f>
        <v/>
      </c>
      <c r="DL280" s="123">
        <f ca="1">OFFSET(gr_header,DG280+DE260,2*DH280+DF260)</f>
        <v>0</v>
      </c>
      <c r="DM280" s="123">
        <f ca="1">OFFSET(gr_header,DG280+DE260,2*DH280+1+DF260)</f>
        <v>0</v>
      </c>
      <c r="DO280" s="183">
        <f t="shared" ca="1" si="150"/>
        <v>0</v>
      </c>
      <c r="DP280" s="183">
        <f t="shared" ca="1" si="151"/>
        <v>0</v>
      </c>
      <c r="DQ280" s="183">
        <f t="shared" ca="1" si="152"/>
        <v>0</v>
      </c>
      <c r="DR280" s="183">
        <f t="shared" ca="1" si="153"/>
        <v>0</v>
      </c>
      <c r="DS280" s="182">
        <f t="shared" ca="1" si="147"/>
        <v>0</v>
      </c>
      <c r="DT280" s="182">
        <f t="shared" ca="1" si="148"/>
        <v>0</v>
      </c>
      <c r="DU280" s="182"/>
      <c r="DV280" s="182"/>
      <c r="DW280" s="182"/>
    </row>
    <row r="281" spans="109:127">
      <c r="DE281" s="159"/>
      <c r="DF281" s="159"/>
      <c r="DG281" s="159">
        <v>4</v>
      </c>
      <c r="DH281" s="159">
        <v>8</v>
      </c>
      <c r="DI281" s="123">
        <f t="shared" si="149"/>
        <v>10</v>
      </c>
      <c r="DJ281" s="36" t="str">
        <f ca="1">OFFSET(gr_header,DG281+DE260,1+DF260)</f>
        <v/>
      </c>
      <c r="DK281" s="36" t="str">
        <f ca="1">OFFSET(gr_header,DH281+DE260,1+DF260)</f>
        <v/>
      </c>
      <c r="DL281" s="123">
        <f ca="1">OFFSET(gr_header,DG281+DE260,2*DH281+DF260)</f>
        <v>0</v>
      </c>
      <c r="DM281" s="123">
        <f ca="1">OFFSET(gr_header,DG281+DE260,2*DH281+1+DF260)</f>
        <v>0</v>
      </c>
      <c r="DO281" s="183">
        <f t="shared" ca="1" si="150"/>
        <v>0</v>
      </c>
      <c r="DP281" s="183">
        <f t="shared" ca="1" si="151"/>
        <v>0</v>
      </c>
      <c r="DQ281" s="183">
        <f t="shared" ca="1" si="152"/>
        <v>0</v>
      </c>
      <c r="DR281" s="183">
        <f t="shared" ca="1" si="153"/>
        <v>0</v>
      </c>
      <c r="DS281" s="182">
        <f t="shared" ca="1" si="147"/>
        <v>0</v>
      </c>
      <c r="DT281" s="182">
        <f t="shared" ca="1" si="148"/>
        <v>0</v>
      </c>
      <c r="DU281" s="182"/>
      <c r="DV281" s="182"/>
      <c r="DW281" s="182"/>
    </row>
    <row r="282" spans="109:127">
      <c r="DE282" s="159"/>
      <c r="DF282" s="159"/>
      <c r="DG282" s="159">
        <v>5</v>
      </c>
      <c r="DH282" s="159">
        <v>6</v>
      </c>
      <c r="DI282" s="123">
        <f t="shared" si="149"/>
        <v>10</v>
      </c>
      <c r="DJ282" s="36" t="str">
        <f ca="1">OFFSET(gr_header,DG282+DE260,1+DF260)</f>
        <v/>
      </c>
      <c r="DK282" s="36" t="str">
        <f ca="1">OFFSET(gr_header,DH282+DE260,1+DF260)</f>
        <v/>
      </c>
      <c r="DL282" s="123">
        <f ca="1">OFFSET(gr_header,DG282+DE260,2*DH282+DF260)</f>
        <v>0</v>
      </c>
      <c r="DM282" s="123">
        <f ca="1">OFFSET(gr_header,DG282+DE260,2*DH282+1+DF260)</f>
        <v>0</v>
      </c>
      <c r="DO282" s="183">
        <f t="shared" ca="1" si="150"/>
        <v>0</v>
      </c>
      <c r="DP282" s="183">
        <f t="shared" ca="1" si="151"/>
        <v>0</v>
      </c>
      <c r="DQ282" s="183">
        <f t="shared" ca="1" si="152"/>
        <v>0</v>
      </c>
      <c r="DR282" s="183">
        <f t="shared" ca="1" si="153"/>
        <v>0</v>
      </c>
      <c r="DS282" s="182">
        <f t="shared" ca="1" si="147"/>
        <v>0</v>
      </c>
      <c r="DT282" s="182">
        <f t="shared" ca="1" si="148"/>
        <v>0</v>
      </c>
      <c r="DU282" s="182"/>
      <c r="DV282" s="182"/>
      <c r="DW282" s="182"/>
    </row>
    <row r="283" spans="109:127">
      <c r="DE283" s="159"/>
      <c r="DF283" s="159"/>
      <c r="DG283" s="159">
        <v>5</v>
      </c>
      <c r="DH283" s="159">
        <v>7</v>
      </c>
      <c r="DI283" s="123">
        <f t="shared" si="149"/>
        <v>10</v>
      </c>
      <c r="DJ283" s="36" t="str">
        <f ca="1">OFFSET(gr_header,DG283+DE260,1+DF260)</f>
        <v/>
      </c>
      <c r="DK283" s="36" t="str">
        <f ca="1">OFFSET(gr_header,DH283+DE260,1+DF260)</f>
        <v/>
      </c>
      <c r="DL283" s="123">
        <f ca="1">OFFSET(gr_header,DG283+DE260,2*DH283+DF260)</f>
        <v>0</v>
      </c>
      <c r="DM283" s="123">
        <f ca="1">OFFSET(gr_header,DG283+DE260,2*DH283+1+DF260)</f>
        <v>0</v>
      </c>
      <c r="DO283" s="183">
        <f t="shared" ca="1" si="150"/>
        <v>0</v>
      </c>
      <c r="DP283" s="183">
        <f t="shared" ca="1" si="151"/>
        <v>0</v>
      </c>
      <c r="DQ283" s="183">
        <f t="shared" ca="1" si="152"/>
        <v>0</v>
      </c>
      <c r="DR283" s="183">
        <f t="shared" ca="1" si="153"/>
        <v>0</v>
      </c>
      <c r="DS283" s="182">
        <f t="shared" ca="1" si="147"/>
        <v>0</v>
      </c>
      <c r="DT283" s="182">
        <f t="shared" ca="1" si="148"/>
        <v>0</v>
      </c>
      <c r="DU283" s="182"/>
      <c r="DV283" s="182"/>
      <c r="DW283" s="182"/>
    </row>
    <row r="284" spans="109:127">
      <c r="DE284" s="159"/>
      <c r="DF284" s="159"/>
      <c r="DG284" s="159">
        <v>5</v>
      </c>
      <c r="DH284" s="159">
        <v>8</v>
      </c>
      <c r="DI284" s="123">
        <f t="shared" si="149"/>
        <v>10</v>
      </c>
      <c r="DJ284" s="36" t="str">
        <f ca="1">OFFSET(gr_header,DG284+DE260,1+DF260)</f>
        <v/>
      </c>
      <c r="DK284" s="36" t="str">
        <f ca="1">OFFSET(gr_header,DH284+DE260,1+DF260)</f>
        <v/>
      </c>
      <c r="DL284" s="123">
        <f ca="1">OFFSET(gr_header,DG284+DE260,2*DH284+DF260)</f>
        <v>0</v>
      </c>
      <c r="DM284" s="123">
        <f ca="1">OFFSET(gr_header,DG284+DE260,2*DH284+1+DF260)</f>
        <v>0</v>
      </c>
      <c r="DO284" s="183">
        <f t="shared" ca="1" si="150"/>
        <v>0</v>
      </c>
      <c r="DP284" s="183">
        <f t="shared" ca="1" si="151"/>
        <v>0</v>
      </c>
      <c r="DQ284" s="183">
        <f t="shared" ca="1" si="152"/>
        <v>0</v>
      </c>
      <c r="DR284" s="183">
        <f t="shared" ca="1" si="153"/>
        <v>0</v>
      </c>
      <c r="DS284" s="182">
        <f t="shared" ca="1" si="147"/>
        <v>0</v>
      </c>
      <c r="DT284" s="182">
        <f t="shared" ca="1" si="148"/>
        <v>0</v>
      </c>
      <c r="DU284" s="182"/>
      <c r="DV284" s="182"/>
      <c r="DW284" s="182"/>
    </row>
    <row r="285" spans="109:127">
      <c r="DE285" s="159"/>
      <c r="DF285" s="159"/>
      <c r="DG285" s="159">
        <v>6</v>
      </c>
      <c r="DH285" s="159">
        <v>7</v>
      </c>
      <c r="DI285" s="123">
        <f t="shared" si="149"/>
        <v>10</v>
      </c>
      <c r="DJ285" s="36" t="str">
        <f ca="1">OFFSET(gr_header,DG285+DE260,1+DF260)</f>
        <v/>
      </c>
      <c r="DK285" s="36" t="str">
        <f ca="1">OFFSET(gr_header,DH285+DE260,1+DF260)</f>
        <v/>
      </c>
      <c r="DL285" s="123">
        <f ca="1">OFFSET(gr_header,DG285+DE260,2*DH285+DF260)</f>
        <v>0</v>
      </c>
      <c r="DM285" s="123">
        <f ca="1">OFFSET(gr_header,DG285+DE260,2*DH285+1+DF260)</f>
        <v>0</v>
      </c>
      <c r="DO285" s="183">
        <f t="shared" ca="1" si="150"/>
        <v>0</v>
      </c>
      <c r="DP285" s="183">
        <f t="shared" ca="1" si="151"/>
        <v>0</v>
      </c>
      <c r="DQ285" s="183">
        <f t="shared" ca="1" si="152"/>
        <v>0</v>
      </c>
      <c r="DR285" s="183">
        <f t="shared" ca="1" si="153"/>
        <v>0</v>
      </c>
      <c r="DS285" s="182">
        <f t="shared" ca="1" si="147"/>
        <v>0</v>
      </c>
      <c r="DT285" s="182">
        <f t="shared" ca="1" si="148"/>
        <v>0</v>
      </c>
      <c r="DU285" s="182"/>
      <c r="DV285" s="182"/>
      <c r="DW285" s="182"/>
    </row>
    <row r="286" spans="109:127">
      <c r="DE286" s="159"/>
      <c r="DF286" s="159"/>
      <c r="DG286" s="159">
        <v>6</v>
      </c>
      <c r="DH286" s="159">
        <v>8</v>
      </c>
      <c r="DI286" s="123">
        <f t="shared" si="149"/>
        <v>10</v>
      </c>
      <c r="DJ286" s="36" t="str">
        <f ca="1">OFFSET(gr_header,DG286+DE260,1+DF260)</f>
        <v/>
      </c>
      <c r="DK286" s="36" t="str">
        <f ca="1">OFFSET(gr_header,DH286+DE260,1+DF260)</f>
        <v/>
      </c>
      <c r="DL286" s="123">
        <f ca="1">OFFSET(gr_header,DG286+DE260,2*DH286+DF260)</f>
        <v>0</v>
      </c>
      <c r="DM286" s="123">
        <f ca="1">OFFSET(gr_header,DG286+DE260,2*DH286+1+DF260)</f>
        <v>0</v>
      </c>
      <c r="DO286" s="183">
        <f t="shared" ca="1" si="150"/>
        <v>0</v>
      </c>
      <c r="DP286" s="183">
        <f t="shared" ca="1" si="151"/>
        <v>0</v>
      </c>
      <c r="DQ286" s="183">
        <f t="shared" ca="1" si="152"/>
        <v>0</v>
      </c>
      <c r="DR286" s="183">
        <f t="shared" ca="1" si="153"/>
        <v>0</v>
      </c>
      <c r="DS286" s="182">
        <f t="shared" ca="1" si="147"/>
        <v>0</v>
      </c>
      <c r="DT286" s="182">
        <f t="shared" ca="1" si="148"/>
        <v>0</v>
      </c>
      <c r="DU286" s="182"/>
      <c r="DV286" s="182"/>
      <c r="DW286" s="182"/>
    </row>
    <row r="287" spans="109:127">
      <c r="DE287" s="159"/>
      <c r="DF287" s="159"/>
      <c r="DG287" s="159">
        <v>7</v>
      </c>
      <c r="DH287" s="159">
        <v>8</v>
      </c>
      <c r="DI287" s="123">
        <f t="shared" si="149"/>
        <v>10</v>
      </c>
      <c r="DJ287" s="36" t="str">
        <f ca="1">OFFSET(gr_header,DG287+DE260,1+DF260)</f>
        <v/>
      </c>
      <c r="DK287" s="36" t="str">
        <f ca="1">OFFSET(gr_header,DH287+DE260,1+DF260)</f>
        <v/>
      </c>
      <c r="DL287" s="123">
        <f ca="1">OFFSET(gr_header,DG287+DE260,2*DH287+DF260)</f>
        <v>0</v>
      </c>
      <c r="DM287" s="123">
        <f ca="1">OFFSET(gr_header,DG287+DE287,2*DH287+1+DF287)</f>
        <v>0</v>
      </c>
      <c r="DO287" s="183">
        <f t="shared" ca="1" si="150"/>
        <v>0</v>
      </c>
      <c r="DP287" s="183">
        <f t="shared" ca="1" si="151"/>
        <v>0</v>
      </c>
      <c r="DQ287" s="183">
        <f t="shared" ca="1" si="152"/>
        <v>0</v>
      </c>
      <c r="DR287" s="183">
        <f t="shared" ca="1" si="153"/>
        <v>0</v>
      </c>
      <c r="DS287" s="182">
        <f t="shared" ca="1" si="147"/>
        <v>0</v>
      </c>
      <c r="DT287" s="182">
        <f t="shared" ca="1" si="148"/>
        <v>0</v>
      </c>
      <c r="DU287" s="182"/>
      <c r="DV287" s="182"/>
      <c r="DW287" s="182"/>
    </row>
    <row r="288" spans="109:127">
      <c r="DE288" s="123">
        <f>DE289*shift1</f>
        <v>50</v>
      </c>
      <c r="DF288" s="123">
        <f>DF289*shift2</f>
        <v>0</v>
      </c>
      <c r="DG288" s="123">
        <v>1</v>
      </c>
      <c r="DH288" s="123">
        <v>2</v>
      </c>
      <c r="DI288" s="147">
        <f>DI260+1</f>
        <v>11</v>
      </c>
      <c r="DJ288" s="36" t="str">
        <f ca="1">OFFSET(gr_header,DG288+DE288,1+DF288)</f>
        <v/>
      </c>
      <c r="DK288" s="36" t="str">
        <f ca="1">OFFSET(gr_header,DH288+DE288,1+DF288)</f>
        <v/>
      </c>
      <c r="DL288" s="123">
        <f ca="1">OFFSET(gr_header,DG288+DE288,2*DH288+DF288)</f>
        <v>0</v>
      </c>
      <c r="DM288" s="123">
        <f ca="1">OFFSET(gr_header,DG288+DE288,2*DH288+1+DF288)</f>
        <v>0</v>
      </c>
      <c r="DO288" s="182"/>
      <c r="DP288" s="182"/>
      <c r="DQ288" s="182"/>
      <c r="DR288" s="182"/>
      <c r="DS288" s="182"/>
      <c r="DT288" s="182"/>
    </row>
    <row r="289" spans="109:124">
      <c r="DE289" s="123">
        <f>INT((DI288-1)/2)</f>
        <v>5</v>
      </c>
      <c r="DF289" s="123">
        <f>1-(INT((DI288+1)/2)*2-DI288)</f>
        <v>0</v>
      </c>
      <c r="DG289" s="123">
        <v>1</v>
      </c>
      <c r="DH289" s="123">
        <v>3</v>
      </c>
      <c r="DI289" s="123">
        <f>DI288</f>
        <v>11</v>
      </c>
      <c r="DJ289" s="36" t="str">
        <f ca="1">OFFSET(gr_header,DG289+DE288,1+DF288)</f>
        <v/>
      </c>
      <c r="DK289" s="36" t="str">
        <f ca="1">OFFSET(gr_header,DH289+DE288,1+DF288)</f>
        <v/>
      </c>
      <c r="DL289" s="123">
        <f ca="1">OFFSET(gr_header,DG289+DE288,2*DH289+DF288)</f>
        <v>0</v>
      </c>
      <c r="DM289" s="123">
        <f ca="1">OFFSET(gr_header,DG289+DE288,2*DH289+1+DF288)</f>
        <v>0</v>
      </c>
      <c r="DO289" s="182"/>
      <c r="DP289" s="182"/>
      <c r="DQ289" s="182"/>
      <c r="DR289" s="182"/>
      <c r="DS289" s="182"/>
      <c r="DT289" s="182"/>
    </row>
    <row r="290" spans="109:124">
      <c r="DG290" s="123">
        <v>1</v>
      </c>
      <c r="DH290" s="123">
        <v>4</v>
      </c>
      <c r="DI290" s="123">
        <f t="shared" ref="DI290:DI315" si="154">DI289</f>
        <v>11</v>
      </c>
      <c r="DJ290" s="36" t="str">
        <f ca="1">OFFSET(gr_header,DG290+DE288,1+DF288)</f>
        <v/>
      </c>
      <c r="DK290" s="36" t="str">
        <f ca="1">OFFSET(gr_header,DH290+DE288,1+DF288)</f>
        <v/>
      </c>
      <c r="DL290" s="123">
        <f ca="1">OFFSET(gr_header,DG290+DE288,2*DH290+DF288)</f>
        <v>0</v>
      </c>
      <c r="DM290" s="123">
        <f ca="1">OFFSET(gr_header,DG290+DE288,2*DH290+1+DF288)</f>
        <v>0</v>
      </c>
      <c r="DO290" s="182"/>
      <c r="DP290" s="182"/>
      <c r="DQ290" s="182"/>
      <c r="DR290" s="182"/>
      <c r="DS290" s="182"/>
      <c r="DT290" s="182"/>
    </row>
    <row r="291" spans="109:124">
      <c r="DG291" s="123">
        <v>1</v>
      </c>
      <c r="DH291" s="123">
        <v>5</v>
      </c>
      <c r="DI291" s="123">
        <f t="shared" si="154"/>
        <v>11</v>
      </c>
      <c r="DJ291" s="36" t="str">
        <f ca="1">OFFSET(gr_header,DG291+DE288,1+DF288)</f>
        <v/>
      </c>
      <c r="DK291" s="36" t="str">
        <f ca="1">OFFSET(gr_header,DH291+DE288,1+DF288)</f>
        <v/>
      </c>
      <c r="DL291" s="123">
        <f ca="1">OFFSET(gr_header,DG291+DE288,2*DH291+DF288)</f>
        <v>0</v>
      </c>
      <c r="DM291" s="123">
        <f ca="1">OFFSET(gr_header,DG291+DE288,2*DH291+1+DF288)</f>
        <v>0</v>
      </c>
      <c r="DO291" s="182"/>
      <c r="DP291" s="182"/>
      <c r="DQ291" s="182"/>
      <c r="DR291" s="182"/>
      <c r="DS291" s="182"/>
      <c r="DT291" s="182"/>
    </row>
    <row r="292" spans="109:124">
      <c r="DG292" s="123">
        <v>1</v>
      </c>
      <c r="DH292" s="123">
        <v>6</v>
      </c>
      <c r="DI292" s="123">
        <f t="shared" si="154"/>
        <v>11</v>
      </c>
      <c r="DJ292" s="36" t="str">
        <f ca="1">OFFSET(gr_header,DG292+DE288,1+DF288)</f>
        <v/>
      </c>
      <c r="DK292" s="36" t="str">
        <f ca="1">OFFSET(gr_header,DH292+DE288,1+DF288)</f>
        <v/>
      </c>
      <c r="DL292" s="123">
        <f ca="1">OFFSET(gr_header,DG292+DE288,2*DH292+DF288)</f>
        <v>0</v>
      </c>
      <c r="DM292" s="123">
        <f ca="1">OFFSET(gr_header,DG292+DE288,2*DH292+1+DF288)</f>
        <v>0</v>
      </c>
      <c r="DO292" s="182"/>
      <c r="DP292" s="182"/>
      <c r="DQ292" s="182"/>
      <c r="DR292" s="182"/>
      <c r="DS292" s="182"/>
      <c r="DT292" s="182"/>
    </row>
    <row r="293" spans="109:124">
      <c r="DG293" s="123">
        <v>1</v>
      </c>
      <c r="DH293" s="123">
        <v>7</v>
      </c>
      <c r="DI293" s="123">
        <f t="shared" si="154"/>
        <v>11</v>
      </c>
      <c r="DJ293" s="36" t="str">
        <f ca="1">OFFSET(gr_header,DG293+DE288,1+DF288)</f>
        <v/>
      </c>
      <c r="DK293" s="36" t="str">
        <f ca="1">OFFSET(gr_header,DH293+DE288,1+DF288)</f>
        <v/>
      </c>
      <c r="DL293" s="123">
        <f ca="1">OFFSET(gr_header,DG293+DE288,2*DH293+DF288)</f>
        <v>0</v>
      </c>
      <c r="DM293" s="123">
        <f ca="1">OFFSET(gr_header,DG293+DE288,2*DH293+1+DF288)</f>
        <v>0</v>
      </c>
      <c r="DO293" s="182"/>
      <c r="DP293" s="182"/>
      <c r="DQ293" s="182"/>
      <c r="DR293" s="182"/>
      <c r="DS293" s="182"/>
      <c r="DT293" s="182"/>
    </row>
    <row r="294" spans="109:124">
      <c r="DE294" s="159"/>
      <c r="DF294" s="159"/>
      <c r="DG294" s="159">
        <v>1</v>
      </c>
      <c r="DH294" s="123">
        <v>8</v>
      </c>
      <c r="DI294" s="123">
        <f t="shared" si="154"/>
        <v>11</v>
      </c>
      <c r="DJ294" s="36" t="str">
        <f ca="1">OFFSET(gr_header,DG294+DE288,1+DF288)</f>
        <v/>
      </c>
      <c r="DK294" s="36" t="str">
        <f ca="1">OFFSET(gr_header,DH294+DE288,1+DF288)</f>
        <v/>
      </c>
      <c r="DL294" s="123">
        <f ca="1">OFFSET(gr_header,DG294+DE288,2*DH294+DF288)</f>
        <v>0</v>
      </c>
      <c r="DM294" s="123">
        <f ca="1">OFFSET(gr_header,DG294+DE288,2*DH294+1+DF288)</f>
        <v>0</v>
      </c>
      <c r="DO294" s="182"/>
      <c r="DP294" s="182"/>
      <c r="DQ294" s="182"/>
      <c r="DR294" s="182"/>
      <c r="DS294" s="182"/>
      <c r="DT294" s="182"/>
    </row>
    <row r="295" spans="109:124">
      <c r="DE295" s="159"/>
      <c r="DF295" s="159"/>
      <c r="DG295" s="159">
        <v>2</v>
      </c>
      <c r="DH295" s="159">
        <v>3</v>
      </c>
      <c r="DI295" s="123">
        <f t="shared" si="154"/>
        <v>11</v>
      </c>
      <c r="DJ295" s="36" t="str">
        <f ca="1">OFFSET(gr_header,DG295+DE288,1+DF288)</f>
        <v/>
      </c>
      <c r="DK295" s="36" t="str">
        <f ca="1">OFFSET(gr_header,DH295+DE288,1+DF288)</f>
        <v/>
      </c>
      <c r="DL295" s="123">
        <f ca="1">OFFSET(gr_header,DG295+DE288,2*DH295+DF288)</f>
        <v>0</v>
      </c>
      <c r="DM295" s="123">
        <f ca="1">OFFSET(gr_header,DG295+DE288,2*DH295+1+DF288)</f>
        <v>0</v>
      </c>
      <c r="DO295" s="182"/>
      <c r="DP295" s="182"/>
      <c r="DQ295" s="182"/>
      <c r="DR295" s="182"/>
      <c r="DS295" s="182"/>
      <c r="DT295" s="182"/>
    </row>
    <row r="296" spans="109:124">
      <c r="DE296" s="159"/>
      <c r="DF296" s="159"/>
      <c r="DG296" s="159">
        <v>2</v>
      </c>
      <c r="DH296" s="159">
        <v>4</v>
      </c>
      <c r="DI296" s="123">
        <f t="shared" si="154"/>
        <v>11</v>
      </c>
      <c r="DJ296" s="36" t="str">
        <f ca="1">OFFSET(gr_header,DG296+DE288,1+DF288)</f>
        <v/>
      </c>
      <c r="DK296" s="36" t="str">
        <f ca="1">OFFSET(gr_header,DH296+DE288,1+DF288)</f>
        <v/>
      </c>
      <c r="DL296" s="123">
        <f ca="1">OFFSET(gr_header,DG296+DE288,2*DH296+DF288)</f>
        <v>0</v>
      </c>
      <c r="DM296" s="123">
        <f ca="1">OFFSET(gr_header,DG296+DE288,2*DH296+1+DF288)</f>
        <v>0</v>
      </c>
      <c r="DO296" s="182"/>
      <c r="DP296" s="182"/>
      <c r="DQ296" s="182"/>
      <c r="DR296" s="182"/>
      <c r="DS296" s="182"/>
      <c r="DT296" s="182"/>
    </row>
    <row r="297" spans="109:124">
      <c r="DE297" s="159"/>
      <c r="DF297" s="159"/>
      <c r="DG297" s="159">
        <v>2</v>
      </c>
      <c r="DH297" s="159">
        <v>5</v>
      </c>
      <c r="DI297" s="123">
        <f t="shared" si="154"/>
        <v>11</v>
      </c>
      <c r="DJ297" s="36" t="str">
        <f ca="1">OFFSET(gr_header,DG297+DE288,1+DF288)</f>
        <v/>
      </c>
      <c r="DK297" s="36" t="str">
        <f ca="1">OFFSET(gr_header,DH297+DE288,1+DF288)</f>
        <v/>
      </c>
      <c r="DL297" s="123">
        <f ca="1">OFFSET(gr_header,DG297+DE288,2*DH297+DF288)</f>
        <v>0</v>
      </c>
      <c r="DM297" s="123">
        <f ca="1">OFFSET(gr_header,DG297+DE288,2*DH297+1+DF288)</f>
        <v>0</v>
      </c>
      <c r="DO297" s="182"/>
      <c r="DP297" s="182"/>
      <c r="DQ297" s="182"/>
      <c r="DR297" s="182"/>
      <c r="DS297" s="182"/>
      <c r="DT297" s="182"/>
    </row>
    <row r="298" spans="109:124">
      <c r="DE298" s="159"/>
      <c r="DF298" s="159"/>
      <c r="DG298" s="159">
        <v>2</v>
      </c>
      <c r="DH298" s="159">
        <v>6</v>
      </c>
      <c r="DI298" s="123">
        <f t="shared" si="154"/>
        <v>11</v>
      </c>
      <c r="DJ298" s="36" t="str">
        <f ca="1">OFFSET(gr_header,DG298+DE288,1+DF288)</f>
        <v/>
      </c>
      <c r="DK298" s="36" t="str">
        <f ca="1">OFFSET(gr_header,DH298+DE288,1+DF288)</f>
        <v/>
      </c>
      <c r="DL298" s="123">
        <f ca="1">OFFSET(gr_header,DG298+DE288,2*DH298+DF288)</f>
        <v>0</v>
      </c>
      <c r="DM298" s="123">
        <f ca="1">OFFSET(gr_header,DG298+DE288,2*DH298+1+DF288)</f>
        <v>0</v>
      </c>
      <c r="DO298" s="182"/>
      <c r="DP298" s="182"/>
      <c r="DQ298" s="182"/>
      <c r="DR298" s="182"/>
      <c r="DS298" s="182"/>
      <c r="DT298" s="182"/>
    </row>
    <row r="299" spans="109:124">
      <c r="DE299" s="159"/>
      <c r="DF299" s="159"/>
      <c r="DG299" s="159">
        <v>2</v>
      </c>
      <c r="DH299" s="159">
        <v>7</v>
      </c>
      <c r="DI299" s="123">
        <f t="shared" si="154"/>
        <v>11</v>
      </c>
      <c r="DJ299" s="36" t="str">
        <f ca="1">OFFSET(gr_header,DG299+DE288,1+DF288)</f>
        <v/>
      </c>
      <c r="DK299" s="36" t="str">
        <f ca="1">OFFSET(gr_header,DH299+DE288,1+DF288)</f>
        <v/>
      </c>
      <c r="DL299" s="123">
        <f ca="1">OFFSET(gr_header,DG299+DE288,2*DH299+DF288)</f>
        <v>0</v>
      </c>
      <c r="DM299" s="123">
        <f ca="1">OFFSET(gr_header,DG299+DE288,2*DH299+1+DF288)</f>
        <v>0</v>
      </c>
      <c r="DO299" s="182"/>
      <c r="DP299" s="182"/>
      <c r="DQ299" s="182"/>
      <c r="DR299" s="182"/>
      <c r="DS299" s="182"/>
      <c r="DT299" s="182"/>
    </row>
    <row r="300" spans="109:124">
      <c r="DE300" s="159"/>
      <c r="DF300" s="159"/>
      <c r="DG300" s="159">
        <v>2</v>
      </c>
      <c r="DH300" s="159">
        <v>8</v>
      </c>
      <c r="DI300" s="123">
        <f t="shared" si="154"/>
        <v>11</v>
      </c>
      <c r="DJ300" s="36" t="str">
        <f ca="1">OFFSET(gr_header,DG300+DE288,1+DF288)</f>
        <v/>
      </c>
      <c r="DK300" s="36" t="str">
        <f ca="1">OFFSET(gr_header,DH300+DE288,1+DF288)</f>
        <v/>
      </c>
      <c r="DL300" s="123">
        <f ca="1">OFFSET(gr_header,DG300+DE288,2*DH300+DF288)</f>
        <v>0</v>
      </c>
      <c r="DM300" s="123">
        <f ca="1">OFFSET(gr_header,DG300+DE288,2*DH300+1+DF288)</f>
        <v>0</v>
      </c>
      <c r="DO300" s="182"/>
      <c r="DP300" s="182"/>
      <c r="DQ300" s="182"/>
      <c r="DR300" s="182"/>
      <c r="DS300" s="182"/>
      <c r="DT300" s="182"/>
    </row>
    <row r="301" spans="109:124">
      <c r="DE301" s="159"/>
      <c r="DF301" s="159"/>
      <c r="DG301" s="159">
        <v>3</v>
      </c>
      <c r="DH301" s="159">
        <v>4</v>
      </c>
      <c r="DI301" s="123">
        <f t="shared" si="154"/>
        <v>11</v>
      </c>
      <c r="DJ301" s="36" t="str">
        <f ca="1">OFFSET(gr_header,DG301+DE288,1+DF288)</f>
        <v/>
      </c>
      <c r="DK301" s="36" t="str">
        <f ca="1">OFFSET(gr_header,DH301+DE288,1+DF288)</f>
        <v/>
      </c>
      <c r="DL301" s="123">
        <f ca="1">OFFSET(gr_header,DG301+DE288,2*DH301+DF288)</f>
        <v>0</v>
      </c>
      <c r="DM301" s="123">
        <f ca="1">OFFSET(gr_header,DG301+DE288,2*DH301+1+DF288)</f>
        <v>0</v>
      </c>
      <c r="DO301" s="182"/>
      <c r="DP301" s="182"/>
      <c r="DQ301" s="182"/>
      <c r="DR301" s="182"/>
      <c r="DS301" s="182"/>
      <c r="DT301" s="182"/>
    </row>
    <row r="302" spans="109:124">
      <c r="DE302" s="159"/>
      <c r="DF302" s="159"/>
      <c r="DG302" s="159">
        <v>3</v>
      </c>
      <c r="DH302" s="159">
        <v>5</v>
      </c>
      <c r="DI302" s="123">
        <f t="shared" si="154"/>
        <v>11</v>
      </c>
      <c r="DJ302" s="36" t="str">
        <f ca="1">OFFSET(gr_header,DG302+DE288,1+DF288)</f>
        <v/>
      </c>
      <c r="DK302" s="36" t="str">
        <f ca="1">OFFSET(gr_header,DH302+DE288,1+DF288)</f>
        <v/>
      </c>
      <c r="DL302" s="123">
        <f ca="1">OFFSET(gr_header,DG302+DE288,2*DH302+DF288)</f>
        <v>0</v>
      </c>
      <c r="DM302" s="123">
        <f ca="1">OFFSET(gr_header,DG302+DE288,2*DH302+1+DF288)</f>
        <v>0</v>
      </c>
      <c r="DO302" s="182"/>
      <c r="DP302" s="182"/>
      <c r="DQ302" s="182"/>
      <c r="DR302" s="182"/>
      <c r="DS302" s="182"/>
      <c r="DT302" s="182"/>
    </row>
    <row r="303" spans="109:124">
      <c r="DE303" s="159"/>
      <c r="DF303" s="159"/>
      <c r="DG303" s="159">
        <v>3</v>
      </c>
      <c r="DH303" s="159">
        <v>6</v>
      </c>
      <c r="DI303" s="123">
        <f t="shared" si="154"/>
        <v>11</v>
      </c>
      <c r="DJ303" s="36" t="str">
        <f ca="1">OFFSET(gr_header,DG303+DE288,1+DF288)</f>
        <v/>
      </c>
      <c r="DK303" s="36" t="str">
        <f ca="1">OFFSET(gr_header,DH303+DE288,1+DF288)</f>
        <v/>
      </c>
      <c r="DL303" s="123">
        <f ca="1">OFFSET(gr_header,DG303+DE288,2*DH303+DF288)</f>
        <v>0</v>
      </c>
      <c r="DM303" s="123">
        <f ca="1">OFFSET(gr_header,DG303+DE288,2*DH303+1+DF288)</f>
        <v>0</v>
      </c>
      <c r="DO303" s="182"/>
      <c r="DP303" s="182"/>
      <c r="DQ303" s="182"/>
      <c r="DR303" s="182"/>
      <c r="DS303" s="182"/>
      <c r="DT303" s="182"/>
    </row>
    <row r="304" spans="109:124">
      <c r="DE304" s="159"/>
      <c r="DF304" s="159"/>
      <c r="DG304" s="159">
        <v>3</v>
      </c>
      <c r="DH304" s="159">
        <v>7</v>
      </c>
      <c r="DI304" s="123">
        <f t="shared" si="154"/>
        <v>11</v>
      </c>
      <c r="DJ304" s="36" t="str">
        <f ca="1">OFFSET(gr_header,DG304+DE288,1+DF288)</f>
        <v/>
      </c>
      <c r="DK304" s="36" t="str">
        <f ca="1">OFFSET(gr_header,DH304+DE288,1+DF288)</f>
        <v/>
      </c>
      <c r="DL304" s="123">
        <f ca="1">OFFSET(gr_header,DG304+DE288,2*DH304+DF288)</f>
        <v>0</v>
      </c>
      <c r="DM304" s="123">
        <f ca="1">OFFSET(gr_header,DG304+DE288,2*DH304+1+DF288)</f>
        <v>0</v>
      </c>
      <c r="DO304" s="182"/>
      <c r="DP304" s="182"/>
      <c r="DQ304" s="182"/>
      <c r="DR304" s="182"/>
      <c r="DS304" s="182"/>
      <c r="DT304" s="182"/>
    </row>
    <row r="305" spans="109:124">
      <c r="DE305" s="159"/>
      <c r="DF305" s="159"/>
      <c r="DG305" s="159">
        <v>3</v>
      </c>
      <c r="DH305" s="159">
        <v>8</v>
      </c>
      <c r="DI305" s="123">
        <f t="shared" si="154"/>
        <v>11</v>
      </c>
      <c r="DJ305" s="36" t="str">
        <f ca="1">OFFSET(gr_header,DG305+DE288,1+DF288)</f>
        <v/>
      </c>
      <c r="DK305" s="36" t="str">
        <f ca="1">OFFSET(gr_header,DH305+DE288,1+DF288)</f>
        <v/>
      </c>
      <c r="DL305" s="123">
        <f ca="1">OFFSET(gr_header,DG305+DE288,2*DH305+DF288)</f>
        <v>0</v>
      </c>
      <c r="DM305" s="123">
        <f ca="1">OFFSET(gr_header,DG305+DE288,2*DH305+1+DF288)</f>
        <v>0</v>
      </c>
      <c r="DO305" s="182"/>
      <c r="DP305" s="182"/>
      <c r="DQ305" s="182"/>
      <c r="DR305" s="182"/>
      <c r="DS305" s="182"/>
      <c r="DT305" s="182"/>
    </row>
    <row r="306" spans="109:124">
      <c r="DE306" s="159"/>
      <c r="DF306" s="159"/>
      <c r="DG306" s="159">
        <v>4</v>
      </c>
      <c r="DH306" s="159">
        <v>5</v>
      </c>
      <c r="DI306" s="123">
        <f t="shared" si="154"/>
        <v>11</v>
      </c>
      <c r="DJ306" s="36" t="str">
        <f ca="1">OFFSET(gr_header,DG306+DE288,1+DF288)</f>
        <v/>
      </c>
      <c r="DK306" s="36" t="str">
        <f ca="1">OFFSET(gr_header,DH306+DE288,1+DF288)</f>
        <v/>
      </c>
      <c r="DL306" s="123">
        <f ca="1">OFFSET(gr_header,DG306+DE288,2*DH306+DF288)</f>
        <v>0</v>
      </c>
      <c r="DM306" s="123">
        <f ca="1">OFFSET(gr_header,DG306+DE288,2*DH306+1+DF288)</f>
        <v>0</v>
      </c>
      <c r="DO306" s="182"/>
      <c r="DP306" s="182"/>
      <c r="DQ306" s="182"/>
      <c r="DR306" s="182"/>
      <c r="DS306" s="182"/>
      <c r="DT306" s="182"/>
    </row>
    <row r="307" spans="109:124">
      <c r="DE307" s="159"/>
      <c r="DF307" s="159"/>
      <c r="DG307" s="159">
        <v>4</v>
      </c>
      <c r="DH307" s="159">
        <v>6</v>
      </c>
      <c r="DI307" s="123">
        <f t="shared" si="154"/>
        <v>11</v>
      </c>
      <c r="DJ307" s="36" t="str">
        <f ca="1">OFFSET(gr_header,DG307+DE288,1+DF288)</f>
        <v/>
      </c>
      <c r="DK307" s="36" t="str">
        <f ca="1">OFFSET(gr_header,DH307+DE288,1+DF288)</f>
        <v/>
      </c>
      <c r="DL307" s="123">
        <f ca="1">OFFSET(gr_header,DG307+DE288,2*DH307+DF288)</f>
        <v>0</v>
      </c>
      <c r="DM307" s="123">
        <f ca="1">OFFSET(gr_header,DG307+DE288,2*DH307+1+DF288)</f>
        <v>0</v>
      </c>
      <c r="DO307" s="182"/>
      <c r="DP307" s="182"/>
      <c r="DQ307" s="182"/>
      <c r="DR307" s="182"/>
      <c r="DS307" s="182"/>
      <c r="DT307" s="182"/>
    </row>
    <row r="308" spans="109:124">
      <c r="DE308" s="159"/>
      <c r="DF308" s="159"/>
      <c r="DG308" s="159">
        <v>4</v>
      </c>
      <c r="DH308" s="159">
        <v>7</v>
      </c>
      <c r="DI308" s="123">
        <f t="shared" si="154"/>
        <v>11</v>
      </c>
      <c r="DJ308" s="36" t="str">
        <f ca="1">OFFSET(gr_header,DG308+DE288,1+DF288)</f>
        <v/>
      </c>
      <c r="DK308" s="36" t="str">
        <f ca="1">OFFSET(gr_header,DH308+DE288,1+DF288)</f>
        <v/>
      </c>
      <c r="DL308" s="123">
        <f ca="1">OFFSET(gr_header,DG308+DE288,2*DH308+DF288)</f>
        <v>0</v>
      </c>
      <c r="DM308" s="123">
        <f ca="1">OFFSET(gr_header,DG308+DE288,2*DH308+1+DF288)</f>
        <v>0</v>
      </c>
      <c r="DO308" s="182"/>
      <c r="DP308" s="182"/>
      <c r="DQ308" s="182"/>
      <c r="DR308" s="182"/>
      <c r="DS308" s="182"/>
      <c r="DT308" s="182"/>
    </row>
    <row r="309" spans="109:124">
      <c r="DE309" s="159"/>
      <c r="DF309" s="159"/>
      <c r="DG309" s="159">
        <v>4</v>
      </c>
      <c r="DH309" s="159">
        <v>8</v>
      </c>
      <c r="DI309" s="123">
        <f t="shared" si="154"/>
        <v>11</v>
      </c>
      <c r="DJ309" s="36" t="str">
        <f ca="1">OFFSET(gr_header,DG309+DE288,1+DF288)</f>
        <v/>
      </c>
      <c r="DK309" s="36" t="str">
        <f ca="1">OFFSET(gr_header,DH309+DE288,1+DF288)</f>
        <v/>
      </c>
      <c r="DL309" s="123">
        <f ca="1">OFFSET(gr_header,DG309+DE288,2*DH309+DF288)</f>
        <v>0</v>
      </c>
      <c r="DM309" s="123">
        <f ca="1">OFFSET(gr_header,DG309+DE288,2*DH309+1+DF288)</f>
        <v>0</v>
      </c>
      <c r="DO309" s="182"/>
      <c r="DP309" s="182"/>
      <c r="DQ309" s="182"/>
      <c r="DR309" s="182"/>
      <c r="DS309" s="182"/>
      <c r="DT309" s="182"/>
    </row>
    <row r="310" spans="109:124">
      <c r="DE310" s="159"/>
      <c r="DF310" s="159"/>
      <c r="DG310" s="159">
        <v>5</v>
      </c>
      <c r="DH310" s="159">
        <v>6</v>
      </c>
      <c r="DI310" s="123">
        <f t="shared" si="154"/>
        <v>11</v>
      </c>
      <c r="DJ310" s="36" t="str">
        <f ca="1">OFFSET(gr_header,DG310+DE288,1+DF288)</f>
        <v/>
      </c>
      <c r="DK310" s="36" t="str">
        <f ca="1">OFFSET(gr_header,DH310+DE288,1+DF288)</f>
        <v/>
      </c>
      <c r="DL310" s="123">
        <f ca="1">OFFSET(gr_header,DG310+DE288,2*DH310+DF288)</f>
        <v>0</v>
      </c>
      <c r="DM310" s="123">
        <f ca="1">OFFSET(gr_header,DG310+DE288,2*DH310+1+DF288)</f>
        <v>0</v>
      </c>
      <c r="DO310" s="182"/>
      <c r="DP310" s="182"/>
      <c r="DQ310" s="182"/>
      <c r="DR310" s="182"/>
      <c r="DS310" s="182"/>
      <c r="DT310" s="182"/>
    </row>
    <row r="311" spans="109:124">
      <c r="DE311" s="159"/>
      <c r="DF311" s="159"/>
      <c r="DG311" s="159">
        <v>5</v>
      </c>
      <c r="DH311" s="159">
        <v>7</v>
      </c>
      <c r="DI311" s="123">
        <f t="shared" si="154"/>
        <v>11</v>
      </c>
      <c r="DJ311" s="36" t="str">
        <f ca="1">OFFSET(gr_header,DG311+DE288,1+DF288)</f>
        <v/>
      </c>
      <c r="DK311" s="36" t="str">
        <f ca="1">OFFSET(gr_header,DH311+DE288,1+DF288)</f>
        <v/>
      </c>
      <c r="DL311" s="123">
        <f ca="1">OFFSET(gr_header,DG311+DE288,2*DH311+DF288)</f>
        <v>0</v>
      </c>
      <c r="DM311" s="123">
        <f ca="1">OFFSET(gr_header,DG311+DE288,2*DH311+1+DF288)</f>
        <v>0</v>
      </c>
      <c r="DO311" s="182"/>
      <c r="DP311" s="182"/>
      <c r="DQ311" s="182"/>
      <c r="DR311" s="182"/>
      <c r="DS311" s="182"/>
      <c r="DT311" s="182"/>
    </row>
    <row r="312" spans="109:124">
      <c r="DE312" s="159"/>
      <c r="DF312" s="159"/>
      <c r="DG312" s="159">
        <v>5</v>
      </c>
      <c r="DH312" s="159">
        <v>8</v>
      </c>
      <c r="DI312" s="123">
        <f t="shared" si="154"/>
        <v>11</v>
      </c>
      <c r="DJ312" s="36" t="str">
        <f ca="1">OFFSET(gr_header,DG312+DE288,1+DF288)</f>
        <v/>
      </c>
      <c r="DK312" s="36" t="str">
        <f ca="1">OFFSET(gr_header,DH312+DE288,1+DF288)</f>
        <v/>
      </c>
      <c r="DL312" s="123">
        <f ca="1">OFFSET(gr_header,DG312+DE288,2*DH312+DF288)</f>
        <v>0</v>
      </c>
      <c r="DM312" s="123">
        <f ca="1">OFFSET(gr_header,DG312+DE288,2*DH312+1+DF288)</f>
        <v>0</v>
      </c>
      <c r="DO312" s="182"/>
      <c r="DP312" s="182"/>
      <c r="DQ312" s="182"/>
      <c r="DR312" s="182"/>
      <c r="DS312" s="182"/>
      <c r="DT312" s="182"/>
    </row>
    <row r="313" spans="109:124">
      <c r="DE313" s="159"/>
      <c r="DF313" s="159"/>
      <c r="DG313" s="159">
        <v>6</v>
      </c>
      <c r="DH313" s="159">
        <v>7</v>
      </c>
      <c r="DI313" s="123">
        <f t="shared" si="154"/>
        <v>11</v>
      </c>
      <c r="DJ313" s="36" t="str">
        <f ca="1">OFFSET(gr_header,DG313+DE288,1+DF288)</f>
        <v/>
      </c>
      <c r="DK313" s="36" t="str">
        <f ca="1">OFFSET(gr_header,DH313+DE288,1+DF288)</f>
        <v/>
      </c>
      <c r="DL313" s="123">
        <f ca="1">OFFSET(gr_header,DG313+DE288,2*DH313+DF288)</f>
        <v>0</v>
      </c>
      <c r="DM313" s="123">
        <f ca="1">OFFSET(gr_header,DG313+DE288,2*DH313+1+DF288)</f>
        <v>0</v>
      </c>
      <c r="DO313" s="182"/>
      <c r="DP313" s="182"/>
      <c r="DQ313" s="182"/>
      <c r="DR313" s="182"/>
      <c r="DS313" s="182"/>
      <c r="DT313" s="182"/>
    </row>
    <row r="314" spans="109:124">
      <c r="DE314" s="159"/>
      <c r="DF314" s="159"/>
      <c r="DG314" s="159">
        <v>6</v>
      </c>
      <c r="DH314" s="159">
        <v>8</v>
      </c>
      <c r="DI314" s="123">
        <f t="shared" si="154"/>
        <v>11</v>
      </c>
      <c r="DJ314" s="36" t="str">
        <f ca="1">OFFSET(gr_header,DG314+DE288,1+DF288)</f>
        <v/>
      </c>
      <c r="DK314" s="36" t="str">
        <f ca="1">OFFSET(gr_header,DH314+DE288,1+DF288)</f>
        <v/>
      </c>
      <c r="DL314" s="123">
        <f ca="1">OFFSET(gr_header,DG314+DE288,2*DH314+DF288)</f>
        <v>0</v>
      </c>
      <c r="DM314" s="123">
        <f ca="1">OFFSET(gr_header,DG314+DE288,2*DH314+1+DF288)</f>
        <v>0</v>
      </c>
      <c r="DO314" s="182"/>
      <c r="DP314" s="182"/>
      <c r="DQ314" s="182"/>
      <c r="DR314" s="182"/>
      <c r="DS314" s="182"/>
      <c r="DT314" s="182"/>
    </row>
    <row r="315" spans="109:124">
      <c r="DE315" s="159"/>
      <c r="DF315" s="159"/>
      <c r="DG315" s="159">
        <v>7</v>
      </c>
      <c r="DH315" s="159">
        <v>8</v>
      </c>
      <c r="DI315" s="123">
        <f t="shared" si="154"/>
        <v>11</v>
      </c>
      <c r="DJ315" s="36" t="str">
        <f ca="1">OFFSET(gr_header,DG315+DE288,1+DF288)</f>
        <v/>
      </c>
      <c r="DK315" s="36" t="str">
        <f ca="1">OFFSET(gr_header,DH315+DE288,1+DF288)</f>
        <v/>
      </c>
      <c r="DL315" s="123">
        <f ca="1">OFFSET(gr_header,DG315+DE288,2*DH315+DF288)</f>
        <v>0</v>
      </c>
      <c r="DM315" s="123">
        <f ca="1">OFFSET(gr_header,DG315+DE315,2*DH315+1+DF315)</f>
        <v>0</v>
      </c>
      <c r="DO315" s="182"/>
      <c r="DP315" s="182"/>
      <c r="DQ315" s="182"/>
      <c r="DR315" s="182"/>
      <c r="DS315" s="182"/>
      <c r="DT315" s="182"/>
    </row>
    <row r="316" spans="109:124">
      <c r="DE316" s="123">
        <f>DE317*shift1</f>
        <v>50</v>
      </c>
      <c r="DF316" s="123">
        <f>DF317*shift2</f>
        <v>24</v>
      </c>
      <c r="DG316" s="123">
        <v>1</v>
      </c>
      <c r="DH316" s="123">
        <v>2</v>
      </c>
      <c r="DI316" s="147">
        <f>DI288+1</f>
        <v>12</v>
      </c>
      <c r="DJ316" s="36" t="str">
        <f ca="1">OFFSET(gr_header,DG316+DE316,1+DF316)</f>
        <v/>
      </c>
      <c r="DK316" s="36" t="str">
        <f ca="1">OFFSET(gr_header,DH316+DE316,1+DF316)</f>
        <v/>
      </c>
      <c r="DL316" s="123">
        <f ca="1">OFFSET(gr_header,DG316+DE316,2*DH316+DF316)</f>
        <v>0</v>
      </c>
      <c r="DM316" s="123">
        <f ca="1">OFFSET(gr_header,DG316+DE316,2*DH316+1+DF316)</f>
        <v>0</v>
      </c>
      <c r="DO316" s="182"/>
      <c r="DP316" s="182"/>
      <c r="DQ316" s="182"/>
      <c r="DR316" s="182"/>
      <c r="DS316" s="182"/>
      <c r="DT316" s="182"/>
    </row>
    <row r="317" spans="109:124">
      <c r="DE317" s="123">
        <f>INT((DI316-1)/2)</f>
        <v>5</v>
      </c>
      <c r="DF317" s="123">
        <f>1-(INT((DI316+1)/2)*2-DI316)</f>
        <v>1</v>
      </c>
      <c r="DG317" s="123">
        <v>1</v>
      </c>
      <c r="DH317" s="123">
        <v>3</v>
      </c>
      <c r="DI317" s="123">
        <f>DI316</f>
        <v>12</v>
      </c>
      <c r="DJ317" s="36" t="str">
        <f ca="1">OFFSET(gr_header,DG317+DE316,1+DF316)</f>
        <v/>
      </c>
      <c r="DK317" s="36" t="str">
        <f ca="1">OFFSET(gr_header,DH317+DE316,1+DF316)</f>
        <v/>
      </c>
      <c r="DL317" s="123">
        <f ca="1">OFFSET(gr_header,DG317+DE316,2*DH317+DF316)</f>
        <v>0</v>
      </c>
      <c r="DM317" s="123">
        <f ca="1">OFFSET(gr_header,DG317+DE316,2*DH317+1+DF316)</f>
        <v>0</v>
      </c>
      <c r="DO317" s="182"/>
      <c r="DP317" s="182"/>
      <c r="DQ317" s="182"/>
      <c r="DR317" s="182"/>
      <c r="DS317" s="182"/>
      <c r="DT317" s="182"/>
    </row>
    <row r="318" spans="109:124">
      <c r="DG318" s="123">
        <v>1</v>
      </c>
      <c r="DH318" s="123">
        <v>4</v>
      </c>
      <c r="DI318" s="123">
        <f t="shared" ref="DI318:DI343" si="155">DI317</f>
        <v>12</v>
      </c>
      <c r="DJ318" s="36" t="str">
        <f ca="1">OFFSET(gr_header,DG318+DE316,1+DF316)</f>
        <v/>
      </c>
      <c r="DK318" s="36" t="str">
        <f ca="1">OFFSET(gr_header,DH318+DE316,1+DF316)</f>
        <v/>
      </c>
      <c r="DL318" s="123">
        <f ca="1">OFFSET(gr_header,DG318+DE316,2*DH318+DF316)</f>
        <v>0</v>
      </c>
      <c r="DM318" s="123">
        <f ca="1">OFFSET(gr_header,DG318+DE316,2*DH318+1+DF316)</f>
        <v>0</v>
      </c>
      <c r="DO318" s="182"/>
      <c r="DP318" s="182"/>
      <c r="DQ318" s="182"/>
      <c r="DR318" s="182"/>
      <c r="DS318" s="182"/>
      <c r="DT318" s="182"/>
    </row>
    <row r="319" spans="109:124">
      <c r="DG319" s="123">
        <v>1</v>
      </c>
      <c r="DH319" s="123">
        <v>5</v>
      </c>
      <c r="DI319" s="123">
        <f t="shared" si="155"/>
        <v>12</v>
      </c>
      <c r="DJ319" s="36" t="str">
        <f ca="1">OFFSET(gr_header,DG319+DE316,1+DF316)</f>
        <v/>
      </c>
      <c r="DK319" s="36" t="str">
        <f ca="1">OFFSET(gr_header,DH319+DE316,1+DF316)</f>
        <v/>
      </c>
      <c r="DL319" s="123">
        <f ca="1">OFFSET(gr_header,DG319+DE316,2*DH319+DF316)</f>
        <v>0</v>
      </c>
      <c r="DM319" s="123">
        <f ca="1">OFFSET(gr_header,DG319+DE316,2*DH319+1+DF316)</f>
        <v>0</v>
      </c>
      <c r="DO319" s="182"/>
      <c r="DP319" s="182"/>
      <c r="DQ319" s="182"/>
      <c r="DR319" s="182"/>
      <c r="DS319" s="182"/>
      <c r="DT319" s="182"/>
    </row>
    <row r="320" spans="109:124">
      <c r="DG320" s="123">
        <v>1</v>
      </c>
      <c r="DH320" s="123">
        <v>6</v>
      </c>
      <c r="DI320" s="123">
        <f t="shared" si="155"/>
        <v>12</v>
      </c>
      <c r="DJ320" s="36" t="str">
        <f ca="1">OFFSET(gr_header,DG320+DE316,1+DF316)</f>
        <v/>
      </c>
      <c r="DK320" s="36" t="str">
        <f ca="1">OFFSET(gr_header,DH320+DE316,1+DF316)</f>
        <v/>
      </c>
      <c r="DL320" s="123">
        <f ca="1">OFFSET(gr_header,DG320+DE316,2*DH320+DF316)</f>
        <v>0</v>
      </c>
      <c r="DM320" s="123">
        <f ca="1">OFFSET(gr_header,DG320+DE316,2*DH320+1+DF316)</f>
        <v>0</v>
      </c>
      <c r="DO320" s="182"/>
      <c r="DP320" s="182"/>
      <c r="DQ320" s="182"/>
      <c r="DR320" s="182"/>
      <c r="DS320" s="182"/>
      <c r="DT320" s="182"/>
    </row>
    <row r="321" spans="109:124">
      <c r="DG321" s="123">
        <v>1</v>
      </c>
      <c r="DH321" s="123">
        <v>7</v>
      </c>
      <c r="DI321" s="123">
        <f t="shared" si="155"/>
        <v>12</v>
      </c>
      <c r="DJ321" s="36" t="str">
        <f ca="1">OFFSET(gr_header,DG321+DE316,1+DF316)</f>
        <v/>
      </c>
      <c r="DK321" s="36" t="str">
        <f ca="1">OFFSET(gr_header,DH321+DE316,1+DF316)</f>
        <v/>
      </c>
      <c r="DL321" s="123">
        <f ca="1">OFFSET(gr_header,DG321+DE316,2*DH321+DF316)</f>
        <v>0</v>
      </c>
      <c r="DM321" s="123">
        <f ca="1">OFFSET(gr_header,DG321+DE316,2*DH321+1+DF316)</f>
        <v>0</v>
      </c>
      <c r="DO321" s="182"/>
      <c r="DP321" s="182"/>
      <c r="DQ321" s="182"/>
      <c r="DR321" s="182"/>
      <c r="DS321" s="182"/>
      <c r="DT321" s="182"/>
    </row>
    <row r="322" spans="109:124">
      <c r="DE322" s="159"/>
      <c r="DF322" s="159"/>
      <c r="DG322" s="159">
        <v>1</v>
      </c>
      <c r="DH322" s="123">
        <v>8</v>
      </c>
      <c r="DI322" s="123">
        <f t="shared" si="155"/>
        <v>12</v>
      </c>
      <c r="DJ322" s="36" t="str">
        <f ca="1">OFFSET(gr_header,DG322+DE316,1+DF316)</f>
        <v/>
      </c>
      <c r="DK322" s="36" t="str">
        <f ca="1">OFFSET(gr_header,DH322+DE316,1+DF316)</f>
        <v/>
      </c>
      <c r="DL322" s="123">
        <f ca="1">OFFSET(gr_header,DG322+DE316,2*DH322+DF316)</f>
        <v>0</v>
      </c>
      <c r="DM322" s="123">
        <f ca="1">OFFSET(gr_header,DG322+DE316,2*DH322+1+DF316)</f>
        <v>0</v>
      </c>
      <c r="DO322" s="182"/>
      <c r="DP322" s="182"/>
      <c r="DQ322" s="182"/>
      <c r="DR322" s="182"/>
      <c r="DS322" s="182"/>
      <c r="DT322" s="182"/>
    </row>
    <row r="323" spans="109:124">
      <c r="DE323" s="159"/>
      <c r="DF323" s="159"/>
      <c r="DG323" s="159">
        <v>2</v>
      </c>
      <c r="DH323" s="159">
        <v>3</v>
      </c>
      <c r="DI323" s="123">
        <f t="shared" si="155"/>
        <v>12</v>
      </c>
      <c r="DJ323" s="36" t="str">
        <f ca="1">OFFSET(gr_header,DG323+DE316,1+DF316)</f>
        <v/>
      </c>
      <c r="DK323" s="36" t="str">
        <f ca="1">OFFSET(gr_header,DH323+DE316,1+DF316)</f>
        <v/>
      </c>
      <c r="DL323" s="123">
        <f ca="1">OFFSET(gr_header,DG323+DE316,2*DH323+DF316)</f>
        <v>0</v>
      </c>
      <c r="DM323" s="123">
        <f ca="1">OFFSET(gr_header,DG323+DE316,2*DH323+1+DF316)</f>
        <v>0</v>
      </c>
      <c r="DO323" s="182"/>
      <c r="DP323" s="182"/>
      <c r="DQ323" s="182"/>
      <c r="DR323" s="182"/>
      <c r="DS323" s="182"/>
      <c r="DT323" s="182"/>
    </row>
    <row r="324" spans="109:124">
      <c r="DE324" s="159"/>
      <c r="DF324" s="159"/>
      <c r="DG324" s="159">
        <v>2</v>
      </c>
      <c r="DH324" s="159">
        <v>4</v>
      </c>
      <c r="DI324" s="123">
        <f t="shared" si="155"/>
        <v>12</v>
      </c>
      <c r="DJ324" s="36" t="str">
        <f ca="1">OFFSET(gr_header,DG324+DE316,1+DF316)</f>
        <v/>
      </c>
      <c r="DK324" s="36" t="str">
        <f ca="1">OFFSET(gr_header,DH324+DE316,1+DF316)</f>
        <v/>
      </c>
      <c r="DL324" s="123">
        <f ca="1">OFFSET(gr_header,DG324+DE316,2*DH324+DF316)</f>
        <v>0</v>
      </c>
      <c r="DM324" s="123">
        <f ca="1">OFFSET(gr_header,DG324+DE316,2*DH324+1+DF316)</f>
        <v>0</v>
      </c>
      <c r="DO324" s="182"/>
      <c r="DP324" s="182"/>
      <c r="DQ324" s="182"/>
      <c r="DR324" s="182"/>
      <c r="DS324" s="182"/>
      <c r="DT324" s="182"/>
    </row>
    <row r="325" spans="109:124">
      <c r="DE325" s="159"/>
      <c r="DF325" s="159"/>
      <c r="DG325" s="159">
        <v>2</v>
      </c>
      <c r="DH325" s="159">
        <v>5</v>
      </c>
      <c r="DI325" s="123">
        <f t="shared" si="155"/>
        <v>12</v>
      </c>
      <c r="DJ325" s="36" t="str">
        <f ca="1">OFFSET(gr_header,DG325+DE316,1+DF316)</f>
        <v/>
      </c>
      <c r="DK325" s="36" t="str">
        <f ca="1">OFFSET(gr_header,DH325+DE316,1+DF316)</f>
        <v/>
      </c>
      <c r="DL325" s="123">
        <f ca="1">OFFSET(gr_header,DG325+DE316,2*DH325+DF316)</f>
        <v>0</v>
      </c>
      <c r="DM325" s="123">
        <f ca="1">OFFSET(gr_header,DG325+DE316,2*DH325+1+DF316)</f>
        <v>0</v>
      </c>
      <c r="DO325" s="182"/>
      <c r="DP325" s="182"/>
      <c r="DQ325" s="182"/>
      <c r="DR325" s="182"/>
      <c r="DS325" s="182"/>
      <c r="DT325" s="182"/>
    </row>
    <row r="326" spans="109:124">
      <c r="DE326" s="159"/>
      <c r="DF326" s="159"/>
      <c r="DG326" s="159">
        <v>2</v>
      </c>
      <c r="DH326" s="159">
        <v>6</v>
      </c>
      <c r="DI326" s="123">
        <f t="shared" si="155"/>
        <v>12</v>
      </c>
      <c r="DJ326" s="36" t="str">
        <f ca="1">OFFSET(gr_header,DG326+DE316,1+DF316)</f>
        <v/>
      </c>
      <c r="DK326" s="36" t="str">
        <f ca="1">OFFSET(gr_header,DH326+DE316,1+DF316)</f>
        <v/>
      </c>
      <c r="DL326" s="123">
        <f ca="1">OFFSET(gr_header,DG326+DE316,2*DH326+DF316)</f>
        <v>0</v>
      </c>
      <c r="DM326" s="123">
        <f ca="1">OFFSET(gr_header,DG326+DE316,2*DH326+1+DF316)</f>
        <v>0</v>
      </c>
      <c r="DO326" s="182"/>
      <c r="DP326" s="182"/>
      <c r="DQ326" s="182"/>
      <c r="DR326" s="182"/>
      <c r="DS326" s="182"/>
      <c r="DT326" s="182"/>
    </row>
    <row r="327" spans="109:124">
      <c r="DE327" s="159"/>
      <c r="DF327" s="159"/>
      <c r="DG327" s="159">
        <v>2</v>
      </c>
      <c r="DH327" s="159">
        <v>7</v>
      </c>
      <c r="DI327" s="123">
        <f t="shared" si="155"/>
        <v>12</v>
      </c>
      <c r="DJ327" s="36" t="str">
        <f ca="1">OFFSET(gr_header,DG327+DE316,1+DF316)</f>
        <v/>
      </c>
      <c r="DK327" s="36" t="str">
        <f ca="1">OFFSET(gr_header,DH327+DE316,1+DF316)</f>
        <v/>
      </c>
      <c r="DL327" s="123">
        <f ca="1">OFFSET(gr_header,DG327+DE316,2*DH327+DF316)</f>
        <v>0</v>
      </c>
      <c r="DM327" s="123">
        <f ca="1">OFFSET(gr_header,DG327+DE316,2*DH327+1+DF316)</f>
        <v>0</v>
      </c>
      <c r="DO327" s="182"/>
      <c r="DP327" s="182"/>
      <c r="DQ327" s="182"/>
      <c r="DR327" s="182"/>
      <c r="DS327" s="182"/>
      <c r="DT327" s="182"/>
    </row>
    <row r="328" spans="109:124">
      <c r="DE328" s="159"/>
      <c r="DF328" s="159"/>
      <c r="DG328" s="159">
        <v>2</v>
      </c>
      <c r="DH328" s="159">
        <v>8</v>
      </c>
      <c r="DI328" s="123">
        <f t="shared" si="155"/>
        <v>12</v>
      </c>
      <c r="DJ328" s="36" t="str">
        <f ca="1">OFFSET(gr_header,DG328+DE316,1+DF316)</f>
        <v/>
      </c>
      <c r="DK328" s="36" t="str">
        <f ca="1">OFFSET(gr_header,DH328+DE316,1+DF316)</f>
        <v/>
      </c>
      <c r="DL328" s="123">
        <f ca="1">OFFSET(gr_header,DG328+DE316,2*DH328+DF316)</f>
        <v>0</v>
      </c>
      <c r="DM328" s="123">
        <f ca="1">OFFSET(gr_header,DG328+DE316,2*DH328+1+DF316)</f>
        <v>0</v>
      </c>
      <c r="DO328" s="182"/>
      <c r="DP328" s="182"/>
      <c r="DQ328" s="182"/>
      <c r="DR328" s="182"/>
      <c r="DS328" s="182"/>
      <c r="DT328" s="182"/>
    </row>
    <row r="329" spans="109:124">
      <c r="DE329" s="159"/>
      <c r="DF329" s="159"/>
      <c r="DG329" s="159">
        <v>3</v>
      </c>
      <c r="DH329" s="159">
        <v>4</v>
      </c>
      <c r="DI329" s="123">
        <f t="shared" si="155"/>
        <v>12</v>
      </c>
      <c r="DJ329" s="36" t="str">
        <f ca="1">OFFSET(gr_header,DG329+DE316,1+DF316)</f>
        <v/>
      </c>
      <c r="DK329" s="36" t="str">
        <f ca="1">OFFSET(gr_header,DH329+DE316,1+DF316)</f>
        <v/>
      </c>
      <c r="DL329" s="123">
        <f ca="1">OFFSET(gr_header,DG329+DE316,2*DH329+DF316)</f>
        <v>0</v>
      </c>
      <c r="DM329" s="123">
        <f ca="1">OFFSET(gr_header,DG329+DE316,2*DH329+1+DF316)</f>
        <v>0</v>
      </c>
      <c r="DO329" s="182"/>
      <c r="DP329" s="182"/>
      <c r="DQ329" s="182"/>
      <c r="DR329" s="182"/>
      <c r="DS329" s="182"/>
      <c r="DT329" s="182"/>
    </row>
    <row r="330" spans="109:124">
      <c r="DE330" s="159"/>
      <c r="DF330" s="159"/>
      <c r="DG330" s="159">
        <v>3</v>
      </c>
      <c r="DH330" s="159">
        <v>5</v>
      </c>
      <c r="DI330" s="123">
        <f t="shared" si="155"/>
        <v>12</v>
      </c>
      <c r="DJ330" s="36" t="str">
        <f ca="1">OFFSET(gr_header,DG330+DE316,1+DF316)</f>
        <v/>
      </c>
      <c r="DK330" s="36" t="str">
        <f ca="1">OFFSET(gr_header,DH330+DE316,1+DF316)</f>
        <v/>
      </c>
      <c r="DL330" s="123">
        <f ca="1">OFFSET(gr_header,DG330+DE316,2*DH330+DF316)</f>
        <v>0</v>
      </c>
      <c r="DM330" s="123">
        <f ca="1">OFFSET(gr_header,DG330+DE316,2*DH330+1+DF316)</f>
        <v>0</v>
      </c>
      <c r="DO330" s="182"/>
      <c r="DP330" s="182"/>
      <c r="DQ330" s="182"/>
      <c r="DR330" s="182"/>
      <c r="DS330" s="182"/>
      <c r="DT330" s="182"/>
    </row>
    <row r="331" spans="109:124">
      <c r="DE331" s="159"/>
      <c r="DF331" s="159"/>
      <c r="DG331" s="159">
        <v>3</v>
      </c>
      <c r="DH331" s="159">
        <v>6</v>
      </c>
      <c r="DI331" s="123">
        <f t="shared" si="155"/>
        <v>12</v>
      </c>
      <c r="DJ331" s="36" t="str">
        <f ca="1">OFFSET(gr_header,DG331+DE316,1+DF316)</f>
        <v/>
      </c>
      <c r="DK331" s="36" t="str">
        <f ca="1">OFFSET(gr_header,DH331+DE316,1+DF316)</f>
        <v/>
      </c>
      <c r="DL331" s="123">
        <f ca="1">OFFSET(gr_header,DG331+DE316,2*DH331+DF316)</f>
        <v>0</v>
      </c>
      <c r="DM331" s="123">
        <f ca="1">OFFSET(gr_header,DG331+DE316,2*DH331+1+DF316)</f>
        <v>0</v>
      </c>
      <c r="DO331" s="182"/>
      <c r="DP331" s="182"/>
      <c r="DQ331" s="182"/>
      <c r="DR331" s="182"/>
      <c r="DS331" s="182"/>
      <c r="DT331" s="182"/>
    </row>
    <row r="332" spans="109:124">
      <c r="DE332" s="159"/>
      <c r="DF332" s="159"/>
      <c r="DG332" s="159">
        <v>3</v>
      </c>
      <c r="DH332" s="159">
        <v>7</v>
      </c>
      <c r="DI332" s="123">
        <f t="shared" si="155"/>
        <v>12</v>
      </c>
      <c r="DJ332" s="36" t="str">
        <f ca="1">OFFSET(gr_header,DG332+DE316,1+DF316)</f>
        <v/>
      </c>
      <c r="DK332" s="36" t="str">
        <f ca="1">OFFSET(gr_header,DH332+DE316,1+DF316)</f>
        <v/>
      </c>
      <c r="DL332" s="123">
        <f ca="1">OFFSET(gr_header,DG332+DE316,2*DH332+DF316)</f>
        <v>0</v>
      </c>
      <c r="DM332" s="123">
        <f ca="1">OFFSET(gr_header,DG332+DE316,2*DH332+1+DF316)</f>
        <v>0</v>
      </c>
      <c r="DO332" s="182"/>
      <c r="DP332" s="182"/>
      <c r="DQ332" s="182"/>
      <c r="DR332" s="182"/>
      <c r="DS332" s="182"/>
      <c r="DT332" s="182"/>
    </row>
    <row r="333" spans="109:124">
      <c r="DE333" s="159"/>
      <c r="DF333" s="159"/>
      <c r="DG333" s="159">
        <v>3</v>
      </c>
      <c r="DH333" s="159">
        <v>8</v>
      </c>
      <c r="DI333" s="123">
        <f t="shared" si="155"/>
        <v>12</v>
      </c>
      <c r="DJ333" s="36" t="str">
        <f ca="1">OFFSET(gr_header,DG333+DE316,1+DF316)</f>
        <v/>
      </c>
      <c r="DK333" s="36" t="str">
        <f ca="1">OFFSET(gr_header,DH333+DE316,1+DF316)</f>
        <v/>
      </c>
      <c r="DL333" s="123">
        <f ca="1">OFFSET(gr_header,DG333+DE316,2*DH333+DF316)</f>
        <v>0</v>
      </c>
      <c r="DM333" s="123">
        <f ca="1">OFFSET(gr_header,DG333+DE316,2*DH333+1+DF316)</f>
        <v>0</v>
      </c>
      <c r="DO333" s="182"/>
      <c r="DP333" s="182"/>
      <c r="DQ333" s="182"/>
      <c r="DR333" s="182"/>
      <c r="DS333" s="182"/>
      <c r="DT333" s="182"/>
    </row>
    <row r="334" spans="109:124">
      <c r="DE334" s="159"/>
      <c r="DF334" s="159"/>
      <c r="DG334" s="159">
        <v>4</v>
      </c>
      <c r="DH334" s="159">
        <v>5</v>
      </c>
      <c r="DI334" s="123">
        <f t="shared" si="155"/>
        <v>12</v>
      </c>
      <c r="DJ334" s="36" t="str">
        <f ca="1">OFFSET(gr_header,DG334+DE316,1+DF316)</f>
        <v/>
      </c>
      <c r="DK334" s="36" t="str">
        <f ca="1">OFFSET(gr_header,DH334+DE316,1+DF316)</f>
        <v/>
      </c>
      <c r="DL334" s="123">
        <f ca="1">OFFSET(gr_header,DG334+DE316,2*DH334+DF316)</f>
        <v>0</v>
      </c>
      <c r="DM334" s="123">
        <f ca="1">OFFSET(gr_header,DG334+DE316,2*DH334+1+DF316)</f>
        <v>0</v>
      </c>
      <c r="DO334" s="182"/>
      <c r="DP334" s="182"/>
      <c r="DQ334" s="182"/>
      <c r="DR334" s="182"/>
      <c r="DS334" s="182"/>
      <c r="DT334" s="182"/>
    </row>
    <row r="335" spans="109:124">
      <c r="DE335" s="159"/>
      <c r="DF335" s="159"/>
      <c r="DG335" s="159">
        <v>4</v>
      </c>
      <c r="DH335" s="159">
        <v>6</v>
      </c>
      <c r="DI335" s="123">
        <f t="shared" si="155"/>
        <v>12</v>
      </c>
      <c r="DJ335" s="36" t="str">
        <f ca="1">OFFSET(gr_header,DG335+DE316,1+DF316)</f>
        <v/>
      </c>
      <c r="DK335" s="36" t="str">
        <f ca="1">OFFSET(gr_header,DH335+DE316,1+DF316)</f>
        <v/>
      </c>
      <c r="DL335" s="123">
        <f ca="1">OFFSET(gr_header,DG335+DE316,2*DH335+DF316)</f>
        <v>0</v>
      </c>
      <c r="DM335" s="123">
        <f ca="1">OFFSET(gr_header,DG335+DE316,2*DH335+1+DF316)</f>
        <v>0</v>
      </c>
      <c r="DO335" s="182"/>
      <c r="DP335" s="182"/>
      <c r="DQ335" s="182"/>
      <c r="DR335" s="182"/>
      <c r="DS335" s="182"/>
      <c r="DT335" s="182"/>
    </row>
    <row r="336" spans="109:124">
      <c r="DE336" s="159"/>
      <c r="DF336" s="159"/>
      <c r="DG336" s="159">
        <v>4</v>
      </c>
      <c r="DH336" s="159">
        <v>7</v>
      </c>
      <c r="DI336" s="123">
        <f t="shared" si="155"/>
        <v>12</v>
      </c>
      <c r="DJ336" s="36" t="str">
        <f ca="1">OFFSET(gr_header,DG336+DE316,1+DF316)</f>
        <v/>
      </c>
      <c r="DK336" s="36" t="str">
        <f ca="1">OFFSET(gr_header,DH336+DE316,1+DF316)</f>
        <v/>
      </c>
      <c r="DL336" s="123">
        <f ca="1">OFFSET(gr_header,DG336+DE316,2*DH336+DF316)</f>
        <v>0</v>
      </c>
      <c r="DM336" s="123">
        <f ca="1">OFFSET(gr_header,DG336+DE316,2*DH336+1+DF316)</f>
        <v>0</v>
      </c>
      <c r="DO336" s="182"/>
      <c r="DP336" s="182"/>
      <c r="DQ336" s="182"/>
      <c r="DR336" s="182"/>
      <c r="DS336" s="182"/>
      <c r="DT336" s="182"/>
    </row>
    <row r="337" spans="109:124">
      <c r="DE337" s="159"/>
      <c r="DF337" s="159"/>
      <c r="DG337" s="159">
        <v>4</v>
      </c>
      <c r="DH337" s="159">
        <v>8</v>
      </c>
      <c r="DI337" s="123">
        <f t="shared" si="155"/>
        <v>12</v>
      </c>
      <c r="DJ337" s="36" t="str">
        <f ca="1">OFFSET(gr_header,DG337+DE316,1+DF316)</f>
        <v/>
      </c>
      <c r="DK337" s="36" t="str">
        <f ca="1">OFFSET(gr_header,DH337+DE316,1+DF316)</f>
        <v/>
      </c>
      <c r="DL337" s="123">
        <f ca="1">OFFSET(gr_header,DG337+DE316,2*DH337+DF316)</f>
        <v>0</v>
      </c>
      <c r="DM337" s="123">
        <f ca="1">OFFSET(gr_header,DG337+DE316,2*DH337+1+DF316)</f>
        <v>0</v>
      </c>
      <c r="DO337" s="182"/>
      <c r="DP337" s="182"/>
      <c r="DQ337" s="182"/>
      <c r="DR337" s="182"/>
      <c r="DS337" s="182"/>
      <c r="DT337" s="182"/>
    </row>
    <row r="338" spans="109:124">
      <c r="DE338" s="159"/>
      <c r="DF338" s="159"/>
      <c r="DG338" s="159">
        <v>5</v>
      </c>
      <c r="DH338" s="159">
        <v>6</v>
      </c>
      <c r="DI338" s="123">
        <f t="shared" si="155"/>
        <v>12</v>
      </c>
      <c r="DJ338" s="36" t="str">
        <f ca="1">OFFSET(gr_header,DG338+DE316,1+DF316)</f>
        <v/>
      </c>
      <c r="DK338" s="36" t="str">
        <f ca="1">OFFSET(gr_header,DH338+DE316,1+DF316)</f>
        <v/>
      </c>
      <c r="DL338" s="123">
        <f ca="1">OFFSET(gr_header,DG338+DE316,2*DH338+DF316)</f>
        <v>0</v>
      </c>
      <c r="DM338" s="123">
        <f ca="1">OFFSET(gr_header,DG338+DE316,2*DH338+1+DF316)</f>
        <v>0</v>
      </c>
      <c r="DO338" s="182"/>
      <c r="DP338" s="182"/>
      <c r="DQ338" s="182"/>
      <c r="DR338" s="182"/>
      <c r="DS338" s="182"/>
      <c r="DT338" s="182"/>
    </row>
    <row r="339" spans="109:124">
      <c r="DE339" s="159"/>
      <c r="DF339" s="159"/>
      <c r="DG339" s="159">
        <v>5</v>
      </c>
      <c r="DH339" s="159">
        <v>7</v>
      </c>
      <c r="DI339" s="123">
        <f t="shared" si="155"/>
        <v>12</v>
      </c>
      <c r="DJ339" s="36" t="str">
        <f ca="1">OFFSET(gr_header,DG339+DE316,1+DF316)</f>
        <v/>
      </c>
      <c r="DK339" s="36" t="str">
        <f ca="1">OFFSET(gr_header,DH339+DE316,1+DF316)</f>
        <v/>
      </c>
      <c r="DL339" s="123">
        <f ca="1">OFFSET(gr_header,DG339+DE316,2*DH339+DF316)</f>
        <v>0</v>
      </c>
      <c r="DM339" s="123">
        <f ca="1">OFFSET(gr_header,DG339+DE316,2*DH339+1+DF316)</f>
        <v>0</v>
      </c>
      <c r="DO339" s="182"/>
      <c r="DP339" s="182"/>
      <c r="DQ339" s="182"/>
      <c r="DR339" s="182"/>
      <c r="DS339" s="182"/>
      <c r="DT339" s="182"/>
    </row>
    <row r="340" spans="109:124">
      <c r="DE340" s="159"/>
      <c r="DF340" s="159"/>
      <c r="DG340" s="159">
        <v>5</v>
      </c>
      <c r="DH340" s="159">
        <v>8</v>
      </c>
      <c r="DI340" s="123">
        <f t="shared" si="155"/>
        <v>12</v>
      </c>
      <c r="DJ340" s="36" t="str">
        <f ca="1">OFFSET(gr_header,DG340+DE316,1+DF316)</f>
        <v/>
      </c>
      <c r="DK340" s="36" t="str">
        <f ca="1">OFFSET(gr_header,DH340+DE316,1+DF316)</f>
        <v/>
      </c>
      <c r="DL340" s="123">
        <f ca="1">OFFSET(gr_header,DG340+DE316,2*DH340+DF316)</f>
        <v>0</v>
      </c>
      <c r="DM340" s="123">
        <f ca="1">OFFSET(gr_header,DG340+DE316,2*DH340+1+DF316)</f>
        <v>0</v>
      </c>
      <c r="DO340" s="182"/>
      <c r="DP340" s="182"/>
      <c r="DQ340" s="182"/>
      <c r="DR340" s="182"/>
      <c r="DS340" s="182"/>
      <c r="DT340" s="182"/>
    </row>
    <row r="341" spans="109:124">
      <c r="DE341" s="159"/>
      <c r="DF341" s="159"/>
      <c r="DG341" s="159">
        <v>6</v>
      </c>
      <c r="DH341" s="159">
        <v>7</v>
      </c>
      <c r="DI341" s="123">
        <f t="shared" si="155"/>
        <v>12</v>
      </c>
      <c r="DJ341" s="36" t="str">
        <f ca="1">OFFSET(gr_header,DG341+DE316,1+DF316)</f>
        <v/>
      </c>
      <c r="DK341" s="36" t="str">
        <f ca="1">OFFSET(gr_header,DH341+DE316,1+DF316)</f>
        <v/>
      </c>
      <c r="DL341" s="123">
        <f ca="1">OFFSET(gr_header,DG341+DE316,2*DH341+DF316)</f>
        <v>0</v>
      </c>
      <c r="DM341" s="123">
        <f ca="1">OFFSET(gr_header,DG341+DE316,2*DH341+1+DF316)</f>
        <v>0</v>
      </c>
      <c r="DO341" s="182"/>
      <c r="DP341" s="182"/>
      <c r="DQ341" s="182"/>
      <c r="DR341" s="182"/>
      <c r="DS341" s="182"/>
      <c r="DT341" s="182"/>
    </row>
    <row r="342" spans="109:124">
      <c r="DE342" s="159"/>
      <c r="DF342" s="159"/>
      <c r="DG342" s="159">
        <v>6</v>
      </c>
      <c r="DH342" s="159">
        <v>8</v>
      </c>
      <c r="DI342" s="123">
        <f t="shared" si="155"/>
        <v>12</v>
      </c>
      <c r="DJ342" s="36" t="str">
        <f ca="1">OFFSET(gr_header,DG342+DE316,1+DF316)</f>
        <v/>
      </c>
      <c r="DK342" s="36" t="str">
        <f ca="1">OFFSET(gr_header,DH342+DE316,1+DF316)</f>
        <v/>
      </c>
      <c r="DL342" s="123">
        <f ca="1">OFFSET(gr_header,DG342+DE316,2*DH342+DF316)</f>
        <v>0</v>
      </c>
      <c r="DM342" s="123">
        <f ca="1">OFFSET(gr_header,DG342+DE316,2*DH342+1+DF316)</f>
        <v>0</v>
      </c>
      <c r="DO342" s="182"/>
      <c r="DP342" s="182"/>
      <c r="DQ342" s="182"/>
      <c r="DR342" s="182"/>
      <c r="DS342" s="182"/>
      <c r="DT342" s="182"/>
    </row>
    <row r="343" spans="109:124">
      <c r="DE343" s="159"/>
      <c r="DF343" s="159"/>
      <c r="DG343" s="159">
        <v>7</v>
      </c>
      <c r="DH343" s="159">
        <v>8</v>
      </c>
      <c r="DI343" s="123">
        <f t="shared" si="155"/>
        <v>12</v>
      </c>
      <c r="DJ343" s="36" t="str">
        <f ca="1">OFFSET(gr_header,DG343+DE316,1+DF316)</f>
        <v/>
      </c>
      <c r="DK343" s="36" t="str">
        <f ca="1">OFFSET(gr_header,DH343+DE316,1+DF316)</f>
        <v/>
      </c>
      <c r="DL343" s="123">
        <f ca="1">OFFSET(gr_header,DG343+DE316,2*DH343+DF316)</f>
        <v>0</v>
      </c>
      <c r="DM343" s="123">
        <f ca="1">OFFSET(gr_header,DG343+DE343,2*DH343+1+DF343)</f>
        <v>0</v>
      </c>
      <c r="DO343" s="182"/>
      <c r="DP343" s="182"/>
      <c r="DQ343" s="182"/>
      <c r="DR343" s="182"/>
      <c r="DS343" s="182"/>
      <c r="DT343" s="182"/>
    </row>
    <row r="344" spans="109:124">
      <c r="DE344" s="123">
        <f>DE345*shift1</f>
        <v>60</v>
      </c>
      <c r="DF344" s="123">
        <f>DF345*shift2</f>
        <v>0</v>
      </c>
      <c r="DG344" s="123">
        <v>1</v>
      </c>
      <c r="DH344" s="123">
        <v>2</v>
      </c>
      <c r="DI344" s="147">
        <f>DI316+1</f>
        <v>13</v>
      </c>
      <c r="DJ344" s="36" t="str">
        <f ca="1">OFFSET(gr_header,DG344+DE344,1+DF344)</f>
        <v/>
      </c>
      <c r="DK344" s="36" t="str">
        <f ca="1">OFFSET(gr_header,DH344+DE344,1+DF344)</f>
        <v/>
      </c>
      <c r="DL344" s="123">
        <f ca="1">OFFSET(gr_header,DG344+DE344,2*DH344+DF344)</f>
        <v>0</v>
      </c>
      <c r="DM344" s="123">
        <f ca="1">OFFSET(gr_header,DG344+DE344,2*DH344+1+DF344)</f>
        <v>0</v>
      </c>
      <c r="DO344" s="182"/>
      <c r="DP344" s="182"/>
      <c r="DQ344" s="182"/>
      <c r="DR344" s="182"/>
      <c r="DS344" s="182"/>
      <c r="DT344" s="182"/>
    </row>
    <row r="345" spans="109:124">
      <c r="DE345" s="123">
        <f>INT((DI344-1)/2)</f>
        <v>6</v>
      </c>
      <c r="DF345" s="123">
        <f>1-(INT((DI344+1)/2)*2-DI344)</f>
        <v>0</v>
      </c>
      <c r="DG345" s="123">
        <v>1</v>
      </c>
      <c r="DH345" s="123">
        <v>3</v>
      </c>
      <c r="DI345" s="123">
        <f>DI344</f>
        <v>13</v>
      </c>
      <c r="DJ345" s="36" t="str">
        <f ca="1">OFFSET(gr_header,DG345+DE344,1+DF344)</f>
        <v/>
      </c>
      <c r="DK345" s="36" t="str">
        <f ca="1">OFFSET(gr_header,DH345+DE344,1+DF344)</f>
        <v/>
      </c>
      <c r="DL345" s="123">
        <f ca="1">OFFSET(gr_header,DG345+DE344,2*DH345+DF344)</f>
        <v>0</v>
      </c>
      <c r="DM345" s="123">
        <f ca="1">OFFSET(gr_header,DG345+DE344,2*DH345+1+DF344)</f>
        <v>0</v>
      </c>
      <c r="DO345" s="182"/>
      <c r="DP345" s="182"/>
      <c r="DQ345" s="182"/>
      <c r="DR345" s="182"/>
      <c r="DS345" s="182"/>
      <c r="DT345" s="182"/>
    </row>
    <row r="346" spans="109:124">
      <c r="DG346" s="123">
        <v>1</v>
      </c>
      <c r="DH346" s="123">
        <v>4</v>
      </c>
      <c r="DI346" s="123">
        <f t="shared" ref="DI346:DI371" si="156">DI345</f>
        <v>13</v>
      </c>
      <c r="DJ346" s="36" t="str">
        <f ca="1">OFFSET(gr_header,DG346+DE344,1+DF344)</f>
        <v/>
      </c>
      <c r="DK346" s="36" t="str">
        <f ca="1">OFFSET(gr_header,DH346+DE344,1+DF344)</f>
        <v/>
      </c>
      <c r="DL346" s="123">
        <f ca="1">OFFSET(gr_header,DG346+DE344,2*DH346+DF344)</f>
        <v>0</v>
      </c>
      <c r="DM346" s="123">
        <f ca="1">OFFSET(gr_header,DG346+DE344,2*DH346+1+DF344)</f>
        <v>0</v>
      </c>
      <c r="DO346" s="182"/>
      <c r="DP346" s="182"/>
      <c r="DQ346" s="182"/>
      <c r="DR346" s="182"/>
      <c r="DS346" s="182"/>
      <c r="DT346" s="182"/>
    </row>
    <row r="347" spans="109:124">
      <c r="DG347" s="123">
        <v>1</v>
      </c>
      <c r="DH347" s="123">
        <v>5</v>
      </c>
      <c r="DI347" s="123">
        <f t="shared" si="156"/>
        <v>13</v>
      </c>
      <c r="DJ347" s="36" t="str">
        <f ca="1">OFFSET(gr_header,DG347+DE344,1+DF344)</f>
        <v/>
      </c>
      <c r="DK347" s="36" t="str">
        <f ca="1">OFFSET(gr_header,DH347+DE344,1+DF344)</f>
        <v/>
      </c>
      <c r="DL347" s="123">
        <f ca="1">OFFSET(gr_header,DG347+DE344,2*DH347+DF344)</f>
        <v>0</v>
      </c>
      <c r="DM347" s="123">
        <f ca="1">OFFSET(gr_header,DG347+DE344,2*DH347+1+DF344)</f>
        <v>0</v>
      </c>
      <c r="DO347" s="182"/>
      <c r="DP347" s="182"/>
      <c r="DQ347" s="182"/>
      <c r="DR347" s="182"/>
      <c r="DS347" s="182"/>
      <c r="DT347" s="182"/>
    </row>
    <row r="348" spans="109:124">
      <c r="DG348" s="123">
        <v>1</v>
      </c>
      <c r="DH348" s="123">
        <v>6</v>
      </c>
      <c r="DI348" s="123">
        <f t="shared" si="156"/>
        <v>13</v>
      </c>
      <c r="DJ348" s="36" t="str">
        <f ca="1">OFFSET(gr_header,DG348+DE344,1+DF344)</f>
        <v/>
      </c>
      <c r="DK348" s="36" t="str">
        <f ca="1">OFFSET(gr_header,DH348+DE344,1+DF344)</f>
        <v/>
      </c>
      <c r="DL348" s="123">
        <f ca="1">OFFSET(gr_header,DG348+DE344,2*DH348+DF344)</f>
        <v>0</v>
      </c>
      <c r="DM348" s="123">
        <f ca="1">OFFSET(gr_header,DG348+DE344,2*DH348+1+DF344)</f>
        <v>0</v>
      </c>
      <c r="DO348" s="182"/>
      <c r="DP348" s="182"/>
      <c r="DQ348" s="182"/>
      <c r="DR348" s="182"/>
      <c r="DS348" s="182"/>
      <c r="DT348" s="182"/>
    </row>
    <row r="349" spans="109:124">
      <c r="DG349" s="123">
        <v>1</v>
      </c>
      <c r="DH349" s="123">
        <v>7</v>
      </c>
      <c r="DI349" s="123">
        <f t="shared" si="156"/>
        <v>13</v>
      </c>
      <c r="DJ349" s="36" t="str">
        <f ca="1">OFFSET(gr_header,DG349+DE344,1+DF344)</f>
        <v/>
      </c>
      <c r="DK349" s="36" t="str">
        <f ca="1">OFFSET(gr_header,DH349+DE344,1+DF344)</f>
        <v/>
      </c>
      <c r="DL349" s="123">
        <f ca="1">OFFSET(gr_header,DG349+DE344,2*DH349+DF344)</f>
        <v>0</v>
      </c>
      <c r="DM349" s="123">
        <f ca="1">OFFSET(gr_header,DG349+DE344,2*DH349+1+DF344)</f>
        <v>0</v>
      </c>
      <c r="DO349" s="182"/>
      <c r="DP349" s="182"/>
      <c r="DQ349" s="182"/>
      <c r="DR349" s="182"/>
      <c r="DS349" s="182"/>
      <c r="DT349" s="182"/>
    </row>
    <row r="350" spans="109:124">
      <c r="DE350" s="159"/>
      <c r="DF350" s="159"/>
      <c r="DG350" s="159">
        <v>1</v>
      </c>
      <c r="DH350" s="123">
        <v>8</v>
      </c>
      <c r="DI350" s="123">
        <f t="shared" si="156"/>
        <v>13</v>
      </c>
      <c r="DJ350" s="36" t="str">
        <f ca="1">OFFSET(gr_header,DG350+DE344,1+DF344)</f>
        <v/>
      </c>
      <c r="DK350" s="36" t="str">
        <f ca="1">OFFSET(gr_header,DH350+DE344,1+DF344)</f>
        <v/>
      </c>
      <c r="DL350" s="123">
        <f ca="1">OFFSET(gr_header,DG350+DE344,2*DH350+DF344)</f>
        <v>0</v>
      </c>
      <c r="DM350" s="123">
        <f ca="1">OFFSET(gr_header,DG350+DE344,2*DH350+1+DF344)</f>
        <v>0</v>
      </c>
      <c r="DO350" s="182"/>
      <c r="DP350" s="182"/>
      <c r="DQ350" s="182"/>
      <c r="DR350" s="182"/>
      <c r="DS350" s="182"/>
      <c r="DT350" s="182"/>
    </row>
    <row r="351" spans="109:124">
      <c r="DE351" s="159"/>
      <c r="DF351" s="159"/>
      <c r="DG351" s="159">
        <v>2</v>
      </c>
      <c r="DH351" s="159">
        <v>3</v>
      </c>
      <c r="DI351" s="123">
        <f t="shared" si="156"/>
        <v>13</v>
      </c>
      <c r="DJ351" s="36" t="str">
        <f ca="1">OFFSET(gr_header,DG351+DE344,1+DF344)</f>
        <v/>
      </c>
      <c r="DK351" s="36" t="str">
        <f ca="1">OFFSET(gr_header,DH351+DE344,1+DF344)</f>
        <v/>
      </c>
      <c r="DL351" s="123">
        <f ca="1">OFFSET(gr_header,DG351+DE344,2*DH351+DF344)</f>
        <v>0</v>
      </c>
      <c r="DM351" s="123">
        <f ca="1">OFFSET(gr_header,DG351+DE344,2*DH351+1+DF344)</f>
        <v>0</v>
      </c>
      <c r="DO351" s="182"/>
      <c r="DP351" s="182"/>
      <c r="DQ351" s="182"/>
      <c r="DR351" s="182"/>
      <c r="DS351" s="182"/>
      <c r="DT351" s="182"/>
    </row>
    <row r="352" spans="109:124">
      <c r="DE352" s="159"/>
      <c r="DF352" s="159"/>
      <c r="DG352" s="159">
        <v>2</v>
      </c>
      <c r="DH352" s="159">
        <v>4</v>
      </c>
      <c r="DI352" s="123">
        <f t="shared" si="156"/>
        <v>13</v>
      </c>
      <c r="DJ352" s="36" t="str">
        <f ca="1">OFFSET(gr_header,DG352+DE344,1+DF344)</f>
        <v/>
      </c>
      <c r="DK352" s="36" t="str">
        <f ca="1">OFFSET(gr_header,DH352+DE344,1+DF344)</f>
        <v/>
      </c>
      <c r="DL352" s="123">
        <f ca="1">OFFSET(gr_header,DG352+DE344,2*DH352+DF344)</f>
        <v>0</v>
      </c>
      <c r="DM352" s="123">
        <f ca="1">OFFSET(gr_header,DG352+DE344,2*DH352+1+DF344)</f>
        <v>0</v>
      </c>
      <c r="DO352" s="182"/>
      <c r="DP352" s="182"/>
      <c r="DQ352" s="182"/>
      <c r="DR352" s="182"/>
      <c r="DS352" s="182"/>
      <c r="DT352" s="182"/>
    </row>
    <row r="353" spans="109:124">
      <c r="DE353" s="159"/>
      <c r="DF353" s="159"/>
      <c r="DG353" s="159">
        <v>2</v>
      </c>
      <c r="DH353" s="159">
        <v>5</v>
      </c>
      <c r="DI353" s="123">
        <f t="shared" si="156"/>
        <v>13</v>
      </c>
      <c r="DJ353" s="36" t="str">
        <f ca="1">OFFSET(gr_header,DG353+DE344,1+DF344)</f>
        <v/>
      </c>
      <c r="DK353" s="36" t="str">
        <f ca="1">OFFSET(gr_header,DH353+DE344,1+DF344)</f>
        <v/>
      </c>
      <c r="DL353" s="123">
        <f ca="1">OFFSET(gr_header,DG353+DE344,2*DH353+DF344)</f>
        <v>0</v>
      </c>
      <c r="DM353" s="123">
        <f ca="1">OFFSET(gr_header,DG353+DE344,2*DH353+1+DF344)</f>
        <v>0</v>
      </c>
      <c r="DO353" s="182"/>
      <c r="DP353" s="182"/>
      <c r="DQ353" s="182"/>
      <c r="DR353" s="182"/>
      <c r="DS353" s="182"/>
      <c r="DT353" s="182"/>
    </row>
    <row r="354" spans="109:124">
      <c r="DE354" s="159"/>
      <c r="DF354" s="159"/>
      <c r="DG354" s="159">
        <v>2</v>
      </c>
      <c r="DH354" s="159">
        <v>6</v>
      </c>
      <c r="DI354" s="123">
        <f t="shared" si="156"/>
        <v>13</v>
      </c>
      <c r="DJ354" s="36" t="str">
        <f ca="1">OFFSET(gr_header,DG354+DE344,1+DF344)</f>
        <v/>
      </c>
      <c r="DK354" s="36" t="str">
        <f ca="1">OFFSET(gr_header,DH354+DE344,1+DF344)</f>
        <v/>
      </c>
      <c r="DL354" s="123">
        <f ca="1">OFFSET(gr_header,DG354+DE344,2*DH354+DF344)</f>
        <v>0</v>
      </c>
      <c r="DM354" s="123">
        <f ca="1">OFFSET(gr_header,DG354+DE344,2*DH354+1+DF344)</f>
        <v>0</v>
      </c>
      <c r="DO354" s="182"/>
      <c r="DP354" s="182"/>
      <c r="DQ354" s="182"/>
      <c r="DR354" s="182"/>
      <c r="DS354" s="182"/>
      <c r="DT354" s="182"/>
    </row>
    <row r="355" spans="109:124">
      <c r="DE355" s="159"/>
      <c r="DF355" s="159"/>
      <c r="DG355" s="159">
        <v>2</v>
      </c>
      <c r="DH355" s="159">
        <v>7</v>
      </c>
      <c r="DI355" s="123">
        <f t="shared" si="156"/>
        <v>13</v>
      </c>
      <c r="DJ355" s="36" t="str">
        <f ca="1">OFFSET(gr_header,DG355+DE344,1+DF344)</f>
        <v/>
      </c>
      <c r="DK355" s="36" t="str">
        <f ca="1">OFFSET(gr_header,DH355+DE344,1+DF344)</f>
        <v/>
      </c>
      <c r="DL355" s="123">
        <f ca="1">OFFSET(gr_header,DG355+DE344,2*DH355+DF344)</f>
        <v>0</v>
      </c>
      <c r="DM355" s="123">
        <f ca="1">OFFSET(gr_header,DG355+DE344,2*DH355+1+DF344)</f>
        <v>0</v>
      </c>
      <c r="DO355" s="182"/>
      <c r="DP355" s="182"/>
      <c r="DQ355" s="182"/>
      <c r="DR355" s="182"/>
      <c r="DS355" s="182"/>
      <c r="DT355" s="182"/>
    </row>
    <row r="356" spans="109:124">
      <c r="DE356" s="159"/>
      <c r="DF356" s="159"/>
      <c r="DG356" s="159">
        <v>2</v>
      </c>
      <c r="DH356" s="159">
        <v>8</v>
      </c>
      <c r="DI356" s="123">
        <f t="shared" si="156"/>
        <v>13</v>
      </c>
      <c r="DJ356" s="36" t="str">
        <f ca="1">OFFSET(gr_header,DG356+DE344,1+DF344)</f>
        <v/>
      </c>
      <c r="DK356" s="36" t="str">
        <f ca="1">OFFSET(gr_header,DH356+DE344,1+DF344)</f>
        <v/>
      </c>
      <c r="DL356" s="123">
        <f ca="1">OFFSET(gr_header,DG356+DE344,2*DH356+DF344)</f>
        <v>0</v>
      </c>
      <c r="DM356" s="123">
        <f ca="1">OFFSET(gr_header,DG356+DE344,2*DH356+1+DF344)</f>
        <v>0</v>
      </c>
      <c r="DO356" s="182"/>
      <c r="DP356" s="182"/>
      <c r="DQ356" s="182"/>
      <c r="DR356" s="182"/>
      <c r="DS356" s="182"/>
      <c r="DT356" s="182"/>
    </row>
    <row r="357" spans="109:124">
      <c r="DE357" s="159"/>
      <c r="DF357" s="159"/>
      <c r="DG357" s="159">
        <v>3</v>
      </c>
      <c r="DH357" s="159">
        <v>4</v>
      </c>
      <c r="DI357" s="123">
        <f t="shared" si="156"/>
        <v>13</v>
      </c>
      <c r="DJ357" s="36" t="str">
        <f ca="1">OFFSET(gr_header,DG357+DE344,1+DF344)</f>
        <v/>
      </c>
      <c r="DK357" s="36" t="str">
        <f ca="1">OFFSET(gr_header,DH357+DE344,1+DF344)</f>
        <v/>
      </c>
      <c r="DL357" s="123">
        <f ca="1">OFFSET(gr_header,DG357+DE344,2*DH357+DF344)</f>
        <v>0</v>
      </c>
      <c r="DM357" s="123">
        <f ca="1">OFFSET(gr_header,DG357+DE344,2*DH357+1+DF344)</f>
        <v>0</v>
      </c>
      <c r="DO357" s="182"/>
      <c r="DP357" s="182"/>
      <c r="DQ357" s="182"/>
      <c r="DR357" s="182"/>
      <c r="DS357" s="182"/>
      <c r="DT357" s="182"/>
    </row>
    <row r="358" spans="109:124">
      <c r="DE358" s="159"/>
      <c r="DF358" s="159"/>
      <c r="DG358" s="159">
        <v>3</v>
      </c>
      <c r="DH358" s="159">
        <v>5</v>
      </c>
      <c r="DI358" s="123">
        <f t="shared" si="156"/>
        <v>13</v>
      </c>
      <c r="DJ358" s="36" t="str">
        <f ca="1">OFFSET(gr_header,DG358+DE344,1+DF344)</f>
        <v/>
      </c>
      <c r="DK358" s="36" t="str">
        <f ca="1">OFFSET(gr_header,DH358+DE344,1+DF344)</f>
        <v/>
      </c>
      <c r="DL358" s="123">
        <f ca="1">OFFSET(gr_header,DG358+DE344,2*DH358+DF344)</f>
        <v>0</v>
      </c>
      <c r="DM358" s="123">
        <f ca="1">OFFSET(gr_header,DG358+DE344,2*DH358+1+DF344)</f>
        <v>0</v>
      </c>
      <c r="DO358" s="182"/>
      <c r="DP358" s="182"/>
      <c r="DQ358" s="182"/>
      <c r="DR358" s="182"/>
      <c r="DS358" s="182"/>
      <c r="DT358" s="182"/>
    </row>
    <row r="359" spans="109:124">
      <c r="DE359" s="159"/>
      <c r="DF359" s="159"/>
      <c r="DG359" s="159">
        <v>3</v>
      </c>
      <c r="DH359" s="159">
        <v>6</v>
      </c>
      <c r="DI359" s="123">
        <f t="shared" si="156"/>
        <v>13</v>
      </c>
      <c r="DJ359" s="36" t="str">
        <f ca="1">OFFSET(gr_header,DG359+DE344,1+DF344)</f>
        <v/>
      </c>
      <c r="DK359" s="36" t="str">
        <f ca="1">OFFSET(gr_header,DH359+DE344,1+DF344)</f>
        <v/>
      </c>
      <c r="DL359" s="123">
        <f ca="1">OFFSET(gr_header,DG359+DE344,2*DH359+DF344)</f>
        <v>0</v>
      </c>
      <c r="DM359" s="123">
        <f ca="1">OFFSET(gr_header,DG359+DE344,2*DH359+1+DF344)</f>
        <v>0</v>
      </c>
      <c r="DO359" s="182"/>
      <c r="DP359" s="182"/>
      <c r="DQ359" s="182"/>
      <c r="DR359" s="182"/>
      <c r="DS359" s="182"/>
      <c r="DT359" s="182"/>
    </row>
    <row r="360" spans="109:124">
      <c r="DE360" s="159"/>
      <c r="DF360" s="159"/>
      <c r="DG360" s="159">
        <v>3</v>
      </c>
      <c r="DH360" s="159">
        <v>7</v>
      </c>
      <c r="DI360" s="123">
        <f t="shared" si="156"/>
        <v>13</v>
      </c>
      <c r="DJ360" s="36" t="str">
        <f ca="1">OFFSET(gr_header,DG360+DE344,1+DF344)</f>
        <v/>
      </c>
      <c r="DK360" s="36" t="str">
        <f ca="1">OFFSET(gr_header,DH360+DE344,1+DF344)</f>
        <v/>
      </c>
      <c r="DL360" s="123">
        <f ca="1">OFFSET(gr_header,DG360+DE344,2*DH360+DF344)</f>
        <v>0</v>
      </c>
      <c r="DM360" s="123">
        <f ca="1">OFFSET(gr_header,DG360+DE344,2*DH360+1+DF344)</f>
        <v>0</v>
      </c>
      <c r="DO360" s="182"/>
      <c r="DP360" s="182"/>
      <c r="DQ360" s="182"/>
      <c r="DR360" s="182"/>
      <c r="DS360" s="182"/>
      <c r="DT360" s="182"/>
    </row>
    <row r="361" spans="109:124">
      <c r="DE361" s="159"/>
      <c r="DF361" s="159"/>
      <c r="DG361" s="159">
        <v>3</v>
      </c>
      <c r="DH361" s="159">
        <v>8</v>
      </c>
      <c r="DI361" s="123">
        <f t="shared" si="156"/>
        <v>13</v>
      </c>
      <c r="DJ361" s="36" t="str">
        <f ca="1">OFFSET(gr_header,DG361+DE344,1+DF344)</f>
        <v/>
      </c>
      <c r="DK361" s="36" t="str">
        <f ca="1">OFFSET(gr_header,DH361+DE344,1+DF344)</f>
        <v/>
      </c>
      <c r="DL361" s="123">
        <f ca="1">OFFSET(gr_header,DG361+DE344,2*DH361+DF344)</f>
        <v>0</v>
      </c>
      <c r="DM361" s="123">
        <f ca="1">OFFSET(gr_header,DG361+DE344,2*DH361+1+DF344)</f>
        <v>0</v>
      </c>
      <c r="DO361" s="182"/>
      <c r="DP361" s="182"/>
      <c r="DQ361" s="182"/>
      <c r="DR361" s="182"/>
      <c r="DS361" s="182"/>
      <c r="DT361" s="182"/>
    </row>
    <row r="362" spans="109:124">
      <c r="DE362" s="159"/>
      <c r="DF362" s="159"/>
      <c r="DG362" s="159">
        <v>4</v>
      </c>
      <c r="DH362" s="159">
        <v>5</v>
      </c>
      <c r="DI362" s="123">
        <f t="shared" si="156"/>
        <v>13</v>
      </c>
      <c r="DJ362" s="36" t="str">
        <f ca="1">OFFSET(gr_header,DG362+DE344,1+DF344)</f>
        <v/>
      </c>
      <c r="DK362" s="36" t="str">
        <f ca="1">OFFSET(gr_header,DH362+DE344,1+DF344)</f>
        <v/>
      </c>
      <c r="DL362" s="123">
        <f ca="1">OFFSET(gr_header,DG362+DE344,2*DH362+DF344)</f>
        <v>0</v>
      </c>
      <c r="DM362" s="123">
        <f ca="1">OFFSET(gr_header,DG362+DE344,2*DH362+1+DF344)</f>
        <v>0</v>
      </c>
      <c r="DO362" s="182"/>
      <c r="DP362" s="182"/>
      <c r="DQ362" s="182"/>
      <c r="DR362" s="182"/>
      <c r="DS362" s="182"/>
      <c r="DT362" s="182"/>
    </row>
    <row r="363" spans="109:124">
      <c r="DE363" s="159"/>
      <c r="DF363" s="159"/>
      <c r="DG363" s="159">
        <v>4</v>
      </c>
      <c r="DH363" s="159">
        <v>6</v>
      </c>
      <c r="DI363" s="123">
        <f t="shared" si="156"/>
        <v>13</v>
      </c>
      <c r="DJ363" s="36" t="str">
        <f ca="1">OFFSET(gr_header,DG363+DE344,1+DF344)</f>
        <v/>
      </c>
      <c r="DK363" s="36" t="str">
        <f ca="1">OFFSET(gr_header,DH363+DE344,1+DF344)</f>
        <v/>
      </c>
      <c r="DL363" s="123">
        <f ca="1">OFFSET(gr_header,DG363+DE344,2*DH363+DF344)</f>
        <v>0</v>
      </c>
      <c r="DM363" s="123">
        <f ca="1">OFFSET(gr_header,DG363+DE344,2*DH363+1+DF344)</f>
        <v>0</v>
      </c>
      <c r="DO363" s="182"/>
      <c r="DP363" s="182"/>
      <c r="DQ363" s="182"/>
      <c r="DR363" s="182"/>
      <c r="DS363" s="182"/>
      <c r="DT363" s="182"/>
    </row>
    <row r="364" spans="109:124">
      <c r="DE364" s="159"/>
      <c r="DF364" s="159"/>
      <c r="DG364" s="159">
        <v>4</v>
      </c>
      <c r="DH364" s="159">
        <v>7</v>
      </c>
      <c r="DI364" s="123">
        <f t="shared" si="156"/>
        <v>13</v>
      </c>
      <c r="DJ364" s="36" t="str">
        <f ca="1">OFFSET(gr_header,DG364+DE344,1+DF344)</f>
        <v/>
      </c>
      <c r="DK364" s="36" t="str">
        <f ca="1">OFFSET(gr_header,DH364+DE344,1+DF344)</f>
        <v/>
      </c>
      <c r="DL364" s="123">
        <f ca="1">OFFSET(gr_header,DG364+DE344,2*DH364+DF344)</f>
        <v>0</v>
      </c>
      <c r="DM364" s="123">
        <f ca="1">OFFSET(gr_header,DG364+DE344,2*DH364+1+DF344)</f>
        <v>0</v>
      </c>
      <c r="DO364" s="182"/>
      <c r="DP364" s="182"/>
      <c r="DQ364" s="182"/>
      <c r="DR364" s="182"/>
      <c r="DS364" s="182"/>
      <c r="DT364" s="182"/>
    </row>
    <row r="365" spans="109:124">
      <c r="DE365" s="159"/>
      <c r="DF365" s="159"/>
      <c r="DG365" s="159">
        <v>4</v>
      </c>
      <c r="DH365" s="159">
        <v>8</v>
      </c>
      <c r="DI365" s="123">
        <f t="shared" si="156"/>
        <v>13</v>
      </c>
      <c r="DJ365" s="36" t="str">
        <f ca="1">OFFSET(gr_header,DG365+DE344,1+DF344)</f>
        <v/>
      </c>
      <c r="DK365" s="36" t="str">
        <f ca="1">OFFSET(gr_header,DH365+DE344,1+DF344)</f>
        <v/>
      </c>
      <c r="DL365" s="123">
        <f ca="1">OFFSET(gr_header,DG365+DE344,2*DH365+DF344)</f>
        <v>0</v>
      </c>
      <c r="DM365" s="123">
        <f ca="1">OFFSET(gr_header,DG365+DE344,2*DH365+1+DF344)</f>
        <v>0</v>
      </c>
      <c r="DO365" s="182"/>
      <c r="DP365" s="182"/>
      <c r="DQ365" s="182"/>
      <c r="DR365" s="182"/>
      <c r="DS365" s="182"/>
      <c r="DT365" s="182"/>
    </row>
    <row r="366" spans="109:124">
      <c r="DE366" s="159"/>
      <c r="DF366" s="159"/>
      <c r="DG366" s="159">
        <v>5</v>
      </c>
      <c r="DH366" s="159">
        <v>6</v>
      </c>
      <c r="DI366" s="123">
        <f t="shared" si="156"/>
        <v>13</v>
      </c>
      <c r="DJ366" s="36" t="str">
        <f ca="1">OFFSET(gr_header,DG366+DE344,1+DF344)</f>
        <v/>
      </c>
      <c r="DK366" s="36" t="str">
        <f ca="1">OFFSET(gr_header,DH366+DE344,1+DF344)</f>
        <v/>
      </c>
      <c r="DL366" s="123">
        <f ca="1">OFFSET(gr_header,DG366+DE344,2*DH366+DF344)</f>
        <v>0</v>
      </c>
      <c r="DM366" s="123">
        <f ca="1">OFFSET(gr_header,DG366+DE344,2*DH366+1+DF344)</f>
        <v>0</v>
      </c>
      <c r="DO366" s="182"/>
      <c r="DP366" s="182"/>
      <c r="DQ366" s="182"/>
      <c r="DR366" s="182"/>
      <c r="DS366" s="182"/>
      <c r="DT366" s="182"/>
    </row>
    <row r="367" spans="109:124">
      <c r="DE367" s="159"/>
      <c r="DF367" s="159"/>
      <c r="DG367" s="159">
        <v>5</v>
      </c>
      <c r="DH367" s="159">
        <v>7</v>
      </c>
      <c r="DI367" s="123">
        <f t="shared" si="156"/>
        <v>13</v>
      </c>
      <c r="DJ367" s="36" t="str">
        <f ca="1">OFFSET(gr_header,DG367+DE344,1+DF344)</f>
        <v/>
      </c>
      <c r="DK367" s="36" t="str">
        <f ca="1">OFFSET(gr_header,DH367+DE344,1+DF344)</f>
        <v/>
      </c>
      <c r="DL367" s="123">
        <f ca="1">OFFSET(gr_header,DG367+DE344,2*DH367+DF344)</f>
        <v>0</v>
      </c>
      <c r="DM367" s="123">
        <f ca="1">OFFSET(gr_header,DG367+DE344,2*DH367+1+DF344)</f>
        <v>0</v>
      </c>
      <c r="DO367" s="182"/>
      <c r="DP367" s="182"/>
      <c r="DQ367" s="182"/>
      <c r="DR367" s="182"/>
      <c r="DS367" s="182"/>
      <c r="DT367" s="182"/>
    </row>
    <row r="368" spans="109:124">
      <c r="DE368" s="159"/>
      <c r="DF368" s="159"/>
      <c r="DG368" s="159">
        <v>5</v>
      </c>
      <c r="DH368" s="159">
        <v>8</v>
      </c>
      <c r="DI368" s="123">
        <f t="shared" si="156"/>
        <v>13</v>
      </c>
      <c r="DJ368" s="36" t="str">
        <f ca="1">OFFSET(gr_header,DG368+DE344,1+DF344)</f>
        <v/>
      </c>
      <c r="DK368" s="36" t="str">
        <f ca="1">OFFSET(gr_header,DH368+DE344,1+DF344)</f>
        <v/>
      </c>
      <c r="DL368" s="123">
        <f ca="1">OFFSET(gr_header,DG368+DE344,2*DH368+DF344)</f>
        <v>0</v>
      </c>
      <c r="DM368" s="123">
        <f ca="1">OFFSET(gr_header,DG368+DE344,2*DH368+1+DF344)</f>
        <v>0</v>
      </c>
      <c r="DO368" s="182"/>
      <c r="DP368" s="182"/>
      <c r="DQ368" s="182"/>
      <c r="DR368" s="182"/>
      <c r="DS368" s="182"/>
      <c r="DT368" s="182"/>
    </row>
    <row r="369" spans="109:124">
      <c r="DE369" s="159"/>
      <c r="DF369" s="159"/>
      <c r="DG369" s="159">
        <v>6</v>
      </c>
      <c r="DH369" s="159">
        <v>7</v>
      </c>
      <c r="DI369" s="123">
        <f t="shared" si="156"/>
        <v>13</v>
      </c>
      <c r="DJ369" s="36" t="str">
        <f ca="1">OFFSET(gr_header,DG369+DE344,1+DF344)</f>
        <v/>
      </c>
      <c r="DK369" s="36" t="str">
        <f ca="1">OFFSET(gr_header,DH369+DE344,1+DF344)</f>
        <v/>
      </c>
      <c r="DL369" s="123">
        <f ca="1">OFFSET(gr_header,DG369+DE344,2*DH369+DF344)</f>
        <v>0</v>
      </c>
      <c r="DM369" s="123">
        <f ca="1">OFFSET(gr_header,DG369+DE344,2*DH369+1+DF344)</f>
        <v>0</v>
      </c>
      <c r="DO369" s="182"/>
      <c r="DP369" s="182"/>
      <c r="DQ369" s="182"/>
      <c r="DR369" s="182"/>
      <c r="DS369" s="182"/>
      <c r="DT369" s="182"/>
    </row>
    <row r="370" spans="109:124">
      <c r="DE370" s="159"/>
      <c r="DF370" s="159"/>
      <c r="DG370" s="159">
        <v>6</v>
      </c>
      <c r="DH370" s="159">
        <v>8</v>
      </c>
      <c r="DI370" s="123">
        <f t="shared" si="156"/>
        <v>13</v>
      </c>
      <c r="DJ370" s="36" t="str">
        <f ca="1">OFFSET(gr_header,DG370+DE344,1+DF344)</f>
        <v/>
      </c>
      <c r="DK370" s="36" t="str">
        <f ca="1">OFFSET(gr_header,DH370+DE344,1+DF344)</f>
        <v/>
      </c>
      <c r="DL370" s="123">
        <f ca="1">OFFSET(gr_header,DG370+DE344,2*DH370+DF344)</f>
        <v>0</v>
      </c>
      <c r="DM370" s="123">
        <f ca="1">OFFSET(gr_header,DG370+DE344,2*DH370+1+DF344)</f>
        <v>0</v>
      </c>
      <c r="DO370" s="182"/>
      <c r="DP370" s="182"/>
      <c r="DQ370" s="182"/>
      <c r="DR370" s="182"/>
      <c r="DS370" s="182"/>
      <c r="DT370" s="182"/>
    </row>
    <row r="371" spans="109:124">
      <c r="DE371" s="159"/>
      <c r="DF371" s="159"/>
      <c r="DG371" s="159">
        <v>7</v>
      </c>
      <c r="DH371" s="159">
        <v>8</v>
      </c>
      <c r="DI371" s="123">
        <f t="shared" si="156"/>
        <v>13</v>
      </c>
      <c r="DJ371" s="36" t="str">
        <f ca="1">OFFSET(gr_header,DG371+DE344,1+DF344)</f>
        <v/>
      </c>
      <c r="DK371" s="36" t="str">
        <f ca="1">OFFSET(gr_header,DH371+DE344,1+DF344)</f>
        <v/>
      </c>
      <c r="DL371" s="123">
        <f ca="1">OFFSET(gr_header,DG371+DE344,2*DH371+DF344)</f>
        <v>0</v>
      </c>
      <c r="DM371" s="123">
        <f ca="1">OFFSET(gr_header,DG371+DE371,2*DH371+1+DF371)</f>
        <v>0</v>
      </c>
      <c r="DO371" s="182"/>
      <c r="DP371" s="182"/>
      <c r="DQ371" s="182"/>
      <c r="DR371" s="182"/>
      <c r="DS371" s="182"/>
      <c r="DT371" s="182"/>
    </row>
    <row r="372" spans="109:124">
      <c r="DE372" s="123">
        <f>DE373*shift1</f>
        <v>60</v>
      </c>
      <c r="DF372" s="123">
        <f>DF373*shift2</f>
        <v>24</v>
      </c>
      <c r="DG372" s="123">
        <v>1</v>
      </c>
      <c r="DH372" s="123">
        <v>2</v>
      </c>
      <c r="DI372" s="147">
        <f>DI344+1</f>
        <v>14</v>
      </c>
      <c r="DJ372" s="36" t="str">
        <f ca="1">OFFSET(gr_header,DG372+DE372,1+DF372)</f>
        <v/>
      </c>
      <c r="DK372" s="36" t="str">
        <f ca="1">OFFSET(gr_header,DH372+DE372,1+DF372)</f>
        <v/>
      </c>
      <c r="DL372" s="123">
        <f ca="1">OFFSET(gr_header,DG372+DE372,2*DH372+DF372)</f>
        <v>0</v>
      </c>
      <c r="DM372" s="123">
        <f ca="1">OFFSET(gr_header,DG372+DE372,2*DH372+1+DF372)</f>
        <v>0</v>
      </c>
      <c r="DO372" s="182"/>
      <c r="DP372" s="182"/>
      <c r="DQ372" s="182"/>
      <c r="DR372" s="182"/>
      <c r="DS372" s="182"/>
      <c r="DT372" s="182"/>
    </row>
    <row r="373" spans="109:124">
      <c r="DE373" s="123">
        <f>INT((DI372-1)/2)</f>
        <v>6</v>
      </c>
      <c r="DF373" s="123">
        <f>1-(INT((DI372+1)/2)*2-DI372)</f>
        <v>1</v>
      </c>
      <c r="DG373" s="123">
        <v>1</v>
      </c>
      <c r="DH373" s="123">
        <v>3</v>
      </c>
      <c r="DI373" s="123">
        <f>DI372</f>
        <v>14</v>
      </c>
      <c r="DJ373" s="36" t="str">
        <f ca="1">OFFSET(gr_header,DG373+DE372,1+DF372)</f>
        <v/>
      </c>
      <c r="DK373" s="36" t="str">
        <f ca="1">OFFSET(gr_header,DH373+DE372,1+DF372)</f>
        <v/>
      </c>
      <c r="DL373" s="123">
        <f ca="1">OFFSET(gr_header,DG373+DE372,2*DH373+DF372)</f>
        <v>0</v>
      </c>
      <c r="DM373" s="123">
        <f ca="1">OFFSET(gr_header,DG373+DE372,2*DH373+1+DF372)</f>
        <v>0</v>
      </c>
      <c r="DO373" s="182"/>
      <c r="DP373" s="182"/>
      <c r="DQ373" s="182"/>
      <c r="DR373" s="182"/>
      <c r="DS373" s="182"/>
      <c r="DT373" s="182"/>
    </row>
    <row r="374" spans="109:124">
      <c r="DG374" s="123">
        <v>1</v>
      </c>
      <c r="DH374" s="123">
        <v>4</v>
      </c>
      <c r="DI374" s="123">
        <f t="shared" ref="DI374:DI399" si="157">DI373</f>
        <v>14</v>
      </c>
      <c r="DJ374" s="36" t="str">
        <f ca="1">OFFSET(gr_header,DG374+DE372,1+DF372)</f>
        <v/>
      </c>
      <c r="DK374" s="36" t="str">
        <f ca="1">OFFSET(gr_header,DH374+DE372,1+DF372)</f>
        <v/>
      </c>
      <c r="DL374" s="123">
        <f ca="1">OFFSET(gr_header,DG374+DE372,2*DH374+DF372)</f>
        <v>0</v>
      </c>
      <c r="DM374" s="123">
        <f ca="1">OFFSET(gr_header,DG374+DE372,2*DH374+1+DF372)</f>
        <v>0</v>
      </c>
      <c r="DO374" s="182"/>
      <c r="DP374" s="182"/>
      <c r="DQ374" s="182"/>
      <c r="DR374" s="182"/>
      <c r="DS374" s="182"/>
      <c r="DT374" s="182"/>
    </row>
    <row r="375" spans="109:124">
      <c r="DG375" s="123">
        <v>1</v>
      </c>
      <c r="DH375" s="123">
        <v>5</v>
      </c>
      <c r="DI375" s="123">
        <f t="shared" si="157"/>
        <v>14</v>
      </c>
      <c r="DJ375" s="36" t="str">
        <f ca="1">OFFSET(gr_header,DG375+DE372,1+DF372)</f>
        <v/>
      </c>
      <c r="DK375" s="36" t="str">
        <f ca="1">OFFSET(gr_header,DH375+DE372,1+DF372)</f>
        <v/>
      </c>
      <c r="DL375" s="123">
        <f ca="1">OFFSET(gr_header,DG375+DE372,2*DH375+DF372)</f>
        <v>0</v>
      </c>
      <c r="DM375" s="123">
        <f ca="1">OFFSET(gr_header,DG375+DE372,2*DH375+1+DF372)</f>
        <v>0</v>
      </c>
      <c r="DO375" s="182"/>
      <c r="DP375" s="182"/>
      <c r="DQ375" s="182"/>
      <c r="DR375" s="182"/>
      <c r="DS375" s="182"/>
      <c r="DT375" s="182"/>
    </row>
    <row r="376" spans="109:124">
      <c r="DG376" s="123">
        <v>1</v>
      </c>
      <c r="DH376" s="123">
        <v>6</v>
      </c>
      <c r="DI376" s="123">
        <f t="shared" si="157"/>
        <v>14</v>
      </c>
      <c r="DJ376" s="36" t="str">
        <f ca="1">OFFSET(gr_header,DG376+DE372,1+DF372)</f>
        <v/>
      </c>
      <c r="DK376" s="36" t="str">
        <f ca="1">OFFSET(gr_header,DH376+DE372,1+DF372)</f>
        <v/>
      </c>
      <c r="DL376" s="123">
        <f ca="1">OFFSET(gr_header,DG376+DE372,2*DH376+DF372)</f>
        <v>0</v>
      </c>
      <c r="DM376" s="123">
        <f ca="1">OFFSET(gr_header,DG376+DE372,2*DH376+1+DF372)</f>
        <v>0</v>
      </c>
      <c r="DO376" s="182"/>
      <c r="DP376" s="182"/>
      <c r="DQ376" s="182"/>
      <c r="DR376" s="182"/>
      <c r="DS376" s="182"/>
      <c r="DT376" s="182"/>
    </row>
    <row r="377" spans="109:124">
      <c r="DG377" s="123">
        <v>1</v>
      </c>
      <c r="DH377" s="123">
        <v>7</v>
      </c>
      <c r="DI377" s="123">
        <f t="shared" si="157"/>
        <v>14</v>
      </c>
      <c r="DJ377" s="36" t="str">
        <f ca="1">OFFSET(gr_header,DG377+DE372,1+DF372)</f>
        <v/>
      </c>
      <c r="DK377" s="36" t="str">
        <f ca="1">OFFSET(gr_header,DH377+DE372,1+DF372)</f>
        <v/>
      </c>
      <c r="DL377" s="123">
        <f ca="1">OFFSET(gr_header,DG377+DE372,2*DH377+DF372)</f>
        <v>0</v>
      </c>
      <c r="DM377" s="123">
        <f ca="1">OFFSET(gr_header,DG377+DE372,2*DH377+1+DF372)</f>
        <v>0</v>
      </c>
      <c r="DO377" s="182"/>
      <c r="DP377" s="182"/>
      <c r="DQ377" s="182"/>
      <c r="DR377" s="182"/>
      <c r="DS377" s="182"/>
      <c r="DT377" s="182"/>
    </row>
    <row r="378" spans="109:124">
      <c r="DE378" s="159"/>
      <c r="DF378" s="159"/>
      <c r="DG378" s="159">
        <v>1</v>
      </c>
      <c r="DH378" s="123">
        <v>8</v>
      </c>
      <c r="DI378" s="123">
        <f t="shared" si="157"/>
        <v>14</v>
      </c>
      <c r="DJ378" s="36" t="str">
        <f ca="1">OFFSET(gr_header,DG378+DE372,1+DF372)</f>
        <v/>
      </c>
      <c r="DK378" s="36" t="str">
        <f ca="1">OFFSET(gr_header,DH378+DE372,1+DF372)</f>
        <v/>
      </c>
      <c r="DL378" s="123">
        <f ca="1">OFFSET(gr_header,DG378+DE372,2*DH378+DF372)</f>
        <v>0</v>
      </c>
      <c r="DM378" s="123">
        <f ca="1">OFFSET(gr_header,DG378+DE372,2*DH378+1+DF372)</f>
        <v>0</v>
      </c>
      <c r="DO378" s="182"/>
      <c r="DP378" s="182"/>
      <c r="DQ378" s="182"/>
      <c r="DR378" s="182"/>
      <c r="DS378" s="182"/>
      <c r="DT378" s="182"/>
    </row>
    <row r="379" spans="109:124">
      <c r="DE379" s="159"/>
      <c r="DF379" s="159"/>
      <c r="DG379" s="159">
        <v>2</v>
      </c>
      <c r="DH379" s="159">
        <v>3</v>
      </c>
      <c r="DI379" s="123">
        <f t="shared" si="157"/>
        <v>14</v>
      </c>
      <c r="DJ379" s="36" t="str">
        <f ca="1">OFFSET(gr_header,DG379+DE372,1+DF372)</f>
        <v/>
      </c>
      <c r="DK379" s="36" t="str">
        <f ca="1">OFFSET(gr_header,DH379+DE372,1+DF372)</f>
        <v/>
      </c>
      <c r="DL379" s="123">
        <f ca="1">OFFSET(gr_header,DG379+DE372,2*DH379+DF372)</f>
        <v>0</v>
      </c>
      <c r="DM379" s="123">
        <f ca="1">OFFSET(gr_header,DG379+DE372,2*DH379+1+DF372)</f>
        <v>0</v>
      </c>
      <c r="DO379" s="182"/>
      <c r="DP379" s="182"/>
      <c r="DQ379" s="182"/>
      <c r="DR379" s="182"/>
      <c r="DS379" s="182"/>
      <c r="DT379" s="182"/>
    </row>
    <row r="380" spans="109:124">
      <c r="DE380" s="159"/>
      <c r="DF380" s="159"/>
      <c r="DG380" s="159">
        <v>2</v>
      </c>
      <c r="DH380" s="159">
        <v>4</v>
      </c>
      <c r="DI380" s="123">
        <f t="shared" si="157"/>
        <v>14</v>
      </c>
      <c r="DJ380" s="36" t="str">
        <f ca="1">OFFSET(gr_header,DG380+DE372,1+DF372)</f>
        <v/>
      </c>
      <c r="DK380" s="36" t="str">
        <f ca="1">OFFSET(gr_header,DH380+DE372,1+DF372)</f>
        <v/>
      </c>
      <c r="DL380" s="123">
        <f ca="1">OFFSET(gr_header,DG380+DE372,2*DH380+DF372)</f>
        <v>0</v>
      </c>
      <c r="DM380" s="123">
        <f ca="1">OFFSET(gr_header,DG380+DE372,2*DH380+1+DF372)</f>
        <v>0</v>
      </c>
      <c r="DO380" s="182"/>
      <c r="DP380" s="182"/>
      <c r="DQ380" s="182"/>
      <c r="DR380" s="182"/>
      <c r="DS380" s="182"/>
      <c r="DT380" s="182"/>
    </row>
    <row r="381" spans="109:124">
      <c r="DE381" s="159"/>
      <c r="DF381" s="159"/>
      <c r="DG381" s="159">
        <v>2</v>
      </c>
      <c r="DH381" s="159">
        <v>5</v>
      </c>
      <c r="DI381" s="123">
        <f t="shared" si="157"/>
        <v>14</v>
      </c>
      <c r="DJ381" s="36" t="str">
        <f ca="1">OFFSET(gr_header,DG381+DE372,1+DF372)</f>
        <v/>
      </c>
      <c r="DK381" s="36" t="str">
        <f ca="1">OFFSET(gr_header,DH381+DE372,1+DF372)</f>
        <v/>
      </c>
      <c r="DL381" s="123">
        <f ca="1">OFFSET(gr_header,DG381+DE372,2*DH381+DF372)</f>
        <v>0</v>
      </c>
      <c r="DM381" s="123">
        <f ca="1">OFFSET(gr_header,DG381+DE372,2*DH381+1+DF372)</f>
        <v>0</v>
      </c>
      <c r="DO381" s="182"/>
      <c r="DP381" s="182"/>
      <c r="DQ381" s="182"/>
      <c r="DR381" s="182"/>
      <c r="DS381" s="182"/>
      <c r="DT381" s="182"/>
    </row>
    <row r="382" spans="109:124">
      <c r="DE382" s="159"/>
      <c r="DF382" s="159"/>
      <c r="DG382" s="159">
        <v>2</v>
      </c>
      <c r="DH382" s="159">
        <v>6</v>
      </c>
      <c r="DI382" s="123">
        <f t="shared" si="157"/>
        <v>14</v>
      </c>
      <c r="DJ382" s="36" t="str">
        <f ca="1">OFFSET(gr_header,DG382+DE372,1+DF372)</f>
        <v/>
      </c>
      <c r="DK382" s="36" t="str">
        <f ca="1">OFFSET(gr_header,DH382+DE372,1+DF372)</f>
        <v/>
      </c>
      <c r="DL382" s="123">
        <f ca="1">OFFSET(gr_header,DG382+DE372,2*DH382+DF372)</f>
        <v>0</v>
      </c>
      <c r="DM382" s="123">
        <f ca="1">OFFSET(gr_header,DG382+DE372,2*DH382+1+DF372)</f>
        <v>0</v>
      </c>
      <c r="DO382" s="182"/>
      <c r="DP382" s="182"/>
      <c r="DQ382" s="182"/>
      <c r="DR382" s="182"/>
      <c r="DS382" s="182"/>
      <c r="DT382" s="182"/>
    </row>
    <row r="383" spans="109:124">
      <c r="DE383" s="159"/>
      <c r="DF383" s="159"/>
      <c r="DG383" s="159">
        <v>2</v>
      </c>
      <c r="DH383" s="159">
        <v>7</v>
      </c>
      <c r="DI383" s="123">
        <f t="shared" si="157"/>
        <v>14</v>
      </c>
      <c r="DJ383" s="36" t="str">
        <f ca="1">OFFSET(gr_header,DG383+DE372,1+DF372)</f>
        <v/>
      </c>
      <c r="DK383" s="36" t="str">
        <f ca="1">OFFSET(gr_header,DH383+DE372,1+DF372)</f>
        <v/>
      </c>
      <c r="DL383" s="123">
        <f ca="1">OFFSET(gr_header,DG383+DE372,2*DH383+DF372)</f>
        <v>0</v>
      </c>
      <c r="DM383" s="123">
        <f ca="1">OFFSET(gr_header,DG383+DE372,2*DH383+1+DF372)</f>
        <v>0</v>
      </c>
      <c r="DO383" s="182"/>
      <c r="DP383" s="182"/>
      <c r="DQ383" s="182"/>
      <c r="DR383" s="182"/>
      <c r="DS383" s="182"/>
      <c r="DT383" s="182"/>
    </row>
    <row r="384" spans="109:124">
      <c r="DE384" s="159"/>
      <c r="DF384" s="159"/>
      <c r="DG384" s="159">
        <v>2</v>
      </c>
      <c r="DH384" s="159">
        <v>8</v>
      </c>
      <c r="DI384" s="123">
        <f t="shared" si="157"/>
        <v>14</v>
      </c>
      <c r="DJ384" s="36" t="str">
        <f ca="1">OFFSET(gr_header,DG384+DE372,1+DF372)</f>
        <v/>
      </c>
      <c r="DK384" s="36" t="str">
        <f ca="1">OFFSET(gr_header,DH384+DE372,1+DF372)</f>
        <v/>
      </c>
      <c r="DL384" s="123">
        <f ca="1">OFFSET(gr_header,DG384+DE372,2*DH384+DF372)</f>
        <v>0</v>
      </c>
      <c r="DM384" s="123">
        <f ca="1">OFFSET(gr_header,DG384+DE372,2*DH384+1+DF372)</f>
        <v>0</v>
      </c>
      <c r="DO384" s="182"/>
      <c r="DP384" s="182"/>
      <c r="DQ384" s="182"/>
      <c r="DR384" s="182"/>
      <c r="DS384" s="182"/>
      <c r="DT384" s="182"/>
    </row>
    <row r="385" spans="109:124">
      <c r="DE385" s="159"/>
      <c r="DF385" s="159"/>
      <c r="DG385" s="159">
        <v>3</v>
      </c>
      <c r="DH385" s="159">
        <v>4</v>
      </c>
      <c r="DI385" s="123">
        <f t="shared" si="157"/>
        <v>14</v>
      </c>
      <c r="DJ385" s="36" t="str">
        <f ca="1">OFFSET(gr_header,DG385+DE372,1+DF372)</f>
        <v/>
      </c>
      <c r="DK385" s="36" t="str">
        <f ca="1">OFFSET(gr_header,DH385+DE372,1+DF372)</f>
        <v/>
      </c>
      <c r="DL385" s="123">
        <f ca="1">OFFSET(gr_header,DG385+DE372,2*DH385+DF372)</f>
        <v>0</v>
      </c>
      <c r="DM385" s="123">
        <f ca="1">OFFSET(gr_header,DG385+DE372,2*DH385+1+DF372)</f>
        <v>0</v>
      </c>
      <c r="DO385" s="182"/>
      <c r="DP385" s="182"/>
      <c r="DQ385" s="182"/>
      <c r="DR385" s="182"/>
      <c r="DS385" s="182"/>
      <c r="DT385" s="182"/>
    </row>
    <row r="386" spans="109:124">
      <c r="DE386" s="159"/>
      <c r="DF386" s="159"/>
      <c r="DG386" s="159">
        <v>3</v>
      </c>
      <c r="DH386" s="159">
        <v>5</v>
      </c>
      <c r="DI386" s="123">
        <f t="shared" si="157"/>
        <v>14</v>
      </c>
      <c r="DJ386" s="36" t="str">
        <f ca="1">OFFSET(gr_header,DG386+DE372,1+DF372)</f>
        <v/>
      </c>
      <c r="DK386" s="36" t="str">
        <f ca="1">OFFSET(gr_header,DH386+DE372,1+DF372)</f>
        <v/>
      </c>
      <c r="DL386" s="123">
        <f ca="1">OFFSET(gr_header,DG386+DE372,2*DH386+DF372)</f>
        <v>0</v>
      </c>
      <c r="DM386" s="123">
        <f ca="1">OFFSET(gr_header,DG386+DE372,2*DH386+1+DF372)</f>
        <v>0</v>
      </c>
      <c r="DO386" s="182"/>
      <c r="DP386" s="182"/>
      <c r="DQ386" s="182"/>
      <c r="DR386" s="182"/>
      <c r="DS386" s="182"/>
      <c r="DT386" s="182"/>
    </row>
    <row r="387" spans="109:124">
      <c r="DE387" s="159"/>
      <c r="DF387" s="159"/>
      <c r="DG387" s="159">
        <v>3</v>
      </c>
      <c r="DH387" s="159">
        <v>6</v>
      </c>
      <c r="DI387" s="123">
        <f t="shared" si="157"/>
        <v>14</v>
      </c>
      <c r="DJ387" s="36" t="str">
        <f ca="1">OFFSET(gr_header,DG387+DE372,1+DF372)</f>
        <v/>
      </c>
      <c r="DK387" s="36" t="str">
        <f ca="1">OFFSET(gr_header,DH387+DE372,1+DF372)</f>
        <v/>
      </c>
      <c r="DL387" s="123">
        <f ca="1">OFFSET(gr_header,DG387+DE372,2*DH387+DF372)</f>
        <v>0</v>
      </c>
      <c r="DM387" s="123">
        <f ca="1">OFFSET(gr_header,DG387+DE372,2*DH387+1+DF372)</f>
        <v>0</v>
      </c>
      <c r="DO387" s="182"/>
      <c r="DP387" s="182"/>
      <c r="DQ387" s="182"/>
      <c r="DR387" s="182"/>
      <c r="DS387" s="182"/>
      <c r="DT387" s="182"/>
    </row>
    <row r="388" spans="109:124">
      <c r="DE388" s="159"/>
      <c r="DF388" s="159"/>
      <c r="DG388" s="159">
        <v>3</v>
      </c>
      <c r="DH388" s="159">
        <v>7</v>
      </c>
      <c r="DI388" s="123">
        <f t="shared" si="157"/>
        <v>14</v>
      </c>
      <c r="DJ388" s="36" t="str">
        <f ca="1">OFFSET(gr_header,DG388+DE372,1+DF372)</f>
        <v/>
      </c>
      <c r="DK388" s="36" t="str">
        <f ca="1">OFFSET(gr_header,DH388+DE372,1+DF372)</f>
        <v/>
      </c>
      <c r="DL388" s="123">
        <f ca="1">OFFSET(gr_header,DG388+DE372,2*DH388+DF372)</f>
        <v>0</v>
      </c>
      <c r="DM388" s="123">
        <f ca="1">OFFSET(gr_header,DG388+DE372,2*DH388+1+DF372)</f>
        <v>0</v>
      </c>
      <c r="DO388" s="182"/>
      <c r="DP388" s="182"/>
      <c r="DQ388" s="182"/>
      <c r="DR388" s="182"/>
      <c r="DS388" s="182"/>
      <c r="DT388" s="182"/>
    </row>
    <row r="389" spans="109:124">
      <c r="DE389" s="159"/>
      <c r="DF389" s="159"/>
      <c r="DG389" s="159">
        <v>3</v>
      </c>
      <c r="DH389" s="159">
        <v>8</v>
      </c>
      <c r="DI389" s="123">
        <f t="shared" si="157"/>
        <v>14</v>
      </c>
      <c r="DJ389" s="36" t="str">
        <f ca="1">OFFSET(gr_header,DG389+DE372,1+DF372)</f>
        <v/>
      </c>
      <c r="DK389" s="36" t="str">
        <f ca="1">OFFSET(gr_header,DH389+DE372,1+DF372)</f>
        <v/>
      </c>
      <c r="DL389" s="123">
        <f ca="1">OFFSET(gr_header,DG389+DE372,2*DH389+DF372)</f>
        <v>0</v>
      </c>
      <c r="DM389" s="123">
        <f ca="1">OFFSET(gr_header,DG389+DE372,2*DH389+1+DF372)</f>
        <v>0</v>
      </c>
      <c r="DO389" s="182"/>
      <c r="DP389" s="182"/>
      <c r="DQ389" s="182"/>
      <c r="DR389" s="182"/>
      <c r="DS389" s="182"/>
      <c r="DT389" s="182"/>
    </row>
    <row r="390" spans="109:124">
      <c r="DE390" s="159"/>
      <c r="DF390" s="159"/>
      <c r="DG390" s="159">
        <v>4</v>
      </c>
      <c r="DH390" s="159">
        <v>5</v>
      </c>
      <c r="DI390" s="123">
        <f t="shared" si="157"/>
        <v>14</v>
      </c>
      <c r="DJ390" s="36" t="str">
        <f ca="1">OFFSET(gr_header,DG390+DE372,1+DF372)</f>
        <v/>
      </c>
      <c r="DK390" s="36" t="str">
        <f ca="1">OFFSET(gr_header,DH390+DE372,1+DF372)</f>
        <v/>
      </c>
      <c r="DL390" s="123">
        <f ca="1">OFFSET(gr_header,DG390+DE372,2*DH390+DF372)</f>
        <v>0</v>
      </c>
      <c r="DM390" s="123">
        <f ca="1">OFFSET(gr_header,DG390+DE372,2*DH390+1+DF372)</f>
        <v>0</v>
      </c>
      <c r="DO390" s="182"/>
      <c r="DP390" s="182"/>
      <c r="DQ390" s="182"/>
      <c r="DR390" s="182"/>
      <c r="DS390" s="182"/>
      <c r="DT390" s="182"/>
    </row>
    <row r="391" spans="109:124">
      <c r="DE391" s="159"/>
      <c r="DF391" s="159"/>
      <c r="DG391" s="159">
        <v>4</v>
      </c>
      <c r="DH391" s="159">
        <v>6</v>
      </c>
      <c r="DI391" s="123">
        <f t="shared" si="157"/>
        <v>14</v>
      </c>
      <c r="DJ391" s="36" t="str">
        <f ca="1">OFFSET(gr_header,DG391+DE372,1+DF372)</f>
        <v/>
      </c>
      <c r="DK391" s="36" t="str">
        <f ca="1">OFFSET(gr_header,DH391+DE372,1+DF372)</f>
        <v/>
      </c>
      <c r="DL391" s="123">
        <f ca="1">OFFSET(gr_header,DG391+DE372,2*DH391+DF372)</f>
        <v>0</v>
      </c>
      <c r="DM391" s="123">
        <f ca="1">OFFSET(gr_header,DG391+DE372,2*DH391+1+DF372)</f>
        <v>0</v>
      </c>
      <c r="DO391" s="182"/>
      <c r="DP391" s="182"/>
      <c r="DQ391" s="182"/>
      <c r="DR391" s="182"/>
      <c r="DS391" s="182"/>
      <c r="DT391" s="182"/>
    </row>
    <row r="392" spans="109:124">
      <c r="DE392" s="159"/>
      <c r="DF392" s="159"/>
      <c r="DG392" s="159">
        <v>4</v>
      </c>
      <c r="DH392" s="159">
        <v>7</v>
      </c>
      <c r="DI392" s="123">
        <f t="shared" si="157"/>
        <v>14</v>
      </c>
      <c r="DJ392" s="36" t="str">
        <f ca="1">OFFSET(gr_header,DG392+DE372,1+DF372)</f>
        <v/>
      </c>
      <c r="DK392" s="36" t="str">
        <f ca="1">OFFSET(gr_header,DH392+DE372,1+DF372)</f>
        <v/>
      </c>
      <c r="DL392" s="123">
        <f ca="1">OFFSET(gr_header,DG392+DE372,2*DH392+DF372)</f>
        <v>0</v>
      </c>
      <c r="DM392" s="123">
        <f ca="1">OFFSET(gr_header,DG392+DE372,2*DH392+1+DF372)</f>
        <v>0</v>
      </c>
      <c r="DO392" s="182"/>
      <c r="DP392" s="182"/>
      <c r="DQ392" s="182"/>
      <c r="DR392" s="182"/>
      <c r="DS392" s="182"/>
      <c r="DT392" s="182"/>
    </row>
    <row r="393" spans="109:124">
      <c r="DE393" s="159"/>
      <c r="DF393" s="159"/>
      <c r="DG393" s="159">
        <v>4</v>
      </c>
      <c r="DH393" s="159">
        <v>8</v>
      </c>
      <c r="DI393" s="123">
        <f t="shared" si="157"/>
        <v>14</v>
      </c>
      <c r="DJ393" s="36" t="str">
        <f ca="1">OFFSET(gr_header,DG393+DE372,1+DF372)</f>
        <v/>
      </c>
      <c r="DK393" s="36" t="str">
        <f ca="1">OFFSET(gr_header,DH393+DE372,1+DF372)</f>
        <v/>
      </c>
      <c r="DL393" s="123">
        <f ca="1">OFFSET(gr_header,DG393+DE372,2*DH393+DF372)</f>
        <v>0</v>
      </c>
      <c r="DM393" s="123">
        <f ca="1">OFFSET(gr_header,DG393+DE372,2*DH393+1+DF372)</f>
        <v>0</v>
      </c>
      <c r="DO393" s="182"/>
      <c r="DP393" s="182"/>
      <c r="DQ393" s="182"/>
      <c r="DR393" s="182"/>
      <c r="DS393" s="182"/>
      <c r="DT393" s="182"/>
    </row>
    <row r="394" spans="109:124">
      <c r="DE394" s="159"/>
      <c r="DF394" s="159"/>
      <c r="DG394" s="159">
        <v>5</v>
      </c>
      <c r="DH394" s="159">
        <v>6</v>
      </c>
      <c r="DI394" s="123">
        <f t="shared" si="157"/>
        <v>14</v>
      </c>
      <c r="DJ394" s="36" t="str">
        <f ca="1">OFFSET(gr_header,DG394+DE372,1+DF372)</f>
        <v/>
      </c>
      <c r="DK394" s="36" t="str">
        <f ca="1">OFFSET(gr_header,DH394+DE372,1+DF372)</f>
        <v/>
      </c>
      <c r="DL394" s="123">
        <f ca="1">OFFSET(gr_header,DG394+DE372,2*DH394+DF372)</f>
        <v>0</v>
      </c>
      <c r="DM394" s="123">
        <f ca="1">OFFSET(gr_header,DG394+DE372,2*DH394+1+DF372)</f>
        <v>0</v>
      </c>
      <c r="DO394" s="182"/>
      <c r="DP394" s="182"/>
      <c r="DQ394" s="182"/>
      <c r="DR394" s="182"/>
      <c r="DS394" s="182"/>
      <c r="DT394" s="182"/>
    </row>
    <row r="395" spans="109:124">
      <c r="DE395" s="159"/>
      <c r="DF395" s="159"/>
      <c r="DG395" s="159">
        <v>5</v>
      </c>
      <c r="DH395" s="159">
        <v>7</v>
      </c>
      <c r="DI395" s="123">
        <f t="shared" si="157"/>
        <v>14</v>
      </c>
      <c r="DJ395" s="36" t="str">
        <f ca="1">OFFSET(gr_header,DG395+DE372,1+DF372)</f>
        <v/>
      </c>
      <c r="DK395" s="36" t="str">
        <f ca="1">OFFSET(gr_header,DH395+DE372,1+DF372)</f>
        <v/>
      </c>
      <c r="DL395" s="123">
        <f ca="1">OFFSET(gr_header,DG395+DE372,2*DH395+DF372)</f>
        <v>0</v>
      </c>
      <c r="DM395" s="123">
        <f ca="1">OFFSET(gr_header,DG395+DE372,2*DH395+1+DF372)</f>
        <v>0</v>
      </c>
      <c r="DO395" s="182"/>
      <c r="DP395" s="182"/>
      <c r="DQ395" s="182"/>
      <c r="DR395" s="182"/>
      <c r="DS395" s="182"/>
      <c r="DT395" s="182"/>
    </row>
    <row r="396" spans="109:124">
      <c r="DE396" s="159"/>
      <c r="DF396" s="159"/>
      <c r="DG396" s="159">
        <v>5</v>
      </c>
      <c r="DH396" s="159">
        <v>8</v>
      </c>
      <c r="DI396" s="123">
        <f t="shared" si="157"/>
        <v>14</v>
      </c>
      <c r="DJ396" s="36" t="str">
        <f ca="1">OFFSET(gr_header,DG396+DE372,1+DF372)</f>
        <v/>
      </c>
      <c r="DK396" s="36" t="str">
        <f ca="1">OFFSET(gr_header,DH396+DE372,1+DF372)</f>
        <v/>
      </c>
      <c r="DL396" s="123">
        <f ca="1">OFFSET(gr_header,DG396+DE372,2*DH396+DF372)</f>
        <v>0</v>
      </c>
      <c r="DM396" s="123">
        <f ca="1">OFFSET(gr_header,DG396+DE372,2*DH396+1+DF372)</f>
        <v>0</v>
      </c>
      <c r="DO396" s="182"/>
      <c r="DP396" s="182"/>
      <c r="DQ396" s="182"/>
      <c r="DR396" s="182"/>
      <c r="DS396" s="182"/>
      <c r="DT396" s="182"/>
    </row>
    <row r="397" spans="109:124">
      <c r="DE397" s="159"/>
      <c r="DF397" s="159"/>
      <c r="DG397" s="159">
        <v>6</v>
      </c>
      <c r="DH397" s="159">
        <v>7</v>
      </c>
      <c r="DI397" s="123">
        <f t="shared" si="157"/>
        <v>14</v>
      </c>
      <c r="DJ397" s="36" t="str">
        <f ca="1">OFFSET(gr_header,DG397+DE372,1+DF372)</f>
        <v/>
      </c>
      <c r="DK397" s="36" t="str">
        <f ca="1">OFFSET(gr_header,DH397+DE372,1+DF372)</f>
        <v/>
      </c>
      <c r="DL397" s="123">
        <f ca="1">OFFSET(gr_header,DG397+DE372,2*DH397+DF372)</f>
        <v>0</v>
      </c>
      <c r="DM397" s="123">
        <f ca="1">OFFSET(gr_header,DG397+DE372,2*DH397+1+DF372)</f>
        <v>0</v>
      </c>
      <c r="DO397" s="182"/>
      <c r="DP397" s="182"/>
      <c r="DQ397" s="182"/>
      <c r="DR397" s="182"/>
      <c r="DS397" s="182"/>
      <c r="DT397" s="182"/>
    </row>
    <row r="398" spans="109:124">
      <c r="DE398" s="159"/>
      <c r="DF398" s="159"/>
      <c r="DG398" s="159">
        <v>6</v>
      </c>
      <c r="DH398" s="159">
        <v>8</v>
      </c>
      <c r="DI398" s="123">
        <f t="shared" si="157"/>
        <v>14</v>
      </c>
      <c r="DJ398" s="36" t="str">
        <f ca="1">OFFSET(gr_header,DG398+DE372,1+DF372)</f>
        <v/>
      </c>
      <c r="DK398" s="36" t="str">
        <f ca="1">OFFSET(gr_header,DH398+DE372,1+DF372)</f>
        <v/>
      </c>
      <c r="DL398" s="123">
        <f ca="1">OFFSET(gr_header,DG398+DE372,2*DH398+DF372)</f>
        <v>0</v>
      </c>
      <c r="DM398" s="123">
        <f ca="1">OFFSET(gr_header,DG398+DE372,2*DH398+1+DF372)</f>
        <v>0</v>
      </c>
      <c r="DO398" s="182"/>
      <c r="DP398" s="182"/>
      <c r="DQ398" s="182"/>
      <c r="DR398" s="182"/>
      <c r="DS398" s="182"/>
      <c r="DT398" s="182"/>
    </row>
    <row r="399" spans="109:124">
      <c r="DE399" s="159"/>
      <c r="DF399" s="159"/>
      <c r="DG399" s="159">
        <v>7</v>
      </c>
      <c r="DH399" s="159">
        <v>8</v>
      </c>
      <c r="DI399" s="123">
        <f t="shared" si="157"/>
        <v>14</v>
      </c>
      <c r="DJ399" s="36" t="str">
        <f ca="1">OFFSET(gr_header,DG399+DE372,1+DF372)</f>
        <v/>
      </c>
      <c r="DK399" s="36" t="str">
        <f ca="1">OFFSET(gr_header,DH399+DE372,1+DF372)</f>
        <v/>
      </c>
      <c r="DL399" s="123">
        <f ca="1">OFFSET(gr_header,DG399+DE372,2*DH399+DF372)</f>
        <v>0</v>
      </c>
      <c r="DM399" s="123">
        <f ca="1">OFFSET(gr_header,DG399+DE399,2*DH399+1+DF399)</f>
        <v>0</v>
      </c>
      <c r="DO399" s="182"/>
      <c r="DP399" s="182"/>
      <c r="DQ399" s="182"/>
      <c r="DR399" s="182"/>
      <c r="DS399" s="182"/>
      <c r="DT399" s="182"/>
    </row>
    <row r="400" spans="109:124">
      <c r="DE400" s="123">
        <f>DE401*shift1</f>
        <v>70</v>
      </c>
      <c r="DF400" s="123">
        <f>DF401*shift2</f>
        <v>0</v>
      </c>
      <c r="DG400" s="123">
        <v>1</v>
      </c>
      <c r="DH400" s="123">
        <v>2</v>
      </c>
      <c r="DI400" s="147">
        <f>DI372+1</f>
        <v>15</v>
      </c>
      <c r="DJ400" s="36" t="str">
        <f ca="1">OFFSET(gr_header,DG400+DE400,1+DF400)</f>
        <v/>
      </c>
      <c r="DK400" s="36" t="str">
        <f ca="1">OFFSET(gr_header,DH400+DE400,1+DF400)</f>
        <v/>
      </c>
      <c r="DL400" s="123">
        <f ca="1">OFFSET(gr_header,DG400+DE400,2*DH400+DF400)</f>
        <v>0</v>
      </c>
      <c r="DM400" s="123">
        <f ca="1">OFFSET(gr_header,DG400+DE400,2*DH400+1+DF400)</f>
        <v>0</v>
      </c>
      <c r="DO400" s="182"/>
      <c r="DP400" s="182"/>
      <c r="DQ400" s="182"/>
      <c r="DR400" s="182"/>
      <c r="DS400" s="182"/>
      <c r="DT400" s="182"/>
    </row>
    <row r="401" spans="109:124">
      <c r="DE401" s="123">
        <f>INT((DI400-1)/2)</f>
        <v>7</v>
      </c>
      <c r="DF401" s="123">
        <f>1-(INT((DI400+1)/2)*2-DI400)</f>
        <v>0</v>
      </c>
      <c r="DG401" s="123">
        <v>1</v>
      </c>
      <c r="DH401" s="123">
        <v>3</v>
      </c>
      <c r="DI401" s="123">
        <f>DI400</f>
        <v>15</v>
      </c>
      <c r="DJ401" s="36" t="str">
        <f ca="1">OFFSET(gr_header,DG401+DE400,1+DF400)</f>
        <v/>
      </c>
      <c r="DK401" s="36" t="str">
        <f ca="1">OFFSET(gr_header,DH401+DE400,1+DF400)</f>
        <v/>
      </c>
      <c r="DL401" s="123">
        <f ca="1">OFFSET(gr_header,DG401+DE400,2*DH401+DF400)</f>
        <v>0</v>
      </c>
      <c r="DM401" s="123">
        <f ca="1">OFFSET(gr_header,DG401+DE400,2*DH401+1+DF400)</f>
        <v>0</v>
      </c>
      <c r="DO401" s="182"/>
      <c r="DP401" s="182"/>
      <c r="DQ401" s="182"/>
      <c r="DR401" s="182"/>
      <c r="DS401" s="182"/>
      <c r="DT401" s="182"/>
    </row>
    <row r="402" spans="109:124">
      <c r="DG402" s="123">
        <v>1</v>
      </c>
      <c r="DH402" s="123">
        <v>4</v>
      </c>
      <c r="DI402" s="123">
        <f t="shared" ref="DI402:DI427" si="158">DI401</f>
        <v>15</v>
      </c>
      <c r="DJ402" s="36" t="str">
        <f ca="1">OFFSET(gr_header,DG402+DE400,1+DF400)</f>
        <v/>
      </c>
      <c r="DK402" s="36" t="str">
        <f ca="1">OFFSET(gr_header,DH402+DE400,1+DF400)</f>
        <v/>
      </c>
      <c r="DL402" s="123">
        <f ca="1">OFFSET(gr_header,DG402+DE400,2*DH402+DF400)</f>
        <v>0</v>
      </c>
      <c r="DM402" s="123">
        <f ca="1">OFFSET(gr_header,DG402+DE400,2*DH402+1+DF400)</f>
        <v>0</v>
      </c>
      <c r="DO402" s="182"/>
      <c r="DP402" s="182"/>
      <c r="DQ402" s="182"/>
      <c r="DR402" s="182"/>
      <c r="DS402" s="182"/>
      <c r="DT402" s="182"/>
    </row>
    <row r="403" spans="109:124">
      <c r="DG403" s="123">
        <v>1</v>
      </c>
      <c r="DH403" s="123">
        <v>5</v>
      </c>
      <c r="DI403" s="123">
        <f t="shared" si="158"/>
        <v>15</v>
      </c>
      <c r="DJ403" s="36" t="str">
        <f ca="1">OFFSET(gr_header,DG403+DE400,1+DF400)</f>
        <v/>
      </c>
      <c r="DK403" s="36" t="str">
        <f ca="1">OFFSET(gr_header,DH403+DE400,1+DF400)</f>
        <v/>
      </c>
      <c r="DL403" s="123">
        <f ca="1">OFFSET(gr_header,DG403+DE400,2*DH403+DF400)</f>
        <v>0</v>
      </c>
      <c r="DM403" s="123">
        <f ca="1">OFFSET(gr_header,DG403+DE400,2*DH403+1+DF400)</f>
        <v>0</v>
      </c>
      <c r="DO403" s="182"/>
      <c r="DP403" s="182"/>
      <c r="DQ403" s="182"/>
      <c r="DR403" s="182"/>
      <c r="DS403" s="182"/>
      <c r="DT403" s="182"/>
    </row>
    <row r="404" spans="109:124">
      <c r="DG404" s="123">
        <v>1</v>
      </c>
      <c r="DH404" s="123">
        <v>6</v>
      </c>
      <c r="DI404" s="123">
        <f t="shared" si="158"/>
        <v>15</v>
      </c>
      <c r="DJ404" s="36" t="str">
        <f ca="1">OFFSET(gr_header,DG404+DE400,1+DF400)</f>
        <v/>
      </c>
      <c r="DK404" s="36" t="str">
        <f ca="1">OFFSET(gr_header,DH404+DE400,1+DF400)</f>
        <v/>
      </c>
      <c r="DL404" s="123">
        <f ca="1">OFFSET(gr_header,DG404+DE400,2*DH404+DF400)</f>
        <v>0</v>
      </c>
      <c r="DM404" s="123">
        <f ca="1">OFFSET(gr_header,DG404+DE400,2*DH404+1+DF400)</f>
        <v>0</v>
      </c>
      <c r="DO404" s="182"/>
      <c r="DP404" s="182"/>
      <c r="DQ404" s="182"/>
      <c r="DR404" s="182"/>
      <c r="DS404" s="182"/>
      <c r="DT404" s="182"/>
    </row>
    <row r="405" spans="109:124">
      <c r="DG405" s="123">
        <v>1</v>
      </c>
      <c r="DH405" s="123">
        <v>7</v>
      </c>
      <c r="DI405" s="123">
        <f t="shared" si="158"/>
        <v>15</v>
      </c>
      <c r="DJ405" s="36" t="str">
        <f ca="1">OFFSET(gr_header,DG405+DE400,1+DF400)</f>
        <v/>
      </c>
      <c r="DK405" s="36" t="str">
        <f ca="1">OFFSET(gr_header,DH405+DE400,1+DF400)</f>
        <v/>
      </c>
      <c r="DL405" s="123">
        <f ca="1">OFFSET(gr_header,DG405+DE400,2*DH405+DF400)</f>
        <v>0</v>
      </c>
      <c r="DM405" s="123">
        <f ca="1">OFFSET(gr_header,DG405+DE400,2*DH405+1+DF400)</f>
        <v>0</v>
      </c>
      <c r="DO405" s="182"/>
      <c r="DP405" s="182"/>
      <c r="DQ405" s="182"/>
      <c r="DR405" s="182"/>
      <c r="DS405" s="182"/>
      <c r="DT405" s="182"/>
    </row>
    <row r="406" spans="109:124">
      <c r="DE406" s="159"/>
      <c r="DF406" s="159"/>
      <c r="DG406" s="159">
        <v>1</v>
      </c>
      <c r="DH406" s="123">
        <v>8</v>
      </c>
      <c r="DI406" s="123">
        <f t="shared" si="158"/>
        <v>15</v>
      </c>
      <c r="DJ406" s="36" t="str">
        <f ca="1">OFFSET(gr_header,DG406+DE400,1+DF400)</f>
        <v/>
      </c>
      <c r="DK406" s="36" t="str">
        <f ca="1">OFFSET(gr_header,DH406+DE400,1+DF400)</f>
        <v/>
      </c>
      <c r="DL406" s="123">
        <f ca="1">OFFSET(gr_header,DG406+DE400,2*DH406+DF400)</f>
        <v>0</v>
      </c>
      <c r="DM406" s="123">
        <f ca="1">OFFSET(gr_header,DG406+DE400,2*DH406+1+DF400)</f>
        <v>0</v>
      </c>
      <c r="DO406" s="182"/>
      <c r="DP406" s="182"/>
      <c r="DQ406" s="182"/>
      <c r="DR406" s="182"/>
      <c r="DS406" s="182"/>
      <c r="DT406" s="182"/>
    </row>
    <row r="407" spans="109:124">
      <c r="DE407" s="159"/>
      <c r="DF407" s="159"/>
      <c r="DG407" s="159">
        <v>2</v>
      </c>
      <c r="DH407" s="159">
        <v>3</v>
      </c>
      <c r="DI407" s="123">
        <f t="shared" si="158"/>
        <v>15</v>
      </c>
      <c r="DJ407" s="36" t="str">
        <f ca="1">OFFSET(gr_header,DG407+DE400,1+DF400)</f>
        <v/>
      </c>
      <c r="DK407" s="36" t="str">
        <f ca="1">OFFSET(gr_header,DH407+DE400,1+DF400)</f>
        <v/>
      </c>
      <c r="DL407" s="123">
        <f ca="1">OFFSET(gr_header,DG407+DE400,2*DH407+DF400)</f>
        <v>0</v>
      </c>
      <c r="DM407" s="123">
        <f ca="1">OFFSET(gr_header,DG407+DE400,2*DH407+1+DF400)</f>
        <v>0</v>
      </c>
      <c r="DO407" s="182"/>
      <c r="DP407" s="182"/>
      <c r="DQ407" s="182"/>
      <c r="DR407" s="182"/>
      <c r="DS407" s="182"/>
      <c r="DT407" s="182"/>
    </row>
    <row r="408" spans="109:124">
      <c r="DE408" s="159"/>
      <c r="DF408" s="159"/>
      <c r="DG408" s="159">
        <v>2</v>
      </c>
      <c r="DH408" s="159">
        <v>4</v>
      </c>
      <c r="DI408" s="123">
        <f t="shared" si="158"/>
        <v>15</v>
      </c>
      <c r="DJ408" s="36" t="str">
        <f ca="1">OFFSET(gr_header,DG408+DE400,1+DF400)</f>
        <v/>
      </c>
      <c r="DK408" s="36" t="str">
        <f ca="1">OFFSET(gr_header,DH408+DE400,1+DF400)</f>
        <v/>
      </c>
      <c r="DL408" s="123">
        <f ca="1">OFFSET(gr_header,DG408+DE400,2*DH408+DF400)</f>
        <v>0</v>
      </c>
      <c r="DM408" s="123">
        <f ca="1">OFFSET(gr_header,DG408+DE400,2*DH408+1+DF400)</f>
        <v>0</v>
      </c>
      <c r="DO408" s="182"/>
      <c r="DP408" s="182"/>
      <c r="DQ408" s="182"/>
      <c r="DR408" s="182"/>
      <c r="DS408" s="182"/>
      <c r="DT408" s="182"/>
    </row>
    <row r="409" spans="109:124">
      <c r="DE409" s="159"/>
      <c r="DF409" s="159"/>
      <c r="DG409" s="159">
        <v>2</v>
      </c>
      <c r="DH409" s="159">
        <v>5</v>
      </c>
      <c r="DI409" s="123">
        <f t="shared" si="158"/>
        <v>15</v>
      </c>
      <c r="DJ409" s="36" t="str">
        <f ca="1">OFFSET(gr_header,DG409+DE400,1+DF400)</f>
        <v/>
      </c>
      <c r="DK409" s="36" t="str">
        <f ca="1">OFFSET(gr_header,DH409+DE400,1+DF400)</f>
        <v/>
      </c>
      <c r="DL409" s="123">
        <f ca="1">OFFSET(gr_header,DG409+DE400,2*DH409+DF400)</f>
        <v>0</v>
      </c>
      <c r="DM409" s="123">
        <f ca="1">OFFSET(gr_header,DG409+DE400,2*DH409+1+DF400)</f>
        <v>0</v>
      </c>
      <c r="DO409" s="182"/>
      <c r="DP409" s="182"/>
      <c r="DQ409" s="182"/>
      <c r="DR409" s="182"/>
      <c r="DS409" s="182"/>
      <c r="DT409" s="182"/>
    </row>
    <row r="410" spans="109:124">
      <c r="DE410" s="159"/>
      <c r="DF410" s="159"/>
      <c r="DG410" s="159">
        <v>2</v>
      </c>
      <c r="DH410" s="159">
        <v>6</v>
      </c>
      <c r="DI410" s="123">
        <f t="shared" si="158"/>
        <v>15</v>
      </c>
      <c r="DJ410" s="36" t="str">
        <f ca="1">OFFSET(gr_header,DG410+DE400,1+DF400)</f>
        <v/>
      </c>
      <c r="DK410" s="36" t="str">
        <f ca="1">OFFSET(gr_header,DH410+DE400,1+DF400)</f>
        <v/>
      </c>
      <c r="DL410" s="123">
        <f ca="1">OFFSET(gr_header,DG410+DE400,2*DH410+DF400)</f>
        <v>0</v>
      </c>
      <c r="DM410" s="123">
        <f ca="1">OFFSET(gr_header,DG410+DE400,2*DH410+1+DF400)</f>
        <v>0</v>
      </c>
      <c r="DO410" s="182"/>
      <c r="DP410" s="182"/>
      <c r="DQ410" s="182"/>
      <c r="DR410" s="182"/>
      <c r="DS410" s="182"/>
      <c r="DT410" s="182"/>
    </row>
    <row r="411" spans="109:124">
      <c r="DE411" s="159"/>
      <c r="DF411" s="159"/>
      <c r="DG411" s="159">
        <v>2</v>
      </c>
      <c r="DH411" s="159">
        <v>7</v>
      </c>
      <c r="DI411" s="123">
        <f t="shared" si="158"/>
        <v>15</v>
      </c>
      <c r="DJ411" s="36" t="str">
        <f ca="1">OFFSET(gr_header,DG411+DE400,1+DF400)</f>
        <v/>
      </c>
      <c r="DK411" s="36" t="str">
        <f ca="1">OFFSET(gr_header,DH411+DE400,1+DF400)</f>
        <v/>
      </c>
      <c r="DL411" s="123">
        <f ca="1">OFFSET(gr_header,DG411+DE400,2*DH411+DF400)</f>
        <v>0</v>
      </c>
      <c r="DM411" s="123">
        <f ca="1">OFFSET(gr_header,DG411+DE400,2*DH411+1+DF400)</f>
        <v>0</v>
      </c>
      <c r="DO411" s="182"/>
      <c r="DP411" s="182"/>
      <c r="DQ411" s="182"/>
      <c r="DR411" s="182"/>
      <c r="DS411" s="182"/>
      <c r="DT411" s="182"/>
    </row>
    <row r="412" spans="109:124">
      <c r="DE412" s="159"/>
      <c r="DF412" s="159"/>
      <c r="DG412" s="159">
        <v>2</v>
      </c>
      <c r="DH412" s="159">
        <v>8</v>
      </c>
      <c r="DI412" s="123">
        <f t="shared" si="158"/>
        <v>15</v>
      </c>
      <c r="DJ412" s="36" t="str">
        <f ca="1">OFFSET(gr_header,DG412+DE400,1+DF400)</f>
        <v/>
      </c>
      <c r="DK412" s="36" t="str">
        <f ca="1">OFFSET(gr_header,DH412+DE400,1+DF400)</f>
        <v/>
      </c>
      <c r="DL412" s="123">
        <f ca="1">OFFSET(gr_header,DG412+DE400,2*DH412+DF400)</f>
        <v>0</v>
      </c>
      <c r="DM412" s="123">
        <f ca="1">OFFSET(gr_header,DG412+DE400,2*DH412+1+DF400)</f>
        <v>0</v>
      </c>
      <c r="DO412" s="182"/>
      <c r="DP412" s="182"/>
      <c r="DQ412" s="182"/>
      <c r="DR412" s="182"/>
      <c r="DS412" s="182"/>
      <c r="DT412" s="182"/>
    </row>
    <row r="413" spans="109:124">
      <c r="DE413" s="159"/>
      <c r="DF413" s="159"/>
      <c r="DG413" s="159">
        <v>3</v>
      </c>
      <c r="DH413" s="159">
        <v>4</v>
      </c>
      <c r="DI413" s="123">
        <f t="shared" si="158"/>
        <v>15</v>
      </c>
      <c r="DJ413" s="36" t="str">
        <f ca="1">OFFSET(gr_header,DG413+DE400,1+DF400)</f>
        <v/>
      </c>
      <c r="DK413" s="36" t="str">
        <f ca="1">OFFSET(gr_header,DH413+DE400,1+DF400)</f>
        <v/>
      </c>
      <c r="DL413" s="123">
        <f ca="1">OFFSET(gr_header,DG413+DE400,2*DH413+DF400)</f>
        <v>0</v>
      </c>
      <c r="DM413" s="123">
        <f ca="1">OFFSET(gr_header,DG413+DE400,2*DH413+1+DF400)</f>
        <v>0</v>
      </c>
      <c r="DO413" s="182"/>
      <c r="DP413" s="182"/>
      <c r="DQ413" s="182"/>
      <c r="DR413" s="182"/>
      <c r="DS413" s="182"/>
      <c r="DT413" s="182"/>
    </row>
    <row r="414" spans="109:124">
      <c r="DE414" s="159"/>
      <c r="DF414" s="159"/>
      <c r="DG414" s="159">
        <v>3</v>
      </c>
      <c r="DH414" s="159">
        <v>5</v>
      </c>
      <c r="DI414" s="123">
        <f t="shared" si="158"/>
        <v>15</v>
      </c>
      <c r="DJ414" s="36" t="str">
        <f ca="1">OFFSET(gr_header,DG414+DE400,1+DF400)</f>
        <v/>
      </c>
      <c r="DK414" s="36" t="str">
        <f ca="1">OFFSET(gr_header,DH414+DE400,1+DF400)</f>
        <v/>
      </c>
      <c r="DL414" s="123">
        <f ca="1">OFFSET(gr_header,DG414+DE400,2*DH414+DF400)</f>
        <v>0</v>
      </c>
      <c r="DM414" s="123">
        <f ca="1">OFFSET(gr_header,DG414+DE400,2*DH414+1+DF400)</f>
        <v>0</v>
      </c>
      <c r="DO414" s="182"/>
      <c r="DP414" s="182"/>
      <c r="DQ414" s="182"/>
      <c r="DR414" s="182"/>
      <c r="DS414" s="182"/>
      <c r="DT414" s="182"/>
    </row>
    <row r="415" spans="109:124">
      <c r="DE415" s="159"/>
      <c r="DF415" s="159"/>
      <c r="DG415" s="159">
        <v>3</v>
      </c>
      <c r="DH415" s="159">
        <v>6</v>
      </c>
      <c r="DI415" s="123">
        <f t="shared" si="158"/>
        <v>15</v>
      </c>
      <c r="DJ415" s="36" t="str">
        <f ca="1">OFFSET(gr_header,DG415+DE400,1+DF400)</f>
        <v/>
      </c>
      <c r="DK415" s="36" t="str">
        <f ca="1">OFFSET(gr_header,DH415+DE400,1+DF400)</f>
        <v/>
      </c>
      <c r="DL415" s="123">
        <f ca="1">OFFSET(gr_header,DG415+DE400,2*DH415+DF400)</f>
        <v>0</v>
      </c>
      <c r="DM415" s="123">
        <f ca="1">OFFSET(gr_header,DG415+DE400,2*DH415+1+DF400)</f>
        <v>0</v>
      </c>
      <c r="DO415" s="182"/>
      <c r="DP415" s="182"/>
      <c r="DQ415" s="182"/>
      <c r="DR415" s="182"/>
      <c r="DS415" s="182"/>
      <c r="DT415" s="182"/>
    </row>
    <row r="416" spans="109:124">
      <c r="DE416" s="159"/>
      <c r="DF416" s="159"/>
      <c r="DG416" s="159">
        <v>3</v>
      </c>
      <c r="DH416" s="159">
        <v>7</v>
      </c>
      <c r="DI416" s="123">
        <f t="shared" si="158"/>
        <v>15</v>
      </c>
      <c r="DJ416" s="36" t="str">
        <f ca="1">OFFSET(gr_header,DG416+DE400,1+DF400)</f>
        <v/>
      </c>
      <c r="DK416" s="36" t="str">
        <f ca="1">OFFSET(gr_header,DH416+DE400,1+DF400)</f>
        <v/>
      </c>
      <c r="DL416" s="123">
        <f ca="1">OFFSET(gr_header,DG416+DE400,2*DH416+DF400)</f>
        <v>0</v>
      </c>
      <c r="DM416" s="123">
        <f ca="1">OFFSET(gr_header,DG416+DE400,2*DH416+1+DF400)</f>
        <v>0</v>
      </c>
      <c r="DO416" s="182"/>
      <c r="DP416" s="182"/>
      <c r="DQ416" s="182"/>
      <c r="DR416" s="182"/>
      <c r="DS416" s="182"/>
      <c r="DT416" s="182"/>
    </row>
    <row r="417" spans="109:124">
      <c r="DE417" s="159"/>
      <c r="DF417" s="159"/>
      <c r="DG417" s="159">
        <v>3</v>
      </c>
      <c r="DH417" s="159">
        <v>8</v>
      </c>
      <c r="DI417" s="123">
        <f t="shared" si="158"/>
        <v>15</v>
      </c>
      <c r="DJ417" s="36" t="str">
        <f ca="1">OFFSET(gr_header,DG417+DE400,1+DF400)</f>
        <v/>
      </c>
      <c r="DK417" s="36" t="str">
        <f ca="1">OFFSET(gr_header,DH417+DE400,1+DF400)</f>
        <v/>
      </c>
      <c r="DL417" s="123">
        <f ca="1">OFFSET(gr_header,DG417+DE400,2*DH417+DF400)</f>
        <v>0</v>
      </c>
      <c r="DM417" s="123">
        <f ca="1">OFFSET(gr_header,DG417+DE400,2*DH417+1+DF400)</f>
        <v>0</v>
      </c>
      <c r="DO417" s="182"/>
      <c r="DP417" s="182"/>
      <c r="DQ417" s="182"/>
      <c r="DR417" s="182"/>
      <c r="DS417" s="182"/>
      <c r="DT417" s="182"/>
    </row>
    <row r="418" spans="109:124">
      <c r="DE418" s="159"/>
      <c r="DF418" s="159"/>
      <c r="DG418" s="159">
        <v>4</v>
      </c>
      <c r="DH418" s="159">
        <v>5</v>
      </c>
      <c r="DI418" s="123">
        <f t="shared" si="158"/>
        <v>15</v>
      </c>
      <c r="DJ418" s="36" t="str">
        <f ca="1">OFFSET(gr_header,DG418+DE400,1+DF400)</f>
        <v/>
      </c>
      <c r="DK418" s="36" t="str">
        <f ca="1">OFFSET(gr_header,DH418+DE400,1+DF400)</f>
        <v/>
      </c>
      <c r="DL418" s="123">
        <f ca="1">OFFSET(gr_header,DG418+DE400,2*DH418+DF400)</f>
        <v>0</v>
      </c>
      <c r="DM418" s="123">
        <f ca="1">OFFSET(gr_header,DG418+DE400,2*DH418+1+DF400)</f>
        <v>0</v>
      </c>
      <c r="DO418" s="182"/>
      <c r="DP418" s="182"/>
      <c r="DQ418" s="182"/>
      <c r="DR418" s="182"/>
      <c r="DS418" s="182"/>
      <c r="DT418" s="182"/>
    </row>
    <row r="419" spans="109:124">
      <c r="DE419" s="159"/>
      <c r="DF419" s="159"/>
      <c r="DG419" s="159">
        <v>4</v>
      </c>
      <c r="DH419" s="159">
        <v>6</v>
      </c>
      <c r="DI419" s="123">
        <f t="shared" si="158"/>
        <v>15</v>
      </c>
      <c r="DJ419" s="36" t="str">
        <f ca="1">OFFSET(gr_header,DG419+DE400,1+DF400)</f>
        <v/>
      </c>
      <c r="DK419" s="36" t="str">
        <f ca="1">OFFSET(gr_header,DH419+DE400,1+DF400)</f>
        <v/>
      </c>
      <c r="DL419" s="123">
        <f ca="1">OFFSET(gr_header,DG419+DE400,2*DH419+DF400)</f>
        <v>0</v>
      </c>
      <c r="DM419" s="123">
        <f ca="1">OFFSET(gr_header,DG419+DE400,2*DH419+1+DF400)</f>
        <v>0</v>
      </c>
      <c r="DO419" s="182"/>
      <c r="DP419" s="182"/>
      <c r="DQ419" s="182"/>
      <c r="DR419" s="182"/>
      <c r="DS419" s="182"/>
      <c r="DT419" s="182"/>
    </row>
    <row r="420" spans="109:124">
      <c r="DE420" s="159"/>
      <c r="DF420" s="159"/>
      <c r="DG420" s="159">
        <v>4</v>
      </c>
      <c r="DH420" s="159">
        <v>7</v>
      </c>
      <c r="DI420" s="123">
        <f t="shared" si="158"/>
        <v>15</v>
      </c>
      <c r="DJ420" s="36" t="str">
        <f ca="1">OFFSET(gr_header,DG420+DE400,1+DF400)</f>
        <v/>
      </c>
      <c r="DK420" s="36" t="str">
        <f ca="1">OFFSET(gr_header,DH420+DE400,1+DF400)</f>
        <v/>
      </c>
      <c r="DL420" s="123">
        <f ca="1">OFFSET(gr_header,DG420+DE400,2*DH420+DF400)</f>
        <v>0</v>
      </c>
      <c r="DM420" s="123">
        <f ca="1">OFFSET(gr_header,DG420+DE400,2*DH420+1+DF400)</f>
        <v>0</v>
      </c>
      <c r="DO420" s="182"/>
      <c r="DP420" s="182"/>
      <c r="DQ420" s="182"/>
      <c r="DR420" s="182"/>
      <c r="DS420" s="182"/>
      <c r="DT420" s="182"/>
    </row>
    <row r="421" spans="109:124">
      <c r="DE421" s="159"/>
      <c r="DF421" s="159"/>
      <c r="DG421" s="159">
        <v>4</v>
      </c>
      <c r="DH421" s="159">
        <v>8</v>
      </c>
      <c r="DI421" s="123">
        <f t="shared" si="158"/>
        <v>15</v>
      </c>
      <c r="DJ421" s="36" t="str">
        <f ca="1">OFFSET(gr_header,DG421+DE400,1+DF400)</f>
        <v/>
      </c>
      <c r="DK421" s="36" t="str">
        <f ca="1">OFFSET(gr_header,DH421+DE400,1+DF400)</f>
        <v/>
      </c>
      <c r="DL421" s="123">
        <f ca="1">OFFSET(gr_header,DG421+DE400,2*DH421+DF400)</f>
        <v>0</v>
      </c>
      <c r="DM421" s="123">
        <f ca="1">OFFSET(gr_header,DG421+DE400,2*DH421+1+DF400)</f>
        <v>0</v>
      </c>
      <c r="DO421" s="182"/>
      <c r="DP421" s="182"/>
      <c r="DQ421" s="182"/>
      <c r="DR421" s="182"/>
      <c r="DS421" s="182"/>
      <c r="DT421" s="182"/>
    </row>
    <row r="422" spans="109:124">
      <c r="DE422" s="159"/>
      <c r="DF422" s="159"/>
      <c r="DG422" s="159">
        <v>5</v>
      </c>
      <c r="DH422" s="159">
        <v>6</v>
      </c>
      <c r="DI422" s="123">
        <f t="shared" si="158"/>
        <v>15</v>
      </c>
      <c r="DJ422" s="36" t="str">
        <f ca="1">OFFSET(gr_header,DG422+DE400,1+DF400)</f>
        <v/>
      </c>
      <c r="DK422" s="36" t="str">
        <f ca="1">OFFSET(gr_header,DH422+DE400,1+DF400)</f>
        <v/>
      </c>
      <c r="DL422" s="123">
        <f ca="1">OFFSET(gr_header,DG422+DE400,2*DH422+DF400)</f>
        <v>0</v>
      </c>
      <c r="DM422" s="123">
        <f ca="1">OFFSET(gr_header,DG422+DE400,2*DH422+1+DF400)</f>
        <v>0</v>
      </c>
      <c r="DO422" s="182"/>
      <c r="DP422" s="182"/>
      <c r="DQ422" s="182"/>
      <c r="DR422" s="182"/>
      <c r="DS422" s="182"/>
      <c r="DT422" s="182"/>
    </row>
    <row r="423" spans="109:124">
      <c r="DE423" s="159"/>
      <c r="DF423" s="159"/>
      <c r="DG423" s="159">
        <v>5</v>
      </c>
      <c r="DH423" s="159">
        <v>7</v>
      </c>
      <c r="DI423" s="123">
        <f t="shared" si="158"/>
        <v>15</v>
      </c>
      <c r="DJ423" s="36" t="str">
        <f ca="1">OFFSET(gr_header,DG423+DE400,1+DF400)</f>
        <v/>
      </c>
      <c r="DK423" s="36" t="str">
        <f ca="1">OFFSET(gr_header,DH423+DE400,1+DF400)</f>
        <v/>
      </c>
      <c r="DL423" s="123">
        <f ca="1">OFFSET(gr_header,DG423+DE400,2*DH423+DF400)</f>
        <v>0</v>
      </c>
      <c r="DM423" s="123">
        <f ca="1">OFFSET(gr_header,DG423+DE400,2*DH423+1+DF400)</f>
        <v>0</v>
      </c>
      <c r="DO423" s="182"/>
      <c r="DP423" s="182"/>
      <c r="DQ423" s="182"/>
      <c r="DR423" s="182"/>
      <c r="DS423" s="182"/>
      <c r="DT423" s="182"/>
    </row>
    <row r="424" spans="109:124">
      <c r="DE424" s="159"/>
      <c r="DF424" s="159"/>
      <c r="DG424" s="159">
        <v>5</v>
      </c>
      <c r="DH424" s="159">
        <v>8</v>
      </c>
      <c r="DI424" s="123">
        <f t="shared" si="158"/>
        <v>15</v>
      </c>
      <c r="DJ424" s="36" t="str">
        <f ca="1">OFFSET(gr_header,DG424+DE400,1+DF400)</f>
        <v/>
      </c>
      <c r="DK424" s="36" t="str">
        <f ca="1">OFFSET(gr_header,DH424+DE400,1+DF400)</f>
        <v/>
      </c>
      <c r="DL424" s="123">
        <f ca="1">OFFSET(gr_header,DG424+DE400,2*DH424+DF400)</f>
        <v>0</v>
      </c>
      <c r="DM424" s="123">
        <f ca="1">OFFSET(gr_header,DG424+DE400,2*DH424+1+DF400)</f>
        <v>0</v>
      </c>
      <c r="DO424" s="182"/>
      <c r="DP424" s="182"/>
      <c r="DQ424" s="182"/>
      <c r="DR424" s="182"/>
      <c r="DS424" s="182"/>
      <c r="DT424" s="182"/>
    </row>
    <row r="425" spans="109:124">
      <c r="DE425" s="159"/>
      <c r="DF425" s="159"/>
      <c r="DG425" s="159">
        <v>6</v>
      </c>
      <c r="DH425" s="159">
        <v>7</v>
      </c>
      <c r="DI425" s="123">
        <f t="shared" si="158"/>
        <v>15</v>
      </c>
      <c r="DJ425" s="36" t="str">
        <f ca="1">OFFSET(gr_header,DG425+DE400,1+DF400)</f>
        <v/>
      </c>
      <c r="DK425" s="36" t="str">
        <f ca="1">OFFSET(gr_header,DH425+DE400,1+DF400)</f>
        <v/>
      </c>
      <c r="DL425" s="123">
        <f ca="1">OFFSET(gr_header,DG425+DE400,2*DH425+DF400)</f>
        <v>0</v>
      </c>
      <c r="DM425" s="123">
        <f ca="1">OFFSET(gr_header,DG425+DE400,2*DH425+1+DF400)</f>
        <v>0</v>
      </c>
      <c r="DO425" s="182"/>
      <c r="DP425" s="182"/>
      <c r="DQ425" s="182"/>
      <c r="DR425" s="182"/>
      <c r="DS425" s="182"/>
      <c r="DT425" s="182"/>
    </row>
    <row r="426" spans="109:124">
      <c r="DE426" s="159"/>
      <c r="DF426" s="159"/>
      <c r="DG426" s="159">
        <v>6</v>
      </c>
      <c r="DH426" s="159">
        <v>8</v>
      </c>
      <c r="DI426" s="123">
        <f t="shared" si="158"/>
        <v>15</v>
      </c>
      <c r="DJ426" s="36" t="str">
        <f ca="1">OFFSET(gr_header,DG426+DE400,1+DF400)</f>
        <v/>
      </c>
      <c r="DK426" s="36" t="str">
        <f ca="1">OFFSET(gr_header,DH426+DE400,1+DF400)</f>
        <v/>
      </c>
      <c r="DL426" s="123">
        <f ca="1">OFFSET(gr_header,DG426+DE400,2*DH426+DF400)</f>
        <v>0</v>
      </c>
      <c r="DM426" s="123">
        <f ca="1">OFFSET(gr_header,DG426+DE400,2*DH426+1+DF400)</f>
        <v>0</v>
      </c>
      <c r="DO426" s="182"/>
      <c r="DP426" s="182"/>
      <c r="DQ426" s="182"/>
      <c r="DR426" s="182"/>
      <c r="DS426" s="182"/>
      <c r="DT426" s="182"/>
    </row>
    <row r="427" spans="109:124">
      <c r="DE427" s="159"/>
      <c r="DF427" s="159"/>
      <c r="DG427" s="159">
        <v>7</v>
      </c>
      <c r="DH427" s="159">
        <v>8</v>
      </c>
      <c r="DI427" s="123">
        <f t="shared" si="158"/>
        <v>15</v>
      </c>
      <c r="DJ427" s="36" t="str">
        <f ca="1">OFFSET(gr_header,DG427+DE400,1+DF400)</f>
        <v/>
      </c>
      <c r="DK427" s="36" t="str">
        <f ca="1">OFFSET(gr_header,DH427+DE400,1+DF400)</f>
        <v/>
      </c>
      <c r="DL427" s="123">
        <f ca="1">OFFSET(gr_header,DG427+DE400,2*DH427+DF400)</f>
        <v>0</v>
      </c>
      <c r="DM427" s="123">
        <f ca="1">OFFSET(gr_header,DG427+DE427,2*DH427+1+DF427)</f>
        <v>0</v>
      </c>
      <c r="DO427" s="182"/>
      <c r="DP427" s="182"/>
      <c r="DQ427" s="182"/>
      <c r="DR427" s="182"/>
      <c r="DS427" s="182"/>
      <c r="DT427" s="182"/>
    </row>
    <row r="428" spans="109:124">
      <c r="DE428" s="123">
        <f>DE429*shift1</f>
        <v>70</v>
      </c>
      <c r="DF428" s="123">
        <f>DF429*shift2</f>
        <v>24</v>
      </c>
      <c r="DG428" s="123">
        <v>1</v>
      </c>
      <c r="DH428" s="123">
        <v>2</v>
      </c>
      <c r="DI428" s="147">
        <f>DI400+1</f>
        <v>16</v>
      </c>
      <c r="DJ428" s="36" t="str">
        <f ca="1">OFFSET(gr_header,DG428+DE428,1+DF428)</f>
        <v/>
      </c>
      <c r="DK428" s="36" t="str">
        <f ca="1">OFFSET(gr_header,DH428+DE428,1+DF428)</f>
        <v/>
      </c>
      <c r="DL428" s="123">
        <f ca="1">OFFSET(gr_header,DG428+DE428,2*DH428+DF428)</f>
        <v>0</v>
      </c>
      <c r="DM428" s="123">
        <f ca="1">OFFSET(gr_header,DG428+DE428,2*DH428+1+DF428)</f>
        <v>0</v>
      </c>
      <c r="DO428" s="182"/>
      <c r="DP428" s="182"/>
      <c r="DQ428" s="182"/>
      <c r="DR428" s="182"/>
      <c r="DS428" s="182"/>
      <c r="DT428" s="182"/>
    </row>
    <row r="429" spans="109:124">
      <c r="DE429" s="123">
        <f>INT((DI428-1)/2)</f>
        <v>7</v>
      </c>
      <c r="DF429" s="123">
        <f>1-(INT((DI428+1)/2)*2-DI428)</f>
        <v>1</v>
      </c>
      <c r="DG429" s="123">
        <v>1</v>
      </c>
      <c r="DH429" s="123">
        <v>3</v>
      </c>
      <c r="DI429" s="123">
        <f>DI428</f>
        <v>16</v>
      </c>
      <c r="DJ429" s="36" t="str">
        <f ca="1">OFFSET(gr_header,DG429+DE428,1+DF428)</f>
        <v/>
      </c>
      <c r="DK429" s="36" t="str">
        <f ca="1">OFFSET(gr_header,DH429+DE428,1+DF428)</f>
        <v/>
      </c>
      <c r="DL429" s="123">
        <f ca="1">OFFSET(gr_header,DG429+DE428,2*DH429+DF428)</f>
        <v>0</v>
      </c>
      <c r="DM429" s="123">
        <f ca="1">OFFSET(gr_header,DG429+DE428,2*DH429+1+DF428)</f>
        <v>0</v>
      </c>
      <c r="DO429" s="182"/>
      <c r="DP429" s="182"/>
      <c r="DQ429" s="182"/>
      <c r="DR429" s="182"/>
      <c r="DS429" s="182"/>
      <c r="DT429" s="182"/>
    </row>
    <row r="430" spans="109:124">
      <c r="DG430" s="123">
        <v>1</v>
      </c>
      <c r="DH430" s="123">
        <v>4</v>
      </c>
      <c r="DI430" s="123">
        <f t="shared" ref="DI430:DI455" si="159">DI429</f>
        <v>16</v>
      </c>
      <c r="DJ430" s="36" t="str">
        <f ca="1">OFFSET(gr_header,DG430+DE428,1+DF428)</f>
        <v/>
      </c>
      <c r="DK430" s="36" t="str">
        <f ca="1">OFFSET(gr_header,DH430+DE428,1+DF428)</f>
        <v/>
      </c>
      <c r="DL430" s="123">
        <f ca="1">OFFSET(gr_header,DG430+DE428,2*DH430+DF428)</f>
        <v>0</v>
      </c>
      <c r="DM430" s="123">
        <f ca="1">OFFSET(gr_header,DG430+DE428,2*DH430+1+DF428)</f>
        <v>0</v>
      </c>
      <c r="DO430" s="182"/>
      <c r="DP430" s="182"/>
      <c r="DQ430" s="182"/>
      <c r="DR430" s="182"/>
      <c r="DS430" s="182"/>
      <c r="DT430" s="182"/>
    </row>
    <row r="431" spans="109:124">
      <c r="DG431" s="123">
        <v>1</v>
      </c>
      <c r="DH431" s="123">
        <v>5</v>
      </c>
      <c r="DI431" s="123">
        <f t="shared" si="159"/>
        <v>16</v>
      </c>
      <c r="DJ431" s="36" t="str">
        <f ca="1">OFFSET(gr_header,DG431+DE428,1+DF428)</f>
        <v/>
      </c>
      <c r="DK431" s="36" t="str">
        <f ca="1">OFFSET(gr_header,DH431+DE428,1+DF428)</f>
        <v/>
      </c>
      <c r="DL431" s="123">
        <f ca="1">OFFSET(gr_header,DG431+DE428,2*DH431+DF428)</f>
        <v>0</v>
      </c>
      <c r="DM431" s="123">
        <f ca="1">OFFSET(gr_header,DG431+DE428,2*DH431+1+DF428)</f>
        <v>0</v>
      </c>
      <c r="DO431" s="182"/>
      <c r="DP431" s="182"/>
      <c r="DQ431" s="182"/>
      <c r="DR431" s="182"/>
      <c r="DS431" s="182"/>
      <c r="DT431" s="182"/>
    </row>
    <row r="432" spans="109:124">
      <c r="DG432" s="123">
        <v>1</v>
      </c>
      <c r="DH432" s="123">
        <v>6</v>
      </c>
      <c r="DI432" s="123">
        <f t="shared" si="159"/>
        <v>16</v>
      </c>
      <c r="DJ432" s="36" t="str">
        <f ca="1">OFFSET(gr_header,DG432+DE428,1+DF428)</f>
        <v/>
      </c>
      <c r="DK432" s="36" t="str">
        <f ca="1">OFFSET(gr_header,DH432+DE428,1+DF428)</f>
        <v/>
      </c>
      <c r="DL432" s="123">
        <f ca="1">OFFSET(gr_header,DG432+DE428,2*DH432+DF428)</f>
        <v>0</v>
      </c>
      <c r="DM432" s="123">
        <f ca="1">OFFSET(gr_header,DG432+DE428,2*DH432+1+DF428)</f>
        <v>0</v>
      </c>
      <c r="DO432" s="182"/>
      <c r="DP432" s="182"/>
      <c r="DQ432" s="182"/>
      <c r="DR432" s="182"/>
      <c r="DS432" s="182"/>
      <c r="DT432" s="182"/>
    </row>
    <row r="433" spans="109:124">
      <c r="DG433" s="123">
        <v>1</v>
      </c>
      <c r="DH433" s="123">
        <v>7</v>
      </c>
      <c r="DI433" s="123">
        <f t="shared" si="159"/>
        <v>16</v>
      </c>
      <c r="DJ433" s="36" t="str">
        <f ca="1">OFFSET(gr_header,DG433+DE428,1+DF428)</f>
        <v/>
      </c>
      <c r="DK433" s="36" t="str">
        <f ca="1">OFFSET(gr_header,DH433+DE428,1+DF428)</f>
        <v/>
      </c>
      <c r="DL433" s="123">
        <f ca="1">OFFSET(gr_header,DG433+DE428,2*DH433+DF428)</f>
        <v>0</v>
      </c>
      <c r="DM433" s="123">
        <f ca="1">OFFSET(gr_header,DG433+DE428,2*DH433+1+DF428)</f>
        <v>0</v>
      </c>
      <c r="DO433" s="182"/>
      <c r="DP433" s="182"/>
      <c r="DQ433" s="182"/>
      <c r="DR433" s="182"/>
      <c r="DS433" s="182"/>
      <c r="DT433" s="182"/>
    </row>
    <row r="434" spans="109:124">
      <c r="DE434" s="159"/>
      <c r="DF434" s="159"/>
      <c r="DG434" s="159">
        <v>1</v>
      </c>
      <c r="DH434" s="123">
        <v>8</v>
      </c>
      <c r="DI434" s="123">
        <f t="shared" si="159"/>
        <v>16</v>
      </c>
      <c r="DJ434" s="36" t="str">
        <f ca="1">OFFSET(gr_header,DG434+DE428,1+DF428)</f>
        <v/>
      </c>
      <c r="DK434" s="36" t="str">
        <f ca="1">OFFSET(gr_header,DH434+DE428,1+DF428)</f>
        <v/>
      </c>
      <c r="DL434" s="123">
        <f ca="1">OFFSET(gr_header,DG434+DE428,2*DH434+DF428)</f>
        <v>0</v>
      </c>
      <c r="DM434" s="123">
        <f ca="1">OFFSET(gr_header,DG434+DE428,2*DH434+1+DF428)</f>
        <v>0</v>
      </c>
      <c r="DO434" s="182"/>
      <c r="DP434" s="182"/>
      <c r="DQ434" s="182"/>
      <c r="DR434" s="182"/>
      <c r="DS434" s="182"/>
      <c r="DT434" s="182"/>
    </row>
    <row r="435" spans="109:124">
      <c r="DE435" s="159"/>
      <c r="DF435" s="159"/>
      <c r="DG435" s="159">
        <v>2</v>
      </c>
      <c r="DH435" s="159">
        <v>3</v>
      </c>
      <c r="DI435" s="123">
        <f t="shared" si="159"/>
        <v>16</v>
      </c>
      <c r="DJ435" s="36" t="str">
        <f ca="1">OFFSET(gr_header,DG435+DE428,1+DF428)</f>
        <v/>
      </c>
      <c r="DK435" s="36" t="str">
        <f ca="1">OFFSET(gr_header,DH435+DE428,1+DF428)</f>
        <v/>
      </c>
      <c r="DL435" s="123">
        <f ca="1">OFFSET(gr_header,DG435+DE428,2*DH435+DF428)</f>
        <v>0</v>
      </c>
      <c r="DM435" s="123">
        <f ca="1">OFFSET(gr_header,DG435+DE428,2*DH435+1+DF428)</f>
        <v>0</v>
      </c>
      <c r="DO435" s="182"/>
      <c r="DP435" s="182"/>
      <c r="DQ435" s="182"/>
      <c r="DR435" s="182"/>
      <c r="DS435" s="182"/>
      <c r="DT435" s="182"/>
    </row>
    <row r="436" spans="109:124">
      <c r="DE436" s="159"/>
      <c r="DF436" s="159"/>
      <c r="DG436" s="159">
        <v>2</v>
      </c>
      <c r="DH436" s="159">
        <v>4</v>
      </c>
      <c r="DI436" s="123">
        <f t="shared" si="159"/>
        <v>16</v>
      </c>
      <c r="DJ436" s="36" t="str">
        <f ca="1">OFFSET(gr_header,DG436+DE428,1+DF428)</f>
        <v/>
      </c>
      <c r="DK436" s="36" t="str">
        <f ca="1">OFFSET(gr_header,DH436+DE428,1+DF428)</f>
        <v/>
      </c>
      <c r="DL436" s="123">
        <f ca="1">OFFSET(gr_header,DG436+DE428,2*DH436+DF428)</f>
        <v>0</v>
      </c>
      <c r="DM436" s="123">
        <f ca="1">OFFSET(gr_header,DG436+DE428,2*DH436+1+DF428)</f>
        <v>0</v>
      </c>
      <c r="DO436" s="182"/>
      <c r="DP436" s="182"/>
      <c r="DQ436" s="182"/>
      <c r="DR436" s="182"/>
      <c r="DS436" s="182"/>
      <c r="DT436" s="182"/>
    </row>
    <row r="437" spans="109:124">
      <c r="DE437" s="159"/>
      <c r="DF437" s="159"/>
      <c r="DG437" s="159">
        <v>2</v>
      </c>
      <c r="DH437" s="159">
        <v>5</v>
      </c>
      <c r="DI437" s="123">
        <f t="shared" si="159"/>
        <v>16</v>
      </c>
      <c r="DJ437" s="36" t="str">
        <f ca="1">OFFSET(gr_header,DG437+DE428,1+DF428)</f>
        <v/>
      </c>
      <c r="DK437" s="36" t="str">
        <f ca="1">OFFSET(gr_header,DH437+DE428,1+DF428)</f>
        <v/>
      </c>
      <c r="DL437" s="123">
        <f ca="1">OFFSET(gr_header,DG437+DE428,2*DH437+DF428)</f>
        <v>0</v>
      </c>
      <c r="DM437" s="123">
        <f ca="1">OFFSET(gr_header,DG437+DE428,2*DH437+1+DF428)</f>
        <v>0</v>
      </c>
      <c r="DO437" s="182"/>
      <c r="DP437" s="182"/>
      <c r="DQ437" s="182"/>
      <c r="DR437" s="182"/>
      <c r="DS437" s="182"/>
      <c r="DT437" s="182"/>
    </row>
    <row r="438" spans="109:124">
      <c r="DE438" s="159"/>
      <c r="DF438" s="159"/>
      <c r="DG438" s="159">
        <v>2</v>
      </c>
      <c r="DH438" s="159">
        <v>6</v>
      </c>
      <c r="DI438" s="123">
        <f t="shared" si="159"/>
        <v>16</v>
      </c>
      <c r="DJ438" s="36" t="str">
        <f ca="1">OFFSET(gr_header,DG438+DE428,1+DF428)</f>
        <v/>
      </c>
      <c r="DK438" s="36" t="str">
        <f ca="1">OFFSET(gr_header,DH438+DE428,1+DF428)</f>
        <v/>
      </c>
      <c r="DL438" s="123">
        <f ca="1">OFFSET(gr_header,DG438+DE428,2*DH438+DF428)</f>
        <v>0</v>
      </c>
      <c r="DM438" s="123">
        <f ca="1">OFFSET(gr_header,DG438+DE428,2*DH438+1+DF428)</f>
        <v>0</v>
      </c>
      <c r="DO438" s="182"/>
      <c r="DP438" s="182"/>
      <c r="DQ438" s="182"/>
      <c r="DR438" s="182"/>
      <c r="DS438" s="182"/>
      <c r="DT438" s="182"/>
    </row>
    <row r="439" spans="109:124">
      <c r="DE439" s="159"/>
      <c r="DF439" s="159"/>
      <c r="DG439" s="159">
        <v>2</v>
      </c>
      <c r="DH439" s="159">
        <v>7</v>
      </c>
      <c r="DI439" s="123">
        <f t="shared" si="159"/>
        <v>16</v>
      </c>
      <c r="DJ439" s="36" t="str">
        <f ca="1">OFFSET(gr_header,DG439+DE428,1+DF428)</f>
        <v/>
      </c>
      <c r="DK439" s="36" t="str">
        <f ca="1">OFFSET(gr_header,DH439+DE428,1+DF428)</f>
        <v/>
      </c>
      <c r="DL439" s="123">
        <f ca="1">OFFSET(gr_header,DG439+DE428,2*DH439+DF428)</f>
        <v>0</v>
      </c>
      <c r="DM439" s="123">
        <f ca="1">OFFSET(gr_header,DG439+DE428,2*DH439+1+DF428)</f>
        <v>0</v>
      </c>
      <c r="DO439" s="182"/>
      <c r="DP439" s="182"/>
      <c r="DQ439" s="182"/>
      <c r="DR439" s="182"/>
      <c r="DS439" s="182"/>
      <c r="DT439" s="182"/>
    </row>
    <row r="440" spans="109:124">
      <c r="DE440" s="159"/>
      <c r="DF440" s="159"/>
      <c r="DG440" s="159">
        <v>2</v>
      </c>
      <c r="DH440" s="159">
        <v>8</v>
      </c>
      <c r="DI440" s="123">
        <f t="shared" si="159"/>
        <v>16</v>
      </c>
      <c r="DJ440" s="36" t="str">
        <f ca="1">OFFSET(gr_header,DG440+DE428,1+DF428)</f>
        <v/>
      </c>
      <c r="DK440" s="36" t="str">
        <f ca="1">OFFSET(gr_header,DH440+DE428,1+DF428)</f>
        <v/>
      </c>
      <c r="DL440" s="123">
        <f ca="1">OFFSET(gr_header,DG440+DE428,2*DH440+DF428)</f>
        <v>0</v>
      </c>
      <c r="DM440" s="123">
        <f ca="1">OFFSET(gr_header,DG440+DE428,2*DH440+1+DF428)</f>
        <v>0</v>
      </c>
      <c r="DO440" s="182"/>
      <c r="DP440" s="182"/>
      <c r="DQ440" s="182"/>
      <c r="DR440" s="182"/>
      <c r="DS440" s="182"/>
      <c r="DT440" s="182"/>
    </row>
    <row r="441" spans="109:124">
      <c r="DE441" s="159"/>
      <c r="DF441" s="159"/>
      <c r="DG441" s="159">
        <v>3</v>
      </c>
      <c r="DH441" s="159">
        <v>4</v>
      </c>
      <c r="DI441" s="123">
        <f t="shared" si="159"/>
        <v>16</v>
      </c>
      <c r="DJ441" s="36" t="str">
        <f ca="1">OFFSET(gr_header,DG441+DE428,1+DF428)</f>
        <v/>
      </c>
      <c r="DK441" s="36" t="str">
        <f ca="1">OFFSET(gr_header,DH441+DE428,1+DF428)</f>
        <v/>
      </c>
      <c r="DL441" s="123">
        <f ca="1">OFFSET(gr_header,DG441+DE428,2*DH441+DF428)</f>
        <v>0</v>
      </c>
      <c r="DM441" s="123">
        <f ca="1">OFFSET(gr_header,DG441+DE428,2*DH441+1+DF428)</f>
        <v>0</v>
      </c>
      <c r="DO441" s="182"/>
      <c r="DP441" s="182"/>
      <c r="DQ441" s="182"/>
      <c r="DR441" s="182"/>
      <c r="DS441" s="182"/>
      <c r="DT441" s="182"/>
    </row>
    <row r="442" spans="109:124">
      <c r="DE442" s="159"/>
      <c r="DF442" s="159"/>
      <c r="DG442" s="159">
        <v>3</v>
      </c>
      <c r="DH442" s="159">
        <v>5</v>
      </c>
      <c r="DI442" s="123">
        <f t="shared" si="159"/>
        <v>16</v>
      </c>
      <c r="DJ442" s="36" t="str">
        <f ca="1">OFFSET(gr_header,DG442+DE428,1+DF428)</f>
        <v/>
      </c>
      <c r="DK442" s="36" t="str">
        <f ca="1">OFFSET(gr_header,DH442+DE428,1+DF428)</f>
        <v/>
      </c>
      <c r="DL442" s="123">
        <f ca="1">OFFSET(gr_header,DG442+DE428,2*DH442+DF428)</f>
        <v>0</v>
      </c>
      <c r="DM442" s="123">
        <f ca="1">OFFSET(gr_header,DG442+DE428,2*DH442+1+DF428)</f>
        <v>0</v>
      </c>
      <c r="DO442" s="182"/>
      <c r="DP442" s="182"/>
      <c r="DQ442" s="182"/>
      <c r="DR442" s="182"/>
      <c r="DS442" s="182"/>
      <c r="DT442" s="182"/>
    </row>
    <row r="443" spans="109:124">
      <c r="DE443" s="159"/>
      <c r="DF443" s="159"/>
      <c r="DG443" s="159">
        <v>3</v>
      </c>
      <c r="DH443" s="159">
        <v>6</v>
      </c>
      <c r="DI443" s="123">
        <f t="shared" si="159"/>
        <v>16</v>
      </c>
      <c r="DJ443" s="36" t="str">
        <f ca="1">OFFSET(gr_header,DG443+DE428,1+DF428)</f>
        <v/>
      </c>
      <c r="DK443" s="36" t="str">
        <f ca="1">OFFSET(gr_header,DH443+DE428,1+DF428)</f>
        <v/>
      </c>
      <c r="DL443" s="123">
        <f ca="1">OFFSET(gr_header,DG443+DE428,2*DH443+DF428)</f>
        <v>0</v>
      </c>
      <c r="DM443" s="123">
        <f ca="1">OFFSET(gr_header,DG443+DE428,2*DH443+1+DF428)</f>
        <v>0</v>
      </c>
      <c r="DO443" s="182"/>
      <c r="DP443" s="182"/>
      <c r="DQ443" s="182"/>
      <c r="DR443" s="182"/>
      <c r="DS443" s="182"/>
      <c r="DT443" s="182"/>
    </row>
    <row r="444" spans="109:124">
      <c r="DE444" s="159"/>
      <c r="DF444" s="159"/>
      <c r="DG444" s="159">
        <v>3</v>
      </c>
      <c r="DH444" s="159">
        <v>7</v>
      </c>
      <c r="DI444" s="123">
        <f t="shared" si="159"/>
        <v>16</v>
      </c>
      <c r="DJ444" s="36" t="str">
        <f ca="1">OFFSET(gr_header,DG444+DE428,1+DF428)</f>
        <v/>
      </c>
      <c r="DK444" s="36" t="str">
        <f ca="1">OFFSET(gr_header,DH444+DE428,1+DF428)</f>
        <v/>
      </c>
      <c r="DL444" s="123">
        <f ca="1">OFFSET(gr_header,DG444+DE428,2*DH444+DF428)</f>
        <v>0</v>
      </c>
      <c r="DM444" s="123">
        <f ca="1">OFFSET(gr_header,DG444+DE428,2*DH444+1+DF428)</f>
        <v>0</v>
      </c>
      <c r="DO444" s="182"/>
      <c r="DP444" s="182"/>
      <c r="DQ444" s="182"/>
      <c r="DR444" s="182"/>
      <c r="DS444" s="182"/>
      <c r="DT444" s="182"/>
    </row>
    <row r="445" spans="109:124">
      <c r="DE445" s="159"/>
      <c r="DF445" s="159"/>
      <c r="DG445" s="159">
        <v>3</v>
      </c>
      <c r="DH445" s="159">
        <v>8</v>
      </c>
      <c r="DI445" s="123">
        <f t="shared" si="159"/>
        <v>16</v>
      </c>
      <c r="DJ445" s="36" t="str">
        <f ca="1">OFFSET(gr_header,DG445+DE428,1+DF428)</f>
        <v/>
      </c>
      <c r="DK445" s="36" t="str">
        <f ca="1">OFFSET(gr_header,DH445+DE428,1+DF428)</f>
        <v/>
      </c>
      <c r="DL445" s="123">
        <f ca="1">OFFSET(gr_header,DG445+DE428,2*DH445+DF428)</f>
        <v>0</v>
      </c>
      <c r="DM445" s="123">
        <f ca="1">OFFSET(gr_header,DG445+DE428,2*DH445+1+DF428)</f>
        <v>0</v>
      </c>
      <c r="DO445" s="182"/>
      <c r="DP445" s="182"/>
      <c r="DQ445" s="182"/>
      <c r="DR445" s="182"/>
      <c r="DS445" s="182"/>
      <c r="DT445" s="182"/>
    </row>
    <row r="446" spans="109:124">
      <c r="DE446" s="159"/>
      <c r="DF446" s="159"/>
      <c r="DG446" s="159">
        <v>4</v>
      </c>
      <c r="DH446" s="159">
        <v>5</v>
      </c>
      <c r="DI446" s="123">
        <f t="shared" si="159"/>
        <v>16</v>
      </c>
      <c r="DJ446" s="36" t="str">
        <f ca="1">OFFSET(gr_header,DG446+DE428,1+DF428)</f>
        <v/>
      </c>
      <c r="DK446" s="36" t="str">
        <f ca="1">OFFSET(gr_header,DH446+DE428,1+DF428)</f>
        <v/>
      </c>
      <c r="DL446" s="123">
        <f ca="1">OFFSET(gr_header,DG446+DE428,2*DH446+DF428)</f>
        <v>0</v>
      </c>
      <c r="DM446" s="123">
        <f ca="1">OFFSET(gr_header,DG446+DE428,2*DH446+1+DF428)</f>
        <v>0</v>
      </c>
      <c r="DO446" s="182"/>
      <c r="DP446" s="182"/>
      <c r="DQ446" s="182"/>
      <c r="DR446" s="182"/>
      <c r="DS446" s="182"/>
      <c r="DT446" s="182"/>
    </row>
    <row r="447" spans="109:124">
      <c r="DE447" s="159"/>
      <c r="DF447" s="159"/>
      <c r="DG447" s="159">
        <v>4</v>
      </c>
      <c r="DH447" s="159">
        <v>6</v>
      </c>
      <c r="DI447" s="123">
        <f t="shared" si="159"/>
        <v>16</v>
      </c>
      <c r="DJ447" s="36" t="str">
        <f ca="1">OFFSET(gr_header,DG447+DE428,1+DF428)</f>
        <v/>
      </c>
      <c r="DK447" s="36" t="str">
        <f ca="1">OFFSET(gr_header,DH447+DE428,1+DF428)</f>
        <v/>
      </c>
      <c r="DL447" s="123">
        <f ca="1">OFFSET(gr_header,DG447+DE428,2*DH447+DF428)</f>
        <v>0</v>
      </c>
      <c r="DM447" s="123">
        <f ca="1">OFFSET(gr_header,DG447+DE428,2*DH447+1+DF428)</f>
        <v>0</v>
      </c>
      <c r="DO447" s="182"/>
      <c r="DP447" s="182"/>
      <c r="DQ447" s="182"/>
      <c r="DR447" s="182"/>
      <c r="DS447" s="182"/>
      <c r="DT447" s="182"/>
    </row>
    <row r="448" spans="109:124">
      <c r="DE448" s="159"/>
      <c r="DF448" s="159"/>
      <c r="DG448" s="159">
        <v>4</v>
      </c>
      <c r="DH448" s="159">
        <v>7</v>
      </c>
      <c r="DI448" s="123">
        <f t="shared" si="159"/>
        <v>16</v>
      </c>
      <c r="DJ448" s="36" t="str">
        <f ca="1">OFFSET(gr_header,DG448+DE428,1+DF428)</f>
        <v/>
      </c>
      <c r="DK448" s="36" t="str">
        <f ca="1">OFFSET(gr_header,DH448+DE428,1+DF428)</f>
        <v/>
      </c>
      <c r="DL448" s="123">
        <f ca="1">OFFSET(gr_header,DG448+DE428,2*DH448+DF428)</f>
        <v>0</v>
      </c>
      <c r="DM448" s="123">
        <f ca="1">OFFSET(gr_header,DG448+DE428,2*DH448+1+DF428)</f>
        <v>0</v>
      </c>
      <c r="DO448" s="182"/>
      <c r="DP448" s="182"/>
      <c r="DQ448" s="182"/>
      <c r="DR448" s="182"/>
      <c r="DS448" s="182"/>
      <c r="DT448" s="182"/>
    </row>
    <row r="449" spans="109:124">
      <c r="DE449" s="159"/>
      <c r="DF449" s="159"/>
      <c r="DG449" s="159">
        <v>4</v>
      </c>
      <c r="DH449" s="159">
        <v>8</v>
      </c>
      <c r="DI449" s="123">
        <f t="shared" si="159"/>
        <v>16</v>
      </c>
      <c r="DJ449" s="36" t="str">
        <f ca="1">OFFSET(gr_header,DG449+DE428,1+DF428)</f>
        <v/>
      </c>
      <c r="DK449" s="36" t="str">
        <f ca="1">OFFSET(gr_header,DH449+DE428,1+DF428)</f>
        <v/>
      </c>
      <c r="DL449" s="123">
        <f ca="1">OFFSET(gr_header,DG449+DE428,2*DH449+DF428)</f>
        <v>0</v>
      </c>
      <c r="DM449" s="123">
        <f ca="1">OFFSET(gr_header,DG449+DE428,2*DH449+1+DF428)</f>
        <v>0</v>
      </c>
      <c r="DO449" s="182"/>
      <c r="DP449" s="182"/>
      <c r="DQ449" s="182"/>
      <c r="DR449" s="182"/>
      <c r="DS449" s="182"/>
      <c r="DT449" s="182"/>
    </row>
    <row r="450" spans="109:124">
      <c r="DE450" s="159"/>
      <c r="DF450" s="159"/>
      <c r="DG450" s="159">
        <v>5</v>
      </c>
      <c r="DH450" s="159">
        <v>6</v>
      </c>
      <c r="DI450" s="123">
        <f t="shared" si="159"/>
        <v>16</v>
      </c>
      <c r="DJ450" s="36" t="str">
        <f ca="1">OFFSET(gr_header,DG450+DE428,1+DF428)</f>
        <v/>
      </c>
      <c r="DK450" s="36" t="str">
        <f ca="1">OFFSET(gr_header,DH450+DE428,1+DF428)</f>
        <v/>
      </c>
      <c r="DL450" s="123">
        <f ca="1">OFFSET(gr_header,DG450+DE428,2*DH450+DF428)</f>
        <v>0</v>
      </c>
      <c r="DM450" s="123">
        <f ca="1">OFFSET(gr_header,DG450+DE428,2*DH450+1+DF428)</f>
        <v>0</v>
      </c>
      <c r="DO450" s="182"/>
      <c r="DP450" s="182"/>
      <c r="DQ450" s="182"/>
      <c r="DR450" s="182"/>
      <c r="DS450" s="182"/>
      <c r="DT450" s="182"/>
    </row>
    <row r="451" spans="109:124">
      <c r="DE451" s="159"/>
      <c r="DF451" s="159"/>
      <c r="DG451" s="159">
        <v>5</v>
      </c>
      <c r="DH451" s="159">
        <v>7</v>
      </c>
      <c r="DI451" s="123">
        <f t="shared" si="159"/>
        <v>16</v>
      </c>
      <c r="DJ451" s="36" t="str">
        <f ca="1">OFFSET(gr_header,DG451+DE428,1+DF428)</f>
        <v/>
      </c>
      <c r="DK451" s="36" t="str">
        <f ca="1">OFFSET(gr_header,DH451+DE428,1+DF428)</f>
        <v/>
      </c>
      <c r="DL451" s="123">
        <f ca="1">OFFSET(gr_header,DG451+DE428,2*DH451+DF428)</f>
        <v>0</v>
      </c>
      <c r="DM451" s="123">
        <f ca="1">OFFSET(gr_header,DG451+DE428,2*DH451+1+DF428)</f>
        <v>0</v>
      </c>
      <c r="DO451" s="182"/>
      <c r="DP451" s="182"/>
      <c r="DQ451" s="182"/>
      <c r="DR451" s="182"/>
      <c r="DS451" s="182"/>
      <c r="DT451" s="182"/>
    </row>
    <row r="452" spans="109:124">
      <c r="DE452" s="159"/>
      <c r="DF452" s="159"/>
      <c r="DG452" s="159">
        <v>5</v>
      </c>
      <c r="DH452" s="159">
        <v>8</v>
      </c>
      <c r="DI452" s="123">
        <f t="shared" si="159"/>
        <v>16</v>
      </c>
      <c r="DJ452" s="36" t="str">
        <f ca="1">OFFSET(gr_header,DG452+DE428,1+DF428)</f>
        <v/>
      </c>
      <c r="DK452" s="36" t="str">
        <f ca="1">OFFSET(gr_header,DH452+DE428,1+DF428)</f>
        <v/>
      </c>
      <c r="DL452" s="123">
        <f ca="1">OFFSET(gr_header,DG452+DE428,2*DH452+DF428)</f>
        <v>0</v>
      </c>
      <c r="DM452" s="123">
        <f ca="1">OFFSET(gr_header,DG452+DE428,2*DH452+1+DF428)</f>
        <v>0</v>
      </c>
      <c r="DO452" s="182"/>
      <c r="DP452" s="182"/>
      <c r="DQ452" s="182"/>
      <c r="DR452" s="182"/>
      <c r="DS452" s="182"/>
      <c r="DT452" s="182"/>
    </row>
    <row r="453" spans="109:124">
      <c r="DE453" s="159"/>
      <c r="DF453" s="159"/>
      <c r="DG453" s="159">
        <v>6</v>
      </c>
      <c r="DH453" s="159">
        <v>7</v>
      </c>
      <c r="DI453" s="123">
        <f t="shared" si="159"/>
        <v>16</v>
      </c>
      <c r="DJ453" s="36" t="str">
        <f ca="1">OFFSET(gr_header,DG453+DE428,1+DF428)</f>
        <v/>
      </c>
      <c r="DK453" s="36" t="str">
        <f ca="1">OFFSET(gr_header,DH453+DE428,1+DF428)</f>
        <v/>
      </c>
      <c r="DL453" s="123">
        <f ca="1">OFFSET(gr_header,DG453+DE428,2*DH453+DF428)</f>
        <v>0</v>
      </c>
      <c r="DM453" s="123">
        <f ca="1">OFFSET(gr_header,DG453+DE428,2*DH453+1+DF428)</f>
        <v>0</v>
      </c>
      <c r="DO453" s="182"/>
      <c r="DP453" s="182"/>
      <c r="DQ453" s="182"/>
      <c r="DR453" s="182"/>
      <c r="DS453" s="182"/>
      <c r="DT453" s="182"/>
    </row>
    <row r="454" spans="109:124">
      <c r="DE454" s="159"/>
      <c r="DF454" s="159"/>
      <c r="DG454" s="159">
        <v>6</v>
      </c>
      <c r="DH454" s="159">
        <v>8</v>
      </c>
      <c r="DI454" s="123">
        <f t="shared" si="159"/>
        <v>16</v>
      </c>
      <c r="DJ454" s="36" t="str">
        <f ca="1">OFFSET(gr_header,DG454+DE428,1+DF428)</f>
        <v/>
      </c>
      <c r="DK454" s="36" t="str">
        <f ca="1">OFFSET(gr_header,DH454+DE428,1+DF428)</f>
        <v/>
      </c>
      <c r="DL454" s="123">
        <f ca="1">OFFSET(gr_header,DG454+DE428,2*DH454+DF428)</f>
        <v>0</v>
      </c>
      <c r="DM454" s="123">
        <f ca="1">OFFSET(gr_header,DG454+DE428,2*DH454+1+DF428)</f>
        <v>0</v>
      </c>
      <c r="DO454" s="182"/>
      <c r="DP454" s="182"/>
      <c r="DQ454" s="182"/>
      <c r="DR454" s="182"/>
      <c r="DS454" s="182"/>
      <c r="DT454" s="182"/>
    </row>
    <row r="455" spans="109:124">
      <c r="DE455" s="159"/>
      <c r="DF455" s="159"/>
      <c r="DG455" s="159">
        <v>7</v>
      </c>
      <c r="DH455" s="159">
        <v>8</v>
      </c>
      <c r="DI455" s="123">
        <f t="shared" si="159"/>
        <v>16</v>
      </c>
      <c r="DJ455" s="36" t="str">
        <f ca="1">OFFSET(gr_header,DG455+DE428,1+DF428)</f>
        <v/>
      </c>
      <c r="DK455" s="36" t="str">
        <f ca="1">OFFSET(gr_header,DH455+DE428,1+DF428)</f>
        <v/>
      </c>
      <c r="DL455" s="123">
        <f ca="1">OFFSET(gr_header,DG455+DE428,2*DH455+DF428)</f>
        <v>0</v>
      </c>
      <c r="DM455" s="123">
        <f ca="1">OFFSET(gr_header,DG455+DE455,2*DH455+1+DF455)</f>
        <v>0</v>
      </c>
      <c r="DO455" s="182"/>
      <c r="DP455" s="182"/>
      <c r="DQ455" s="182"/>
      <c r="DR455" s="182"/>
      <c r="DS455" s="182"/>
      <c r="DT455" s="182"/>
    </row>
  </sheetData>
  <mergeCells count="144">
    <mergeCell ref="AL68:AM68"/>
    <mergeCell ref="AN68:AO68"/>
    <mergeCell ref="AP68:AQ68"/>
    <mergeCell ref="P58:Q58"/>
    <mergeCell ref="R58:S58"/>
    <mergeCell ref="AL58:AM58"/>
    <mergeCell ref="AN58:AO58"/>
    <mergeCell ref="AN78:AO78"/>
    <mergeCell ref="AP78:AQ78"/>
    <mergeCell ref="P78:Q78"/>
    <mergeCell ref="R78:S78"/>
    <mergeCell ref="AL78:AM78"/>
    <mergeCell ref="AB78:AC78"/>
    <mergeCell ref="AD78:AE78"/>
    <mergeCell ref="AF78:AG78"/>
    <mergeCell ref="AH78:AI78"/>
    <mergeCell ref="AB68:AC68"/>
    <mergeCell ref="AD68:AE68"/>
    <mergeCell ref="AF68:AG68"/>
    <mergeCell ref="AJ78:AK78"/>
    <mergeCell ref="AH68:AI68"/>
    <mergeCell ref="AJ68:AK68"/>
    <mergeCell ref="P68:Q68"/>
    <mergeCell ref="R68:S68"/>
    <mergeCell ref="AF18:AG18"/>
    <mergeCell ref="AH18:AI18"/>
    <mergeCell ref="AJ18:AK18"/>
    <mergeCell ref="AF28:AG28"/>
    <mergeCell ref="AL8:AM8"/>
    <mergeCell ref="AF8:AG8"/>
    <mergeCell ref="AH8:AI8"/>
    <mergeCell ref="AJ8:AK8"/>
    <mergeCell ref="N38:O38"/>
    <mergeCell ref="AD18:AE18"/>
    <mergeCell ref="AL18:AM18"/>
    <mergeCell ref="AH38:AI38"/>
    <mergeCell ref="AJ38:AK38"/>
    <mergeCell ref="AB38:AC38"/>
    <mergeCell ref="AD38:AE38"/>
    <mergeCell ref="AF38:AG38"/>
    <mergeCell ref="D8:E8"/>
    <mergeCell ref="F8:G8"/>
    <mergeCell ref="H8:I8"/>
    <mergeCell ref="J8:K8"/>
    <mergeCell ref="AD8:AE8"/>
    <mergeCell ref="N18:O18"/>
    <mergeCell ref="D18:E18"/>
    <mergeCell ref="F18:G18"/>
    <mergeCell ref="H18:I18"/>
    <mergeCell ref="J18:K18"/>
    <mergeCell ref="L8:M8"/>
    <mergeCell ref="AB8:AC8"/>
    <mergeCell ref="N8:O8"/>
    <mergeCell ref="P18:Q18"/>
    <mergeCell ref="V18:W18"/>
    <mergeCell ref="L18:M18"/>
    <mergeCell ref="R18:S18"/>
    <mergeCell ref="P8:Q8"/>
    <mergeCell ref="R8:S8"/>
    <mergeCell ref="V8:W8"/>
    <mergeCell ref="AB18:AC18"/>
    <mergeCell ref="D48:E48"/>
    <mergeCell ref="F48:G48"/>
    <mergeCell ref="H48:I48"/>
    <mergeCell ref="J48:K48"/>
    <mergeCell ref="L48:M48"/>
    <mergeCell ref="V48:W48"/>
    <mergeCell ref="D28:E28"/>
    <mergeCell ref="F28:G28"/>
    <mergeCell ref="H28:I28"/>
    <mergeCell ref="J28:K28"/>
    <mergeCell ref="L28:M28"/>
    <mergeCell ref="N28:O28"/>
    <mergeCell ref="P28:Q28"/>
    <mergeCell ref="R28:S28"/>
    <mergeCell ref="V28:W28"/>
    <mergeCell ref="D38:E38"/>
    <mergeCell ref="F38:G38"/>
    <mergeCell ref="H38:I38"/>
    <mergeCell ref="J38:K38"/>
    <mergeCell ref="L38:M38"/>
    <mergeCell ref="P38:Q38"/>
    <mergeCell ref="R38:S38"/>
    <mergeCell ref="V38:W38"/>
    <mergeCell ref="J78:K78"/>
    <mergeCell ref="AH58:AI58"/>
    <mergeCell ref="AJ58:AK58"/>
    <mergeCell ref="D58:E58"/>
    <mergeCell ref="F58:G58"/>
    <mergeCell ref="H58:I58"/>
    <mergeCell ref="J58:K58"/>
    <mergeCell ref="L58:M58"/>
    <mergeCell ref="V58:W58"/>
    <mergeCell ref="AB58:AC58"/>
    <mergeCell ref="AD58:AE58"/>
    <mergeCell ref="AF58:AG58"/>
    <mergeCell ref="D68:E68"/>
    <mergeCell ref="F68:G68"/>
    <mergeCell ref="H68:I68"/>
    <mergeCell ref="J68:K68"/>
    <mergeCell ref="L78:M78"/>
    <mergeCell ref="V78:W78"/>
    <mergeCell ref="D78:E78"/>
    <mergeCell ref="F78:G78"/>
    <mergeCell ref="H78:I78"/>
    <mergeCell ref="L68:M68"/>
    <mergeCell ref="V68:W68"/>
    <mergeCell ref="N68:O68"/>
    <mergeCell ref="N78:O78"/>
    <mergeCell ref="AH48:AI48"/>
    <mergeCell ref="AJ48:AK48"/>
    <mergeCell ref="AD48:AE48"/>
    <mergeCell ref="AF48:AG48"/>
    <mergeCell ref="AT58:AU58"/>
    <mergeCell ref="AJ28:AK28"/>
    <mergeCell ref="AT38:AU38"/>
    <mergeCell ref="AH28:AI28"/>
    <mergeCell ref="AN38:AO38"/>
    <mergeCell ref="AP38:AQ38"/>
    <mergeCell ref="AL48:AM48"/>
    <mergeCell ref="AN48:AO48"/>
    <mergeCell ref="AP48:AQ48"/>
    <mergeCell ref="AP58:AQ58"/>
    <mergeCell ref="N58:O58"/>
    <mergeCell ref="N48:O48"/>
    <mergeCell ref="P48:Q48"/>
    <mergeCell ref="R48:S48"/>
    <mergeCell ref="AB48:AC48"/>
    <mergeCell ref="AB28:AC28"/>
    <mergeCell ref="AD28:AE28"/>
    <mergeCell ref="AL38:AM38"/>
    <mergeCell ref="AL28:AM28"/>
    <mergeCell ref="AN8:AO8"/>
    <mergeCell ref="AP8:AQ8"/>
    <mergeCell ref="AT78:AU78"/>
    <mergeCell ref="AT48:AU48"/>
    <mergeCell ref="AT18:AU18"/>
    <mergeCell ref="AT8:AU8"/>
    <mergeCell ref="AT28:AU28"/>
    <mergeCell ref="AN28:AO28"/>
    <mergeCell ref="AP28:AQ28"/>
    <mergeCell ref="AN18:AO18"/>
    <mergeCell ref="AP18:AQ18"/>
    <mergeCell ref="AT68:AU68"/>
  </mergeCells>
  <phoneticPr fontId="20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1"/>
  </sheetPr>
  <dimension ref="A3:D103"/>
  <sheetViews>
    <sheetView workbookViewId="0">
      <selection activeCell="B35" sqref="B35"/>
    </sheetView>
  </sheetViews>
  <sheetFormatPr defaultRowHeight="11.25"/>
  <cols>
    <col min="1" max="1" width="4.625" customWidth="1"/>
    <col min="2" max="4" width="28.625" customWidth="1"/>
  </cols>
  <sheetData>
    <row r="3" spans="1:4">
      <c r="A3" s="33" t="s">
        <v>18</v>
      </c>
      <c r="B3" s="30">
        <v>1</v>
      </c>
      <c r="C3" s="31">
        <v>2</v>
      </c>
      <c r="D3" s="32">
        <v>3</v>
      </c>
    </row>
    <row r="4" spans="1:4">
      <c r="A4" s="2">
        <v>1</v>
      </c>
      <c r="B4" s="2" t="str">
        <f ca="1">IF(ISNA(MATCH($A4,Посев!$BI$54:$BI$153,0)),"",OFFSET(final1,MATCH($A4,Посев!$BI$54:$BI$153,0),-9))</f>
        <v/>
      </c>
      <c r="C4" s="2" t="str">
        <f ca="1">IF(ISNA(MATCH($A4,Посев!$BT$54:$BT$153,0)),"",OFFSET(final2,MATCH($A4,Посев!$BT$54:$BT$153,0),-9))</f>
        <v/>
      </c>
      <c r="D4" s="2" t="str">
        <f ca="1">IF(ISNA(MATCH($A4,Посев!$CE$54:$CE$153,0)),"",OFFSET(final3,MATCH($A4,Посев!$CE$54:$CE$153,0),-9))</f>
        <v/>
      </c>
    </row>
    <row r="5" spans="1:4">
      <c r="A5" s="2">
        <v>2</v>
      </c>
      <c r="B5" s="2" t="str">
        <f ca="1">IF(ISNA(MATCH($A5,Посев!$BI$54:$BI$153,0)),"",OFFSET(final1,MATCH($A5,Посев!$BI$54:$BI$153,0),-9))</f>
        <v/>
      </c>
      <c r="C5" s="2" t="str">
        <f ca="1">IF(ISNA(MATCH($A5,Посев!$BT$54:$BT$153,0)),"",OFFSET(final2,MATCH($A5,Посев!$BT$54:$BT$153,0),-9))</f>
        <v/>
      </c>
      <c r="D5" s="2" t="str">
        <f ca="1">IF(ISNA(MATCH($A5,Посев!$CE$54:$CE$153,0)),"",OFFSET(final3,MATCH($A5,Посев!$CE$54:$CE$153,0),-9))</f>
        <v/>
      </c>
    </row>
    <row r="6" spans="1:4">
      <c r="A6" s="2">
        <v>3</v>
      </c>
      <c r="B6" s="2" t="str">
        <f ca="1">IF(ISNA(MATCH($A6,Посев!$BI$54:$BI$153,0)),"",OFFSET(final1,MATCH($A6,Посев!$BI$54:$BI$153,0),-9))</f>
        <v/>
      </c>
      <c r="C6" s="2" t="str">
        <f ca="1">IF(ISNA(MATCH($A6,Посев!$BT$54:$BT$153,0)),"",OFFSET(final2,MATCH($A6,Посев!$BT$54:$BT$153,0),-9))</f>
        <v/>
      </c>
      <c r="D6" s="2" t="str">
        <f ca="1">IF(ISNA(MATCH($A6,Посев!$CE$54:$CE$153,0)),"",OFFSET(final3,MATCH($A6,Посев!$CE$54:$CE$153,0),-9))</f>
        <v/>
      </c>
    </row>
    <row r="7" spans="1:4">
      <c r="A7" s="2">
        <v>4</v>
      </c>
      <c r="B7" s="2" t="str">
        <f ca="1">IF(ISNA(MATCH($A7,Посев!$BI$54:$BI$153,0)),"",OFFSET(final1,MATCH($A7,Посев!$BI$54:$BI$153,0),-9))</f>
        <v/>
      </c>
      <c r="C7" s="2" t="str">
        <f ca="1">IF(ISNA(MATCH($A7,Посев!$BT$54:$BT$153,0)),"",OFFSET(final2,MATCH($A7,Посев!$BT$54:$BT$153,0),-9))</f>
        <v/>
      </c>
      <c r="D7" s="2" t="str">
        <f ca="1">IF(ISNA(MATCH($A7,Посев!$CE$54:$CE$153,0)),"",OFFSET(final3,MATCH($A7,Посев!$CE$54:$CE$153,0),-9))</f>
        <v/>
      </c>
    </row>
    <row r="8" spans="1:4">
      <c r="A8" s="2">
        <v>5</v>
      </c>
      <c r="B8" s="2" t="str">
        <f ca="1">IF(ISNA(MATCH($A8,Посев!$BI$54:$BI$153,0)),"",OFFSET(final1,MATCH($A8,Посев!$BI$54:$BI$153,0),-9))</f>
        <v/>
      </c>
      <c r="C8" s="2" t="str">
        <f ca="1">IF(ISNA(MATCH($A8,Посев!$BT$54:$BT$153,0)),"",OFFSET(final2,MATCH($A8,Посев!$BT$54:$BT$153,0),-9))</f>
        <v/>
      </c>
      <c r="D8" s="2" t="str">
        <f ca="1">IF(ISNA(MATCH($A8,Посев!$CE$54:$CE$153,0)),"",OFFSET(final3,MATCH($A8,Посев!$CE$54:$CE$153,0),-9))</f>
        <v/>
      </c>
    </row>
    <row r="9" spans="1:4">
      <c r="A9" s="2">
        <v>6</v>
      </c>
      <c r="B9" s="2" t="str">
        <f ca="1">IF(ISNA(MATCH($A9,Посев!$BI$54:$BI$153,0)),"",OFFSET(final1,MATCH($A9,Посев!$BI$54:$BI$153,0),-9))</f>
        <v/>
      </c>
      <c r="C9" s="2" t="str">
        <f ca="1">IF(ISNA(MATCH($A9,Посев!$BT$54:$BT$153,0)),"",OFFSET(final2,MATCH($A9,Посев!$BT$54:$BT$153,0),-9))</f>
        <v/>
      </c>
      <c r="D9" s="2" t="str">
        <f ca="1">IF(ISNA(MATCH($A9,Посев!$CE$54:$CE$153,0)),"",OFFSET(final3,MATCH($A9,Посев!$CE$54:$CE$153,0),-9))</f>
        <v/>
      </c>
    </row>
    <row r="10" spans="1:4">
      <c r="A10" s="2">
        <v>7</v>
      </c>
      <c r="B10" s="2" t="str">
        <f ca="1">IF(ISNA(MATCH($A10,Посев!$BI$54:$BI$153,0)),"",OFFSET(final1,MATCH($A10,Посев!$BI$54:$BI$153,0),-9))</f>
        <v/>
      </c>
      <c r="C10" s="2" t="str">
        <f ca="1">IF(ISNA(MATCH($A10,Посев!$BT$54:$BT$153,0)),"",OFFSET(final2,MATCH($A10,Посев!$BT$54:$BT$153,0),-9))</f>
        <v/>
      </c>
      <c r="D10" s="2" t="str">
        <f ca="1">IF(ISNA(MATCH($A10,Посев!$CE$54:$CE$153,0)),"",OFFSET(final3,MATCH($A10,Посев!$CE$54:$CE$153,0),-9))</f>
        <v/>
      </c>
    </row>
    <row r="11" spans="1:4">
      <c r="A11" s="2">
        <v>8</v>
      </c>
      <c r="B11" s="2" t="str">
        <f ca="1">IF(ISNA(MATCH($A11,Посев!$BI$54:$BI$153,0)),"",OFFSET(final1,MATCH($A11,Посев!$BI$54:$BI$153,0),-9))</f>
        <v/>
      </c>
      <c r="C11" s="2" t="str">
        <f ca="1">IF(ISNA(MATCH($A11,Посев!$BT$54:$BT$153,0)),"",OFFSET(final2,MATCH($A11,Посев!$BT$54:$BT$153,0),-9))</f>
        <v/>
      </c>
      <c r="D11" s="2" t="str">
        <f ca="1">IF(ISNA(MATCH($A11,Посев!$CE$54:$CE$153,0)),"",OFFSET(final3,MATCH($A11,Посев!$CE$54:$CE$153,0),-9))</f>
        <v/>
      </c>
    </row>
    <row r="12" spans="1:4">
      <c r="A12" s="2">
        <v>9</v>
      </c>
      <c r="B12" s="2" t="str">
        <f ca="1">IF(ISNA(MATCH($A12,Посев!$BI$54:$BI$153,0)),"",OFFSET(final1,MATCH($A12,Посев!$BI$54:$BI$153,0),-9))</f>
        <v/>
      </c>
      <c r="C12" s="2" t="str">
        <f ca="1">IF(ISNA(MATCH($A12,Посев!$BT$54:$BT$153,0)),"",OFFSET(final2,MATCH($A12,Посев!$BT$54:$BT$153,0),-9))</f>
        <v/>
      </c>
      <c r="D12" s="2" t="str">
        <f ca="1">IF(ISNA(MATCH($A12,Посев!$CE$54:$CE$153,0)),"",OFFSET(final3,MATCH($A12,Посев!$CE$54:$CE$153,0),-9))</f>
        <v/>
      </c>
    </row>
    <row r="13" spans="1:4">
      <c r="A13" s="2">
        <v>10</v>
      </c>
      <c r="B13" s="2" t="str">
        <f ca="1">IF(ISNA(MATCH($A13,Посев!$BI$54:$BI$153,0)),"",OFFSET(final1,MATCH($A13,Посев!$BI$54:$BI$153,0),-9))</f>
        <v/>
      </c>
      <c r="C13" s="2" t="str">
        <f ca="1">IF(ISNA(MATCH($A13,Посев!$BT$54:$BT$153,0)),"",OFFSET(final2,MATCH($A13,Посев!$BT$54:$BT$153,0),-9))</f>
        <v/>
      </c>
      <c r="D13" s="2" t="str">
        <f ca="1">IF(ISNA(MATCH($A13,Посев!$CE$54:$CE$153,0)),"",OFFSET(final3,MATCH($A13,Посев!$CE$54:$CE$153,0),-9))</f>
        <v/>
      </c>
    </row>
    <row r="14" spans="1:4">
      <c r="A14" s="2">
        <v>11</v>
      </c>
      <c r="B14" s="2" t="str">
        <f ca="1">IF(ISNA(MATCH($A14,Посев!$BI$54:$BI$153,0)),"",OFFSET(final1,MATCH($A14,Посев!$BI$54:$BI$153,0),-9))</f>
        <v/>
      </c>
      <c r="C14" s="2" t="str">
        <f ca="1">IF(ISNA(MATCH($A14,Посев!$BT$54:$BT$153,0)),"",OFFSET(final2,MATCH($A14,Посев!$BT$54:$BT$153,0),-9))</f>
        <v/>
      </c>
      <c r="D14" s="2" t="str">
        <f ca="1">IF(ISNA(MATCH($A14,Посев!$CE$54:$CE$153,0)),"",OFFSET(final3,MATCH($A14,Посев!$CE$54:$CE$153,0),-9))</f>
        <v/>
      </c>
    </row>
    <row r="15" spans="1:4">
      <c r="A15" s="2">
        <v>12</v>
      </c>
      <c r="B15" s="2" t="str">
        <f ca="1">IF(ISNA(MATCH($A15,Посев!$BI$54:$BI$153,0)),"",OFFSET(final1,MATCH($A15,Посев!$BI$54:$BI$153,0),-9))</f>
        <v/>
      </c>
      <c r="C15" s="2" t="str">
        <f ca="1">IF(ISNA(MATCH($A15,Посев!$BT$54:$BT$153,0)),"",OFFSET(final2,MATCH($A15,Посев!$BT$54:$BT$153,0),-9))</f>
        <v/>
      </c>
      <c r="D15" s="2" t="str">
        <f ca="1">IF(ISNA(MATCH($A15,Посев!$CE$54:$CE$153,0)),"",OFFSET(final3,MATCH($A15,Посев!$CE$54:$CE$153,0),-9))</f>
        <v/>
      </c>
    </row>
    <row r="16" spans="1:4">
      <c r="A16" s="2">
        <v>13</v>
      </c>
      <c r="B16" s="2" t="str">
        <f ca="1">IF(ISNA(MATCH($A16,Посев!$BI$54:$BI$153,0)),"",OFFSET(final1,MATCH($A16,Посев!$BI$54:$BI$153,0),-9))</f>
        <v/>
      </c>
      <c r="C16" s="2" t="str">
        <f ca="1">IF(ISNA(MATCH($A16,Посев!$BT$54:$BT$153,0)),"",OFFSET(final2,MATCH($A16,Посев!$BT$54:$BT$153,0),-9))</f>
        <v/>
      </c>
      <c r="D16" s="2" t="str">
        <f ca="1">IF(ISNA(MATCH($A16,Посев!$CE$54:$CE$153,0)),"",OFFSET(final3,MATCH($A16,Посев!$CE$54:$CE$153,0),-9))</f>
        <v/>
      </c>
    </row>
    <row r="17" spans="1:4">
      <c r="A17" s="2">
        <v>14</v>
      </c>
      <c r="B17" s="2" t="str">
        <f ca="1">IF(ISNA(MATCH($A17,Посев!$BI$54:$BI$153,0)),"",OFFSET(final1,MATCH($A17,Посев!$BI$54:$BI$153,0),-9))</f>
        <v/>
      </c>
      <c r="C17" s="2" t="str">
        <f ca="1">IF(ISNA(MATCH($A17,Посев!$BT$54:$BT$153,0)),"",OFFSET(final2,MATCH($A17,Посев!$BT$54:$BT$153,0),-9))</f>
        <v/>
      </c>
      <c r="D17" s="2" t="str">
        <f ca="1">IF(ISNA(MATCH($A17,Посев!$CE$54:$CE$153,0)),"",OFFSET(final3,MATCH($A17,Посев!$CE$54:$CE$153,0),-9))</f>
        <v/>
      </c>
    </row>
    <row r="18" spans="1:4">
      <c r="A18" s="2">
        <v>15</v>
      </c>
      <c r="B18" s="2" t="str">
        <f ca="1">IF(ISNA(MATCH($A18,Посев!$BI$54:$BI$153,0)),"",OFFSET(final1,MATCH($A18,Посев!$BI$54:$BI$153,0),-9))</f>
        <v/>
      </c>
      <c r="C18" s="2" t="str">
        <f ca="1">IF(ISNA(MATCH($A18,Посев!$BT$54:$BT$153,0)),"",OFFSET(final2,MATCH($A18,Посев!$BT$54:$BT$153,0),-9))</f>
        <v/>
      </c>
      <c r="D18" s="2" t="str">
        <f ca="1">IF(ISNA(MATCH($A18,Посев!$CE$54:$CE$153,0)),"",OFFSET(final3,MATCH($A18,Посев!$CE$54:$CE$153,0),-9))</f>
        <v/>
      </c>
    </row>
    <row r="19" spans="1:4">
      <c r="A19" s="2">
        <v>16</v>
      </c>
      <c r="B19" s="2" t="str">
        <f ca="1">IF(ISNA(MATCH($A19,Посев!$BI$54:$BI$153,0)),"",OFFSET(final1,MATCH($A19,Посев!$BI$54:$BI$153,0),-9))</f>
        <v/>
      </c>
      <c r="C19" s="2" t="str">
        <f ca="1">IF(ISNA(MATCH($A19,Посев!$BT$54:$BT$153,0)),"",OFFSET(final2,MATCH($A19,Посев!$BT$54:$BT$153,0),-9))</f>
        <v/>
      </c>
      <c r="D19" s="2" t="str">
        <f ca="1">IF(ISNA(MATCH($A19,Посев!$CE$54:$CE$153,0)),"",OFFSET(final3,MATCH($A19,Посев!$CE$54:$CE$153,0),-9))</f>
        <v/>
      </c>
    </row>
    <row r="20" spans="1:4">
      <c r="A20" s="2">
        <v>17</v>
      </c>
      <c r="B20" s="2" t="str">
        <f ca="1">IF(ISNA(MATCH($A20,Посев!$BI$54:$BI$153,0)),"",OFFSET(final1,MATCH($A20,Посев!$BI$54:$BI$153,0),-9))</f>
        <v/>
      </c>
      <c r="C20" s="2" t="str">
        <f ca="1">IF(ISNA(MATCH($A20,Посев!$BT$54:$BT$153,0)),"",OFFSET(final2,MATCH($A20,Посев!$BT$54:$BT$153,0),-9))</f>
        <v/>
      </c>
      <c r="D20" s="2" t="str">
        <f ca="1">IF(ISNA(MATCH($A20,Посев!$CE$54:$CE$153,0)),"",OFFSET(final3,MATCH($A20,Посев!$CE$54:$CE$153,0),-9))</f>
        <v/>
      </c>
    </row>
    <row r="21" spans="1:4">
      <c r="A21" s="2">
        <v>18</v>
      </c>
      <c r="B21" s="2" t="str">
        <f ca="1">IF(ISNA(MATCH($A21,Посев!$BI$54:$BI$153,0)),"",OFFSET(final1,MATCH($A21,Посев!$BI$54:$BI$153,0),-9))</f>
        <v/>
      </c>
      <c r="C21" s="2" t="str">
        <f ca="1">IF(ISNA(MATCH($A21,Посев!$BT$54:$BT$153,0)),"",OFFSET(final2,MATCH($A21,Посев!$BT$54:$BT$153,0),-9))</f>
        <v/>
      </c>
      <c r="D21" s="2" t="str">
        <f ca="1">IF(ISNA(MATCH($A21,Посев!$CE$54:$CE$153,0)),"",OFFSET(final3,MATCH($A21,Посев!$CE$54:$CE$153,0),-9))</f>
        <v/>
      </c>
    </row>
    <row r="22" spans="1:4">
      <c r="A22" s="2">
        <v>19</v>
      </c>
      <c r="B22" s="2" t="str">
        <f ca="1">IF(ISNA(MATCH($A22,Посев!$BI$54:$BI$153,0)),"",OFFSET(final1,MATCH($A22,Посев!$BI$54:$BI$153,0),-9))</f>
        <v/>
      </c>
      <c r="C22" s="2" t="str">
        <f ca="1">IF(ISNA(MATCH($A22,Посев!$BT$54:$BT$153,0)),"",OFFSET(final2,MATCH($A22,Посев!$BT$54:$BT$153,0),-9))</f>
        <v/>
      </c>
      <c r="D22" s="2" t="str">
        <f ca="1">IF(ISNA(MATCH($A22,Посев!$CE$54:$CE$153,0)),"",OFFSET(final3,MATCH($A22,Посев!$CE$54:$CE$153,0),-9))</f>
        <v/>
      </c>
    </row>
    <row r="23" spans="1:4">
      <c r="A23" s="2">
        <v>20</v>
      </c>
      <c r="B23" s="2" t="str">
        <f ca="1">IF(ISNA(MATCH($A23,Посев!$BI$54:$BI$153,0)),"",OFFSET(final1,MATCH($A23,Посев!$BI$54:$BI$153,0),-9))</f>
        <v/>
      </c>
      <c r="C23" s="2" t="str">
        <f ca="1">IF(ISNA(MATCH($A23,Посев!$BT$54:$BT$153,0)),"",OFFSET(final2,MATCH($A23,Посев!$BT$54:$BT$153,0),-9))</f>
        <v/>
      </c>
      <c r="D23" s="2" t="str">
        <f ca="1">IF(ISNA(MATCH($A23,Посев!$CE$54:$CE$153,0)),"",OFFSET(final3,MATCH($A23,Посев!$CE$54:$CE$153,0),-9))</f>
        <v/>
      </c>
    </row>
    <row r="24" spans="1:4">
      <c r="A24" s="2">
        <v>21</v>
      </c>
      <c r="B24" s="2" t="str">
        <f ca="1">IF(ISNA(MATCH($A24,Посев!$BI$54:$BI$153,0)),"",OFFSET(final1,MATCH($A24,Посев!$BI$54:$BI$153,0),-9))</f>
        <v/>
      </c>
      <c r="C24" s="2" t="str">
        <f ca="1">IF(ISNA(MATCH($A24,Посев!$BT$54:$BT$153,0)),"",OFFSET(final2,MATCH($A24,Посев!$BT$54:$BT$153,0),-9))</f>
        <v/>
      </c>
      <c r="D24" s="2" t="str">
        <f ca="1">IF(ISNA(MATCH($A24,Посев!$CE$54:$CE$153,0)),"",OFFSET(final3,MATCH($A24,Посев!$CE$54:$CE$153,0),-9))</f>
        <v/>
      </c>
    </row>
    <row r="25" spans="1:4">
      <c r="A25" s="2">
        <v>22</v>
      </c>
      <c r="B25" s="2" t="str">
        <f ca="1">IF(ISNA(MATCH($A25,Посев!$BI$54:$BI$153,0)),"",OFFSET(final1,MATCH($A25,Посев!$BI$54:$BI$153,0),-9))</f>
        <v/>
      </c>
      <c r="C25" s="2" t="str">
        <f ca="1">IF(ISNA(MATCH($A25,Посев!$BT$54:$BT$153,0)),"",OFFSET(final2,MATCH($A25,Посев!$BT$54:$BT$153,0),-9))</f>
        <v/>
      </c>
      <c r="D25" s="2" t="str">
        <f ca="1">IF(ISNA(MATCH($A25,Посев!$CE$54:$CE$153,0)),"",OFFSET(final3,MATCH($A25,Посев!$CE$54:$CE$153,0),-9))</f>
        <v/>
      </c>
    </row>
    <row r="26" spans="1:4">
      <c r="A26" s="2">
        <v>23</v>
      </c>
      <c r="B26" s="2" t="str">
        <f ca="1">IF(ISNA(MATCH($A26,Посев!$BI$54:$BI$153,0)),"",OFFSET(final1,MATCH($A26,Посев!$BI$54:$BI$153,0),-9))</f>
        <v/>
      </c>
      <c r="C26" s="2" t="str">
        <f ca="1">IF(ISNA(MATCH($A26,Посев!$BT$54:$BT$153,0)),"",OFFSET(final2,MATCH($A26,Посев!$BT$54:$BT$153,0),-9))</f>
        <v/>
      </c>
      <c r="D26" s="2" t="str">
        <f ca="1">IF(ISNA(MATCH($A26,Посев!$CE$54:$CE$153,0)),"",OFFSET(final3,MATCH($A26,Посев!$CE$54:$CE$153,0),-9))</f>
        <v/>
      </c>
    </row>
    <row r="27" spans="1:4">
      <c r="A27" s="2">
        <v>24</v>
      </c>
      <c r="B27" s="2" t="str">
        <f ca="1">IF(ISNA(MATCH($A27,Посев!$BI$54:$BI$153,0)),"",OFFSET(final1,MATCH($A27,Посев!$BI$54:$BI$153,0),-9))</f>
        <v/>
      </c>
      <c r="C27" s="2" t="str">
        <f ca="1">IF(ISNA(MATCH($A27,Посев!$BT$54:$BT$153,0)),"",OFFSET(final2,MATCH($A27,Посев!$BT$54:$BT$153,0),-9))</f>
        <v/>
      </c>
      <c r="D27" s="2" t="str">
        <f ca="1">IF(ISNA(MATCH($A27,Посев!$CE$54:$CE$153,0)),"",OFFSET(final3,MATCH($A27,Посев!$CE$54:$CE$153,0),-9))</f>
        <v/>
      </c>
    </row>
    <row r="28" spans="1:4">
      <c r="A28" s="2">
        <v>25</v>
      </c>
      <c r="B28" s="2" t="str">
        <f ca="1">IF(ISNA(MATCH($A28,Посев!$BI$54:$BI$153,0)),"",OFFSET(final1,MATCH($A28,Посев!$BI$54:$BI$153,0),-9))</f>
        <v/>
      </c>
      <c r="C28" s="2" t="str">
        <f ca="1">IF(ISNA(MATCH($A28,Посев!$BT$54:$BT$153,0)),"",OFFSET(final2,MATCH($A28,Посев!$BT$54:$BT$153,0),-9))</f>
        <v/>
      </c>
      <c r="D28" s="2" t="str">
        <f ca="1">IF(ISNA(MATCH($A28,Посев!$CE$54:$CE$153,0)),"",OFFSET(final3,MATCH($A28,Посев!$CE$54:$CE$153,0),-9))</f>
        <v/>
      </c>
    </row>
    <row r="29" spans="1:4">
      <c r="A29" s="2">
        <v>26</v>
      </c>
      <c r="B29" s="2" t="str">
        <f ca="1">IF(ISNA(MATCH($A29,Посев!$BI$54:$BI$153,0)),"",OFFSET(final1,MATCH($A29,Посев!$BI$54:$BI$153,0),-9))</f>
        <v/>
      </c>
      <c r="C29" s="2" t="str">
        <f ca="1">IF(ISNA(MATCH($A29,Посев!$BT$54:$BT$153,0)),"",OFFSET(final2,MATCH($A29,Посев!$BT$54:$BT$153,0),-9))</f>
        <v/>
      </c>
      <c r="D29" s="2" t="str">
        <f ca="1">IF(ISNA(MATCH($A29,Посев!$CE$54:$CE$153,0)),"",OFFSET(final3,MATCH($A29,Посев!$CE$54:$CE$153,0),-9))</f>
        <v/>
      </c>
    </row>
    <row r="30" spans="1:4">
      <c r="A30" s="2">
        <v>27</v>
      </c>
      <c r="B30" s="2" t="str">
        <f ca="1">IF(ISNA(MATCH($A30,Посев!$BI$54:$BI$153,0)),"",OFFSET(final1,MATCH($A30,Посев!$BI$54:$BI$153,0),-9))</f>
        <v/>
      </c>
      <c r="C30" s="2" t="str">
        <f ca="1">IF(ISNA(MATCH($A30,Посев!$BT$54:$BT$153,0)),"",OFFSET(final2,MATCH($A30,Посев!$BT$54:$BT$153,0),-9))</f>
        <v/>
      </c>
      <c r="D30" s="2" t="str">
        <f ca="1">IF(ISNA(MATCH($A30,Посев!$CE$54:$CE$153,0)),"",OFFSET(final3,MATCH($A30,Посев!$CE$54:$CE$153,0),-9))</f>
        <v/>
      </c>
    </row>
    <row r="31" spans="1:4">
      <c r="A31" s="2">
        <v>28</v>
      </c>
      <c r="B31" s="2" t="str">
        <f ca="1">IF(ISNA(MATCH($A31,Посев!$BI$54:$BI$153,0)),"",OFFSET(final1,MATCH($A31,Посев!$BI$54:$BI$153,0),-9))</f>
        <v/>
      </c>
      <c r="C31" s="2" t="str">
        <f ca="1">IF(ISNA(MATCH($A31,Посев!$BT$54:$BT$153,0)),"",OFFSET(final2,MATCH($A31,Посев!$BT$54:$BT$153,0),-9))</f>
        <v/>
      </c>
      <c r="D31" s="2" t="str">
        <f ca="1">IF(ISNA(MATCH($A31,Посев!$CE$54:$CE$153,0)),"",OFFSET(final3,MATCH($A31,Посев!$CE$54:$CE$153,0),-9))</f>
        <v/>
      </c>
    </row>
    <row r="32" spans="1:4">
      <c r="A32" s="2">
        <v>29</v>
      </c>
      <c r="B32" s="2" t="str">
        <f ca="1">IF(ISNA(MATCH($A32,Посев!$BI$54:$BI$153,0)),"",OFFSET(final1,MATCH($A32,Посев!$BI$54:$BI$153,0),-9))</f>
        <v/>
      </c>
      <c r="C32" s="2" t="str">
        <f ca="1">IF(ISNA(MATCH($A32,Посев!$BT$54:$BT$153,0)),"",OFFSET(final2,MATCH($A32,Посев!$BT$54:$BT$153,0),-9))</f>
        <v/>
      </c>
      <c r="D32" s="2" t="str">
        <f ca="1">IF(ISNA(MATCH($A32,Посев!$CE$54:$CE$153,0)),"",OFFSET(final3,MATCH($A32,Посев!$CE$54:$CE$153,0),-9))</f>
        <v/>
      </c>
    </row>
    <row r="33" spans="1:4">
      <c r="A33" s="2">
        <v>30</v>
      </c>
      <c r="B33" s="2" t="str">
        <f ca="1">IF(ISNA(MATCH($A33,Посев!$BI$54:$BI$153,0)),"",OFFSET(final1,MATCH($A33,Посев!$BI$54:$BI$153,0),-9))</f>
        <v/>
      </c>
      <c r="C33" s="2" t="str">
        <f ca="1">IF(ISNA(MATCH($A33,Посев!$BT$54:$BT$153,0)),"",OFFSET(final2,MATCH($A33,Посев!$BT$54:$BT$153,0),-9))</f>
        <v/>
      </c>
      <c r="D33" s="2" t="str">
        <f ca="1">IF(ISNA(MATCH($A33,Посев!$CE$54:$CE$153,0)),"",OFFSET(final3,MATCH($A33,Посев!$CE$54:$CE$153,0),-9))</f>
        <v/>
      </c>
    </row>
    <row r="34" spans="1:4">
      <c r="A34" s="2">
        <v>31</v>
      </c>
      <c r="B34" s="2" t="str">
        <f ca="1">IF(ISNA(MATCH($A34,Посев!$BI$54:$BI$153,0)),"",OFFSET(final1,MATCH($A34,Посев!$BI$54:$BI$153,0),-9))</f>
        <v/>
      </c>
      <c r="C34" s="2" t="str">
        <f ca="1">IF(ISNA(MATCH($A34,Посев!$BT$54:$BT$153,0)),"",OFFSET(final2,MATCH($A34,Посев!$BT$54:$BT$153,0),-9))</f>
        <v/>
      </c>
      <c r="D34" s="2" t="str">
        <f ca="1">IF(ISNA(MATCH($A34,Посев!$CE$54:$CE$153,0)),"",OFFSET(final3,MATCH($A34,Посев!$CE$54:$CE$153,0),-9))</f>
        <v/>
      </c>
    </row>
    <row r="35" spans="1:4">
      <c r="A35" s="2">
        <v>32</v>
      </c>
      <c r="B35" s="2" t="str">
        <f ca="1">IF(ISNA(MATCH($A35,Посев!$BI$54:$BI$153,0)),"",OFFSET(final1,MATCH($A35,Посев!$BI$54:$BI$153,0),-9))</f>
        <v/>
      </c>
      <c r="C35" s="2" t="str">
        <f ca="1">IF(ISNA(MATCH($A35,Посев!$BT$54:$BT$153,0)),"",OFFSET(final2,MATCH($A35,Посев!$BT$54:$BT$153,0),-9))</f>
        <v/>
      </c>
      <c r="D35" s="2" t="str">
        <f ca="1">IF(ISNA(MATCH($A35,Посев!$CE$54:$CE$153,0)),"",OFFSET(final3,MATCH($A35,Посев!$CE$54:$CE$153,0),-9))</f>
        <v/>
      </c>
    </row>
    <row r="36" spans="1:4">
      <c r="A36" s="2">
        <v>33</v>
      </c>
      <c r="B36" s="2" t="str">
        <f ca="1">IF(ISNA(MATCH($A36,Посев!$BI$54:$BI$153,0)),"",OFFSET(final1,MATCH($A36,Посев!$BI$54:$BI$153,0),-9))</f>
        <v/>
      </c>
      <c r="C36" s="2" t="str">
        <f ca="1">IF(ISNA(MATCH($A36,Посев!$BT$54:$BT$153,0)),"",OFFSET(final2,MATCH($A36,Посев!$BT$54:$BT$153,0),-9))</f>
        <v/>
      </c>
      <c r="D36" s="2" t="str">
        <f ca="1">IF(ISNA(MATCH($A36,Посев!$CE$54:$CE$153,0)),"",OFFSET(final3,MATCH($A36,Посев!$CE$54:$CE$153,0),-9))</f>
        <v/>
      </c>
    </row>
    <row r="37" spans="1:4">
      <c r="A37" s="2">
        <v>34</v>
      </c>
      <c r="B37" s="2" t="str">
        <f ca="1">IF(ISNA(MATCH($A37,Посев!$BI$54:$BI$153,0)),"",OFFSET(final1,MATCH($A37,Посев!$BI$54:$BI$153,0),-9))</f>
        <v/>
      </c>
      <c r="C37" s="2" t="str">
        <f ca="1">IF(ISNA(MATCH($A37,Посев!$BT$54:$BT$153,0)),"",OFFSET(final2,MATCH($A37,Посев!$BT$54:$BT$153,0),-9))</f>
        <v/>
      </c>
      <c r="D37" s="2" t="str">
        <f ca="1">IF(ISNA(MATCH($A37,Посев!$CE$54:$CE$153,0)),"",OFFSET(final3,MATCH($A37,Посев!$CE$54:$CE$153,0),-9))</f>
        <v/>
      </c>
    </row>
    <row r="38" spans="1:4">
      <c r="A38" s="2">
        <v>35</v>
      </c>
      <c r="B38" s="2" t="str">
        <f ca="1">IF(ISNA(MATCH($A38,Посев!$BI$54:$BI$153,0)),"",OFFSET(final1,MATCH($A38,Посев!$BI$54:$BI$153,0),-9))</f>
        <v/>
      </c>
      <c r="C38" s="2" t="str">
        <f ca="1">IF(ISNA(MATCH($A38,Посев!$BT$54:$BT$153,0)),"",OFFSET(final2,MATCH($A38,Посев!$BT$54:$BT$153,0),-9))</f>
        <v/>
      </c>
      <c r="D38" s="2" t="str">
        <f ca="1">IF(ISNA(MATCH($A38,Посев!$CE$54:$CE$153,0)),"",OFFSET(final3,MATCH($A38,Посев!$CE$54:$CE$153,0),-9))</f>
        <v/>
      </c>
    </row>
    <row r="39" spans="1:4">
      <c r="A39" s="2">
        <v>36</v>
      </c>
      <c r="B39" s="2" t="str">
        <f ca="1">IF(ISNA(MATCH($A39,Посев!$BI$54:$BI$153,0)),"",OFFSET(final1,MATCH($A39,Посев!$BI$54:$BI$153,0),-9))</f>
        <v/>
      </c>
      <c r="C39" s="2" t="str">
        <f ca="1">IF(ISNA(MATCH($A39,Посев!$BT$54:$BT$153,0)),"",OFFSET(final2,MATCH($A39,Посев!$BT$54:$BT$153,0),-9))</f>
        <v/>
      </c>
      <c r="D39" s="2" t="str">
        <f ca="1">IF(ISNA(MATCH($A39,Посев!$CE$54:$CE$153,0)),"",OFFSET(final3,MATCH($A39,Посев!$CE$54:$CE$153,0),-9))</f>
        <v/>
      </c>
    </row>
    <row r="40" spans="1:4">
      <c r="A40" s="2">
        <v>37</v>
      </c>
      <c r="B40" s="2" t="str">
        <f ca="1">IF(ISNA(MATCH($A40,Посев!$BI$54:$BI$153,0)),"",OFFSET(final1,MATCH($A40,Посев!$BI$54:$BI$153,0),-9))</f>
        <v/>
      </c>
      <c r="C40" s="2" t="str">
        <f ca="1">IF(ISNA(MATCH($A40,Посев!$BT$54:$BT$153,0)),"",OFFSET(final2,MATCH($A40,Посев!$BT$54:$BT$153,0),-9))</f>
        <v/>
      </c>
      <c r="D40" s="2" t="str">
        <f ca="1">IF(ISNA(MATCH($A40,Посев!$CE$54:$CE$153,0)),"",OFFSET(final3,MATCH($A40,Посев!$CE$54:$CE$153,0),-9))</f>
        <v/>
      </c>
    </row>
    <row r="41" spans="1:4">
      <c r="A41" s="2">
        <v>38</v>
      </c>
      <c r="B41" s="2" t="str">
        <f ca="1">IF(ISNA(MATCH($A41,Посев!$BI$54:$BI$153,0)),"",OFFSET(final1,MATCH($A41,Посев!$BI$54:$BI$153,0),-9))</f>
        <v/>
      </c>
      <c r="C41" s="2" t="str">
        <f ca="1">IF(ISNA(MATCH($A41,Посев!$BT$54:$BT$153,0)),"",OFFSET(final2,MATCH($A41,Посев!$BT$54:$BT$153,0),-9))</f>
        <v/>
      </c>
      <c r="D41" s="2" t="str">
        <f ca="1">IF(ISNA(MATCH($A41,Посев!$CE$54:$CE$153,0)),"",OFFSET(final3,MATCH($A41,Посев!$CE$54:$CE$153,0),-9))</f>
        <v/>
      </c>
    </row>
    <row r="42" spans="1:4">
      <c r="A42" s="2">
        <v>39</v>
      </c>
      <c r="B42" s="2" t="str">
        <f ca="1">IF(ISNA(MATCH($A42,Посев!$BI$54:$BI$153,0)),"",OFFSET(final1,MATCH($A42,Посев!$BI$54:$BI$153,0),-9))</f>
        <v/>
      </c>
      <c r="C42" s="2" t="str">
        <f ca="1">IF(ISNA(MATCH($A42,Посев!$BT$54:$BT$153,0)),"",OFFSET(final2,MATCH($A42,Посев!$BT$54:$BT$153,0),-9))</f>
        <v/>
      </c>
      <c r="D42" s="2" t="str">
        <f ca="1">IF(ISNA(MATCH($A42,Посев!$CE$54:$CE$153,0)),"",OFFSET(final3,MATCH($A42,Посев!$CE$54:$CE$153,0),-9))</f>
        <v/>
      </c>
    </row>
    <row r="43" spans="1:4">
      <c r="A43" s="2">
        <v>40</v>
      </c>
      <c r="B43" s="2" t="str">
        <f ca="1">IF(ISNA(MATCH($A43,Посев!$BI$54:$BI$153,0)),"",OFFSET(final1,MATCH($A43,Посев!$BI$54:$BI$153,0),-9))</f>
        <v/>
      </c>
      <c r="C43" s="2" t="str">
        <f ca="1">IF(ISNA(MATCH($A43,Посев!$BT$54:$BT$153,0)),"",OFFSET(final2,MATCH($A43,Посев!$BT$54:$BT$153,0),-9))</f>
        <v/>
      </c>
      <c r="D43" s="2" t="str">
        <f ca="1">IF(ISNA(MATCH($A43,Посев!$CE$54:$CE$153,0)),"",OFFSET(final3,MATCH($A43,Посев!$CE$54:$CE$153,0),-9))</f>
        <v/>
      </c>
    </row>
    <row r="44" spans="1:4">
      <c r="A44" s="2">
        <v>41</v>
      </c>
      <c r="B44" s="2" t="str">
        <f ca="1">IF(ISNA(MATCH($A44,Посев!$BI$54:$BI$153,0)),"",OFFSET(final1,MATCH($A44,Посев!$BI$54:$BI$153,0),-9))</f>
        <v/>
      </c>
      <c r="C44" s="2" t="str">
        <f ca="1">IF(ISNA(MATCH($A44,Посев!$BT$54:$BT$153,0)),"",OFFSET(final2,MATCH($A44,Посев!$BT$54:$BT$153,0),-9))</f>
        <v/>
      </c>
      <c r="D44" s="2" t="str">
        <f ca="1">IF(ISNA(MATCH($A44,Посев!$CE$54:$CE$153,0)),"",OFFSET(final3,MATCH($A44,Посев!$CE$54:$CE$153,0),-9))</f>
        <v/>
      </c>
    </row>
    <row r="45" spans="1:4">
      <c r="A45" s="2">
        <v>42</v>
      </c>
      <c r="B45" s="2" t="str">
        <f ca="1">IF(ISNA(MATCH($A45,Посев!$BI$54:$BI$153,0)),"",OFFSET(final1,MATCH($A45,Посев!$BI$54:$BI$153,0),-9))</f>
        <v/>
      </c>
      <c r="C45" s="2" t="str">
        <f ca="1">IF(ISNA(MATCH($A45,Посев!$BT$54:$BT$153,0)),"",OFFSET(final2,MATCH($A45,Посев!$BT$54:$BT$153,0),-9))</f>
        <v/>
      </c>
      <c r="D45" s="2" t="str">
        <f ca="1">IF(ISNA(MATCH($A45,Посев!$CE$54:$CE$153,0)),"",OFFSET(final3,MATCH($A45,Посев!$CE$54:$CE$153,0),-9))</f>
        <v/>
      </c>
    </row>
    <row r="46" spans="1:4">
      <c r="A46" s="2">
        <v>43</v>
      </c>
      <c r="B46" s="2" t="str">
        <f ca="1">IF(ISNA(MATCH($A46,Посев!$BI$54:$BI$153,0)),"",OFFSET(final1,MATCH($A46,Посев!$BI$54:$BI$153,0),-9))</f>
        <v/>
      </c>
      <c r="C46" s="2" t="str">
        <f ca="1">IF(ISNA(MATCH($A46,Посев!$BT$54:$BT$153,0)),"",OFFSET(final2,MATCH($A46,Посев!$BT$54:$BT$153,0),-9))</f>
        <v/>
      </c>
      <c r="D46" s="2" t="str">
        <f ca="1">IF(ISNA(MATCH($A46,Посев!$CE$54:$CE$153,0)),"",OFFSET(final3,MATCH($A46,Посев!$CE$54:$CE$153,0),-9))</f>
        <v/>
      </c>
    </row>
    <row r="47" spans="1:4">
      <c r="A47" s="2">
        <v>44</v>
      </c>
      <c r="B47" s="2" t="str">
        <f ca="1">IF(ISNA(MATCH($A47,Посев!$BI$54:$BI$153,0)),"",OFFSET(final1,MATCH($A47,Посев!$BI$54:$BI$153,0),-9))</f>
        <v/>
      </c>
      <c r="C47" s="2" t="str">
        <f ca="1">IF(ISNA(MATCH($A47,Посев!$BT$54:$BT$153,0)),"",OFFSET(final2,MATCH($A47,Посев!$BT$54:$BT$153,0),-9))</f>
        <v/>
      </c>
      <c r="D47" s="2" t="str">
        <f ca="1">IF(ISNA(MATCH($A47,Посев!$CE$54:$CE$153,0)),"",OFFSET(final3,MATCH($A47,Посев!$CE$54:$CE$153,0),-9))</f>
        <v/>
      </c>
    </row>
    <row r="48" spans="1:4">
      <c r="A48" s="2">
        <v>45</v>
      </c>
      <c r="B48" s="2" t="str">
        <f ca="1">IF(ISNA(MATCH($A48,Посев!$BI$54:$BI$153,0)),"",OFFSET(final1,MATCH($A48,Посев!$BI$54:$BI$153,0),-9))</f>
        <v/>
      </c>
      <c r="C48" s="2" t="str">
        <f ca="1">IF(ISNA(MATCH($A48,Посев!$BT$54:$BT$153,0)),"",OFFSET(final2,MATCH($A48,Посев!$BT$54:$BT$153,0),-9))</f>
        <v/>
      </c>
      <c r="D48" s="2" t="str">
        <f ca="1">IF(ISNA(MATCH($A48,Посев!$CE$54:$CE$153,0)),"",OFFSET(final3,MATCH($A48,Посев!$CE$54:$CE$153,0),-9))</f>
        <v/>
      </c>
    </row>
    <row r="49" spans="1:4">
      <c r="A49" s="2">
        <v>46</v>
      </c>
      <c r="B49" s="2" t="str">
        <f ca="1">IF(ISNA(MATCH($A49,Посев!$BI$54:$BI$153,0)),"",OFFSET(final1,MATCH($A49,Посев!$BI$54:$BI$153,0),-9))</f>
        <v/>
      </c>
      <c r="C49" s="2" t="str">
        <f ca="1">IF(ISNA(MATCH($A49,Посев!$BT$54:$BT$153,0)),"",OFFSET(final2,MATCH($A49,Посев!$BT$54:$BT$153,0),-9))</f>
        <v/>
      </c>
      <c r="D49" s="2" t="str">
        <f ca="1">IF(ISNA(MATCH($A49,Посев!$CE$54:$CE$153,0)),"",OFFSET(final3,MATCH($A49,Посев!$CE$54:$CE$153,0),-9))</f>
        <v/>
      </c>
    </row>
    <row r="50" spans="1:4">
      <c r="A50" s="2">
        <v>47</v>
      </c>
      <c r="B50" s="2" t="str">
        <f ca="1">IF(ISNA(MATCH($A50,Посев!$BI$54:$BI$153,0)),"",OFFSET(final1,MATCH($A50,Посев!$BI$54:$BI$153,0),-9))</f>
        <v/>
      </c>
      <c r="C50" s="2" t="str">
        <f ca="1">IF(ISNA(MATCH($A50,Посев!$BT$54:$BT$153,0)),"",OFFSET(final2,MATCH($A50,Посев!$BT$54:$BT$153,0),-9))</f>
        <v/>
      </c>
      <c r="D50" s="2" t="str">
        <f ca="1">IF(ISNA(MATCH($A50,Посев!$CE$54:$CE$153,0)),"",OFFSET(final3,MATCH($A50,Посев!$CE$54:$CE$153,0),-9))</f>
        <v/>
      </c>
    </row>
    <row r="51" spans="1:4">
      <c r="A51" s="2">
        <v>48</v>
      </c>
      <c r="B51" s="2" t="str">
        <f ca="1">IF(ISNA(MATCH($A51,Посев!$BI$54:$BI$153,0)),"",OFFSET(final1,MATCH($A51,Посев!$BI$54:$BI$153,0),-9))</f>
        <v/>
      </c>
      <c r="C51" s="2" t="str">
        <f ca="1">IF(ISNA(MATCH($A51,Посев!$BT$54:$BT$153,0)),"",OFFSET(final2,MATCH($A51,Посев!$BT$54:$BT$153,0),-9))</f>
        <v/>
      </c>
      <c r="D51" s="2" t="str">
        <f ca="1">IF(ISNA(MATCH($A51,Посев!$CE$54:$CE$153,0)),"",OFFSET(final3,MATCH($A51,Посев!$CE$54:$CE$153,0),-9))</f>
        <v/>
      </c>
    </row>
    <row r="52" spans="1:4">
      <c r="A52" s="2">
        <v>49</v>
      </c>
      <c r="B52" s="2" t="str">
        <f ca="1">IF(ISNA(MATCH($A52,Посев!$BI$54:$BI$153,0)),"",OFFSET(final1,MATCH($A52,Посев!$BI$54:$BI$153,0),-9))</f>
        <v/>
      </c>
      <c r="C52" s="2" t="str">
        <f ca="1">IF(ISNA(MATCH($A52,Посев!$BT$54:$BT$153,0)),"",OFFSET(final2,MATCH($A52,Посев!$BT$54:$BT$153,0),-9))</f>
        <v/>
      </c>
      <c r="D52" s="2" t="str">
        <f ca="1">IF(ISNA(MATCH($A52,Посев!$CE$54:$CE$153,0)),"",OFFSET(final3,MATCH($A52,Посев!$CE$54:$CE$153,0),-9))</f>
        <v/>
      </c>
    </row>
    <row r="53" spans="1:4">
      <c r="A53" s="2">
        <v>50</v>
      </c>
      <c r="B53" s="2" t="str">
        <f ca="1">IF(ISNA(MATCH($A53,Посев!$BI$54:$BI$153,0)),"",OFFSET(final1,MATCH($A53,Посев!$BI$54:$BI$153,0),-9))</f>
        <v/>
      </c>
      <c r="C53" s="2" t="str">
        <f ca="1">IF(ISNA(MATCH($A53,Посев!$BT$54:$BT$153,0)),"",OFFSET(final2,MATCH($A53,Посев!$BT$54:$BT$153,0),-9))</f>
        <v/>
      </c>
      <c r="D53" s="2" t="str">
        <f ca="1">IF(ISNA(MATCH($A53,Посев!$CE$54:$CE$153,0)),"",OFFSET(final3,MATCH($A53,Посев!$CE$54:$CE$153,0),-9))</f>
        <v/>
      </c>
    </row>
    <row r="54" spans="1:4">
      <c r="A54" s="2">
        <v>51</v>
      </c>
      <c r="B54" s="2" t="str">
        <f ca="1">IF(ISNA(MATCH($A54,Посев!$BI$54:$BI$153,0)),"",OFFSET(final1,MATCH($A54,Посев!$BI$54:$BI$153,0),-9))</f>
        <v/>
      </c>
      <c r="C54" s="2" t="str">
        <f ca="1">IF(ISNA(MATCH($A54,Посев!$BT$54:$BT$153,0)),"",OFFSET(final2,MATCH($A54,Посев!$BT$54:$BT$153,0),-9))</f>
        <v/>
      </c>
      <c r="D54" s="2" t="str">
        <f ca="1">IF(ISNA(MATCH($A54,Посев!$CE$54:$CE$153,0)),"",OFFSET(final3,MATCH($A54,Посев!$CE$54:$CE$153,0),-9))</f>
        <v/>
      </c>
    </row>
    <row r="55" spans="1:4">
      <c r="A55" s="2">
        <v>52</v>
      </c>
      <c r="B55" s="2" t="str">
        <f ca="1">IF(ISNA(MATCH($A55,Посев!$BI$54:$BI$153,0)),"",OFFSET(final1,MATCH($A55,Посев!$BI$54:$BI$153,0),-9))</f>
        <v/>
      </c>
      <c r="C55" s="2" t="str">
        <f ca="1">IF(ISNA(MATCH($A55,Посев!$BT$54:$BT$153,0)),"",OFFSET(final2,MATCH($A55,Посев!$BT$54:$BT$153,0),-9))</f>
        <v/>
      </c>
      <c r="D55" s="2" t="str">
        <f ca="1">IF(ISNA(MATCH($A55,Посев!$CE$54:$CE$153,0)),"",OFFSET(final3,MATCH($A55,Посев!$CE$54:$CE$153,0),-9))</f>
        <v/>
      </c>
    </row>
    <row r="56" spans="1:4">
      <c r="A56" s="2">
        <v>53</v>
      </c>
      <c r="B56" s="2" t="str">
        <f ca="1">IF(ISNA(MATCH($A56,Посев!$BI$54:$BI$153,0)),"",OFFSET(final1,MATCH($A56,Посев!$BI$54:$BI$153,0),-9))</f>
        <v/>
      </c>
      <c r="C56" s="2" t="str">
        <f ca="1">IF(ISNA(MATCH($A56,Посев!$BT$54:$BT$153,0)),"",OFFSET(final2,MATCH($A56,Посев!$BT$54:$BT$153,0),-9))</f>
        <v/>
      </c>
      <c r="D56" s="2" t="str">
        <f ca="1">IF(ISNA(MATCH($A56,Посев!$CE$54:$CE$153,0)),"",OFFSET(final3,MATCH($A56,Посев!$CE$54:$CE$153,0),-9))</f>
        <v/>
      </c>
    </row>
    <row r="57" spans="1:4">
      <c r="A57" s="2">
        <v>54</v>
      </c>
      <c r="B57" s="2" t="str">
        <f ca="1">IF(ISNA(MATCH($A57,Посев!$BI$54:$BI$153,0)),"",OFFSET(final1,MATCH($A57,Посев!$BI$54:$BI$153,0),-9))</f>
        <v/>
      </c>
      <c r="C57" s="2" t="str">
        <f ca="1">IF(ISNA(MATCH($A57,Посев!$BT$54:$BT$153,0)),"",OFFSET(final2,MATCH($A57,Посев!$BT$54:$BT$153,0),-9))</f>
        <v/>
      </c>
      <c r="D57" s="2" t="str">
        <f ca="1">IF(ISNA(MATCH($A57,Посев!$CE$54:$CE$153,0)),"",OFFSET(final3,MATCH($A57,Посев!$CE$54:$CE$153,0),-9))</f>
        <v/>
      </c>
    </row>
    <row r="58" spans="1:4">
      <c r="A58" s="2">
        <v>55</v>
      </c>
      <c r="B58" s="2" t="str">
        <f ca="1">IF(ISNA(MATCH($A58,Посев!$BI$54:$BI$153,0)),"",OFFSET(final1,MATCH($A58,Посев!$BI$54:$BI$153,0),-9))</f>
        <v/>
      </c>
      <c r="C58" s="2" t="str">
        <f ca="1">IF(ISNA(MATCH($A58,Посев!$BT$54:$BT$153,0)),"",OFFSET(final2,MATCH($A58,Посев!$BT$54:$BT$153,0),-9))</f>
        <v/>
      </c>
      <c r="D58" s="2" t="str">
        <f ca="1">IF(ISNA(MATCH($A58,Посев!$CE$54:$CE$153,0)),"",OFFSET(final3,MATCH($A58,Посев!$CE$54:$CE$153,0),-9))</f>
        <v/>
      </c>
    </row>
    <row r="59" spans="1:4">
      <c r="A59" s="2">
        <v>56</v>
      </c>
      <c r="B59" s="2" t="str">
        <f ca="1">IF(ISNA(MATCH($A59,Посев!$BI$54:$BI$153,0)),"",OFFSET(final1,MATCH($A59,Посев!$BI$54:$BI$153,0),-9))</f>
        <v/>
      </c>
      <c r="C59" s="2" t="str">
        <f ca="1">IF(ISNA(MATCH($A59,Посев!$BT$54:$BT$153,0)),"",OFFSET(final2,MATCH($A59,Посев!$BT$54:$BT$153,0),-9))</f>
        <v/>
      </c>
      <c r="D59" s="2" t="str">
        <f ca="1">IF(ISNA(MATCH($A59,Посев!$CE$54:$CE$153,0)),"",OFFSET(final3,MATCH($A59,Посев!$CE$54:$CE$153,0),-9))</f>
        <v/>
      </c>
    </row>
    <row r="60" spans="1:4">
      <c r="A60" s="2">
        <v>57</v>
      </c>
      <c r="B60" s="2" t="str">
        <f ca="1">IF(ISNA(MATCH($A60,Посев!$BI$54:$BI$153,0)),"",OFFSET(final1,MATCH($A60,Посев!$BI$54:$BI$153,0),-9))</f>
        <v/>
      </c>
      <c r="C60" s="2" t="str">
        <f ca="1">IF(ISNA(MATCH($A60,Посев!$BT$54:$BT$153,0)),"",OFFSET(final2,MATCH($A60,Посев!$BT$54:$BT$153,0),-9))</f>
        <v/>
      </c>
      <c r="D60" s="2" t="str">
        <f ca="1">IF(ISNA(MATCH($A60,Посев!$CE$54:$CE$153,0)),"",OFFSET(final3,MATCH($A60,Посев!$CE$54:$CE$153,0),-9))</f>
        <v/>
      </c>
    </row>
    <row r="61" spans="1:4">
      <c r="A61" s="2">
        <v>58</v>
      </c>
      <c r="B61" s="2" t="str">
        <f ca="1">IF(ISNA(MATCH($A61,Посев!$BI$54:$BI$153,0)),"",OFFSET(final1,MATCH($A61,Посев!$BI$54:$BI$153,0),-9))</f>
        <v/>
      </c>
      <c r="C61" s="2" t="str">
        <f ca="1">IF(ISNA(MATCH($A61,Посев!$BT$54:$BT$153,0)),"",OFFSET(final2,MATCH($A61,Посев!$BT$54:$BT$153,0),-9))</f>
        <v/>
      </c>
      <c r="D61" s="2" t="str">
        <f ca="1">IF(ISNA(MATCH($A61,Посев!$CE$54:$CE$153,0)),"",OFFSET(final3,MATCH($A61,Посев!$CE$54:$CE$153,0),-9))</f>
        <v/>
      </c>
    </row>
    <row r="62" spans="1:4">
      <c r="A62" s="2">
        <v>59</v>
      </c>
      <c r="B62" s="2" t="str">
        <f ca="1">IF(ISNA(MATCH($A62,Посев!$BI$54:$BI$153,0)),"",OFFSET(final1,MATCH($A62,Посев!$BI$54:$BI$153,0),-9))</f>
        <v/>
      </c>
      <c r="C62" s="2" t="str">
        <f ca="1">IF(ISNA(MATCH($A62,Посев!$BT$54:$BT$153,0)),"",OFFSET(final2,MATCH($A62,Посев!$BT$54:$BT$153,0),-9))</f>
        <v/>
      </c>
      <c r="D62" s="2" t="str">
        <f ca="1">IF(ISNA(MATCH($A62,Посев!$CE$54:$CE$153,0)),"",OFFSET(final3,MATCH($A62,Посев!$CE$54:$CE$153,0),-9))</f>
        <v/>
      </c>
    </row>
    <row r="63" spans="1:4">
      <c r="A63" s="2">
        <v>60</v>
      </c>
      <c r="B63" s="2" t="str">
        <f ca="1">IF(ISNA(MATCH($A63,Посев!$BI$54:$BI$153,0)),"",OFFSET(final1,MATCH($A63,Посев!$BI$54:$BI$153,0),-9))</f>
        <v/>
      </c>
      <c r="C63" s="2" t="str">
        <f ca="1">IF(ISNA(MATCH($A63,Посев!$BT$54:$BT$153,0)),"",OFFSET(final2,MATCH($A63,Посев!$BT$54:$BT$153,0),-9))</f>
        <v/>
      </c>
      <c r="D63" s="2" t="str">
        <f ca="1">IF(ISNA(MATCH($A63,Посев!$CE$54:$CE$153,0)),"",OFFSET(final3,MATCH($A63,Посев!$CE$54:$CE$153,0),-9))</f>
        <v/>
      </c>
    </row>
    <row r="64" spans="1:4">
      <c r="A64" s="2">
        <v>61</v>
      </c>
      <c r="B64" s="2" t="str">
        <f ca="1">IF(ISNA(MATCH($A64,Посев!$BI$54:$BI$153,0)),"",OFFSET(final1,MATCH($A64,Посев!$BI$54:$BI$153,0),-9))</f>
        <v/>
      </c>
      <c r="C64" s="2" t="str">
        <f ca="1">IF(ISNA(MATCH($A64,Посев!$BT$54:$BT$153,0)),"",OFFSET(final2,MATCH($A64,Посев!$BT$54:$BT$153,0),-9))</f>
        <v/>
      </c>
      <c r="D64" s="2" t="str">
        <f ca="1">IF(ISNA(MATCH($A64,Посев!$CE$54:$CE$153,0)),"",OFFSET(final3,MATCH($A64,Посев!$CE$54:$CE$153,0),-9))</f>
        <v/>
      </c>
    </row>
    <row r="65" spans="1:4">
      <c r="A65" s="2">
        <v>62</v>
      </c>
      <c r="B65" s="2" t="str">
        <f ca="1">IF(ISNA(MATCH($A65,Посев!$BI$54:$BI$153,0)),"",OFFSET(final1,MATCH($A65,Посев!$BI$54:$BI$153,0),-9))</f>
        <v/>
      </c>
      <c r="C65" s="2" t="str">
        <f ca="1">IF(ISNA(MATCH($A65,Посев!$BT$54:$BT$153,0)),"",OFFSET(final2,MATCH($A65,Посев!$BT$54:$BT$153,0),-9))</f>
        <v/>
      </c>
      <c r="D65" s="2" t="str">
        <f ca="1">IF(ISNA(MATCH($A65,Посев!$CE$54:$CE$153,0)),"",OFFSET(final3,MATCH($A65,Посев!$CE$54:$CE$153,0),-9))</f>
        <v/>
      </c>
    </row>
    <row r="66" spans="1:4">
      <c r="A66" s="2">
        <v>63</v>
      </c>
      <c r="B66" s="2" t="str">
        <f ca="1">IF(ISNA(MATCH($A66,Посев!$BI$54:$BI$153,0)),"",OFFSET(final1,MATCH($A66,Посев!$BI$54:$BI$153,0),-9))</f>
        <v/>
      </c>
      <c r="C66" s="2" t="str">
        <f ca="1">IF(ISNA(MATCH($A66,Посев!$BT$54:$BT$153,0)),"",OFFSET(final2,MATCH($A66,Посев!$BT$54:$BT$153,0),-9))</f>
        <v/>
      </c>
      <c r="D66" s="2" t="str">
        <f ca="1">IF(ISNA(MATCH($A66,Посев!$CE$54:$CE$153,0)),"",OFFSET(final3,MATCH($A66,Посев!$CE$54:$CE$153,0),-9))</f>
        <v/>
      </c>
    </row>
    <row r="67" spans="1:4">
      <c r="A67" s="2">
        <v>64</v>
      </c>
      <c r="B67" s="2" t="str">
        <f ca="1">IF(ISNA(MATCH($A67,Посев!$BI$54:$BI$153,0)),"",OFFSET(final1,MATCH($A67,Посев!$BI$54:$BI$153,0),-9))</f>
        <v/>
      </c>
      <c r="C67" s="2" t="str">
        <f ca="1">IF(ISNA(MATCH($A67,Посев!$BT$54:$BT$153,0)),"",OFFSET(final2,MATCH($A67,Посев!$BT$54:$BT$153,0),-9))</f>
        <v/>
      </c>
      <c r="D67" s="2" t="str">
        <f ca="1">IF(ISNA(MATCH($A67,Посев!$CE$54:$CE$153,0)),"",OFFSET(final3,MATCH($A67,Посев!$CE$54:$CE$153,0),-9))</f>
        <v/>
      </c>
    </row>
    <row r="68" spans="1:4">
      <c r="A68" s="2">
        <v>65</v>
      </c>
      <c r="B68" s="2" t="str">
        <f ca="1">IF(ISNA(MATCH($A68,Посев!$BI$54:$BI$153,0)),"",OFFSET(final1,MATCH($A68,Посев!$BI$54:$BI$153,0),-9))</f>
        <v/>
      </c>
      <c r="C68" s="2" t="str">
        <f ca="1">IF(ISNA(MATCH($A68,Посев!$BT$54:$BT$153,0)),"",OFFSET(final2,MATCH($A68,Посев!$BT$54:$BT$153,0),-9))</f>
        <v/>
      </c>
      <c r="D68" s="2" t="str">
        <f ca="1">IF(ISNA(MATCH($A68,Посев!$CE$54:$CE$153,0)),"",OFFSET(final3,MATCH($A68,Посев!$CE$54:$CE$153,0),-9))</f>
        <v/>
      </c>
    </row>
    <row r="69" spans="1:4">
      <c r="A69" s="2">
        <v>66</v>
      </c>
      <c r="B69" s="2" t="str">
        <f ca="1">IF(ISNA(MATCH($A69,Посев!$BI$54:$BI$153,0)),"",OFFSET(final1,MATCH($A69,Посев!$BI$54:$BI$153,0),-9))</f>
        <v/>
      </c>
      <c r="C69" s="2" t="str">
        <f ca="1">IF(ISNA(MATCH($A69,Посев!$BT$54:$BT$153,0)),"",OFFSET(final2,MATCH($A69,Посев!$BT$54:$BT$153,0),-9))</f>
        <v/>
      </c>
      <c r="D69" s="2" t="str">
        <f ca="1">IF(ISNA(MATCH($A69,Посев!$CE$54:$CE$153,0)),"",OFFSET(final3,MATCH($A69,Посев!$CE$54:$CE$153,0),-9))</f>
        <v/>
      </c>
    </row>
    <row r="70" spans="1:4">
      <c r="A70" s="2">
        <v>67</v>
      </c>
      <c r="B70" s="2" t="str">
        <f ca="1">IF(ISNA(MATCH($A70,Посев!$BI$54:$BI$153,0)),"",OFFSET(final1,MATCH($A70,Посев!$BI$54:$BI$153,0),-9))</f>
        <v/>
      </c>
      <c r="C70" s="2" t="str">
        <f ca="1">IF(ISNA(MATCH($A70,Посев!$BT$54:$BT$153,0)),"",OFFSET(final2,MATCH($A70,Посев!$BT$54:$BT$153,0),-9))</f>
        <v/>
      </c>
      <c r="D70" s="2" t="str">
        <f ca="1">IF(ISNA(MATCH($A70,Посев!$CE$54:$CE$153,0)),"",OFFSET(final3,MATCH($A70,Посев!$CE$54:$CE$153,0),-9))</f>
        <v/>
      </c>
    </row>
    <row r="71" spans="1:4">
      <c r="A71" s="2">
        <v>68</v>
      </c>
      <c r="B71" s="2" t="str">
        <f ca="1">IF(ISNA(MATCH($A71,Посев!$BI$54:$BI$153,0)),"",OFFSET(final1,MATCH($A71,Посев!$BI$54:$BI$153,0),-9))</f>
        <v/>
      </c>
      <c r="C71" s="2" t="str">
        <f ca="1">IF(ISNA(MATCH($A71,Посев!$BT$54:$BT$153,0)),"",OFFSET(final2,MATCH($A71,Посев!$BT$54:$BT$153,0),-9))</f>
        <v/>
      </c>
      <c r="D71" s="2" t="str">
        <f ca="1">IF(ISNA(MATCH($A71,Посев!$CE$54:$CE$153,0)),"",OFFSET(final3,MATCH($A71,Посев!$CE$54:$CE$153,0),-9))</f>
        <v/>
      </c>
    </row>
    <row r="72" spans="1:4">
      <c r="A72" s="2">
        <v>69</v>
      </c>
      <c r="B72" s="2" t="str">
        <f ca="1">IF(ISNA(MATCH($A72,Посев!$BI$54:$BI$153,0)),"",OFFSET(final1,MATCH($A72,Посев!$BI$54:$BI$153,0),-9))</f>
        <v/>
      </c>
      <c r="C72" s="2" t="str">
        <f ca="1">IF(ISNA(MATCH($A72,Посев!$BT$54:$BT$153,0)),"",OFFSET(final2,MATCH($A72,Посев!$BT$54:$BT$153,0),-9))</f>
        <v/>
      </c>
      <c r="D72" s="2" t="str">
        <f ca="1">IF(ISNA(MATCH($A72,Посев!$CE$54:$CE$153,0)),"",OFFSET(final3,MATCH($A72,Посев!$CE$54:$CE$153,0),-9))</f>
        <v/>
      </c>
    </row>
    <row r="73" spans="1:4">
      <c r="A73" s="2">
        <v>70</v>
      </c>
      <c r="B73" s="2" t="str">
        <f ca="1">IF(ISNA(MATCH($A73,Посев!$BI$54:$BI$153,0)),"",OFFSET(final1,MATCH($A73,Посев!$BI$54:$BI$153,0),-9))</f>
        <v/>
      </c>
      <c r="C73" s="2" t="str">
        <f ca="1">IF(ISNA(MATCH($A73,Посев!$BT$54:$BT$153,0)),"",OFFSET(final2,MATCH($A73,Посев!$BT$54:$BT$153,0),-9))</f>
        <v/>
      </c>
      <c r="D73" s="2" t="str">
        <f ca="1">IF(ISNA(MATCH($A73,Посев!$CE$54:$CE$153,0)),"",OFFSET(final3,MATCH($A73,Посев!$CE$54:$CE$153,0),-9))</f>
        <v/>
      </c>
    </row>
    <row r="74" spans="1:4">
      <c r="A74" s="2">
        <v>71</v>
      </c>
      <c r="B74" s="2" t="str">
        <f ca="1">IF(ISNA(MATCH($A74,Посев!$BI$54:$BI$153,0)),"",OFFSET(final1,MATCH($A74,Посев!$BI$54:$BI$153,0),-9))</f>
        <v/>
      </c>
      <c r="C74" s="2" t="str">
        <f ca="1">IF(ISNA(MATCH($A74,Посев!$BT$54:$BT$153,0)),"",OFFSET(final2,MATCH($A74,Посев!$BT$54:$BT$153,0),-9))</f>
        <v/>
      </c>
      <c r="D74" s="2" t="str">
        <f ca="1">IF(ISNA(MATCH($A74,Посев!$CE$54:$CE$153,0)),"",OFFSET(final3,MATCH($A74,Посев!$CE$54:$CE$153,0),-9))</f>
        <v/>
      </c>
    </row>
    <row r="75" spans="1:4">
      <c r="A75" s="2">
        <v>72</v>
      </c>
      <c r="B75" s="2" t="str">
        <f ca="1">IF(ISNA(MATCH($A75,Посев!$BI$54:$BI$153,0)),"",OFFSET(final1,MATCH($A75,Посев!$BI$54:$BI$153,0),-9))</f>
        <v/>
      </c>
      <c r="C75" s="2" t="str">
        <f ca="1">IF(ISNA(MATCH($A75,Посев!$BT$54:$BT$153,0)),"",OFFSET(final2,MATCH($A75,Посев!$BT$54:$BT$153,0),-9))</f>
        <v/>
      </c>
      <c r="D75" s="2" t="str">
        <f ca="1">IF(ISNA(MATCH($A75,Посев!$CE$54:$CE$153,0)),"",OFFSET(final3,MATCH($A75,Посев!$CE$54:$CE$153,0),-9))</f>
        <v/>
      </c>
    </row>
    <row r="76" spans="1:4">
      <c r="A76" s="2">
        <v>73</v>
      </c>
      <c r="B76" s="2" t="str">
        <f ca="1">IF(ISNA(MATCH($A76,Посев!$BI$54:$BI$153,0)),"",OFFSET(final1,MATCH($A76,Посев!$BI$54:$BI$153,0),-9))</f>
        <v/>
      </c>
      <c r="C76" s="2" t="str">
        <f ca="1">IF(ISNA(MATCH($A76,Посев!$BT$54:$BT$153,0)),"",OFFSET(final2,MATCH($A76,Посев!$BT$54:$BT$153,0),-9))</f>
        <v/>
      </c>
      <c r="D76" s="2" t="str">
        <f ca="1">IF(ISNA(MATCH($A76,Посев!$CE$54:$CE$153,0)),"",OFFSET(final3,MATCH($A76,Посев!$CE$54:$CE$153,0),-9))</f>
        <v/>
      </c>
    </row>
    <row r="77" spans="1:4">
      <c r="A77" s="2">
        <v>74</v>
      </c>
      <c r="B77" s="2" t="str">
        <f ca="1">IF(ISNA(MATCH($A77,Посев!$BI$54:$BI$153,0)),"",OFFSET(final1,MATCH($A77,Посев!$BI$54:$BI$153,0),-9))</f>
        <v/>
      </c>
      <c r="C77" s="2" t="str">
        <f ca="1">IF(ISNA(MATCH($A77,Посев!$BT$54:$BT$153,0)),"",OFFSET(final2,MATCH($A77,Посев!$BT$54:$BT$153,0),-9))</f>
        <v/>
      </c>
      <c r="D77" s="2" t="str">
        <f ca="1">IF(ISNA(MATCH($A77,Посев!$CE$54:$CE$153,0)),"",OFFSET(final3,MATCH($A77,Посев!$CE$54:$CE$153,0),-9))</f>
        <v/>
      </c>
    </row>
    <row r="78" spans="1:4">
      <c r="A78" s="2">
        <v>75</v>
      </c>
      <c r="B78" s="2" t="str">
        <f ca="1">IF(ISNA(MATCH($A78,Посев!$BI$54:$BI$153,0)),"",OFFSET(final1,MATCH($A78,Посев!$BI$54:$BI$153,0),-9))</f>
        <v/>
      </c>
      <c r="C78" s="2" t="str">
        <f ca="1">IF(ISNA(MATCH($A78,Посев!$BT$54:$BT$153,0)),"",OFFSET(final2,MATCH($A78,Посев!$BT$54:$BT$153,0),-9))</f>
        <v/>
      </c>
      <c r="D78" s="2" t="str">
        <f ca="1">IF(ISNA(MATCH($A78,Посев!$CE$54:$CE$153,0)),"",OFFSET(final3,MATCH($A78,Посев!$CE$54:$CE$153,0),-9))</f>
        <v/>
      </c>
    </row>
    <row r="79" spans="1:4">
      <c r="A79" s="2">
        <v>76</v>
      </c>
      <c r="B79" s="2" t="str">
        <f ca="1">IF(ISNA(MATCH($A79,Посев!$BI$54:$BI$153,0)),"",OFFSET(final1,MATCH($A79,Посев!$BI$54:$BI$153,0),-9))</f>
        <v/>
      </c>
      <c r="C79" s="2" t="str">
        <f ca="1">IF(ISNA(MATCH($A79,Посев!$BT$54:$BT$153,0)),"",OFFSET(final2,MATCH($A79,Посев!$BT$54:$BT$153,0),-9))</f>
        <v/>
      </c>
      <c r="D79" s="2" t="str">
        <f ca="1">IF(ISNA(MATCH($A79,Посев!$CE$54:$CE$153,0)),"",OFFSET(final3,MATCH($A79,Посев!$CE$54:$CE$153,0),-9))</f>
        <v/>
      </c>
    </row>
    <row r="80" spans="1:4">
      <c r="A80" s="2">
        <v>77</v>
      </c>
      <c r="B80" s="2" t="str">
        <f ca="1">IF(ISNA(MATCH($A80,Посев!$BI$54:$BI$153,0)),"",OFFSET(final1,MATCH($A80,Посев!$BI$54:$BI$153,0),-9))</f>
        <v/>
      </c>
      <c r="C80" s="2" t="str">
        <f ca="1">IF(ISNA(MATCH($A80,Посев!$BT$54:$BT$153,0)),"",OFFSET(final2,MATCH($A80,Посев!$BT$54:$BT$153,0),-9))</f>
        <v/>
      </c>
      <c r="D80" s="2" t="str">
        <f ca="1">IF(ISNA(MATCH($A80,Посев!$CE$54:$CE$153,0)),"",OFFSET(final3,MATCH($A80,Посев!$CE$54:$CE$153,0),-9))</f>
        <v/>
      </c>
    </row>
    <row r="81" spans="1:4">
      <c r="A81" s="2">
        <v>78</v>
      </c>
      <c r="B81" s="2" t="str">
        <f ca="1">IF(ISNA(MATCH($A81,Посев!$BI$54:$BI$153,0)),"",OFFSET(final1,MATCH($A81,Посев!$BI$54:$BI$153,0),-9))</f>
        <v/>
      </c>
      <c r="C81" s="2" t="str">
        <f ca="1">IF(ISNA(MATCH($A81,Посев!$BT$54:$BT$153,0)),"",OFFSET(final2,MATCH($A81,Посев!$BT$54:$BT$153,0),-9))</f>
        <v/>
      </c>
      <c r="D81" s="2" t="str">
        <f ca="1">IF(ISNA(MATCH($A81,Посев!$CE$54:$CE$153,0)),"",OFFSET(final3,MATCH($A81,Посев!$CE$54:$CE$153,0),-9))</f>
        <v/>
      </c>
    </row>
    <row r="82" spans="1:4">
      <c r="A82" s="2">
        <v>79</v>
      </c>
      <c r="B82" s="2" t="str">
        <f ca="1">IF(ISNA(MATCH($A82,Посев!$BI$54:$BI$153,0)),"",OFFSET(final1,MATCH($A82,Посев!$BI$54:$BI$153,0),-9))</f>
        <v/>
      </c>
      <c r="C82" s="2" t="str">
        <f ca="1">IF(ISNA(MATCH($A82,Посев!$BT$54:$BT$153,0)),"",OFFSET(final2,MATCH($A82,Посев!$BT$54:$BT$153,0),-9))</f>
        <v/>
      </c>
      <c r="D82" s="2" t="str">
        <f ca="1">IF(ISNA(MATCH($A82,Посев!$CE$54:$CE$153,0)),"",OFFSET(final3,MATCH($A82,Посев!$CE$54:$CE$153,0),-9))</f>
        <v/>
      </c>
    </row>
    <row r="83" spans="1:4">
      <c r="A83" s="2">
        <v>80</v>
      </c>
      <c r="B83" s="2" t="str">
        <f ca="1">IF(ISNA(MATCH($A83,Посев!$BI$54:$BI$153,0)),"",OFFSET(final1,MATCH($A83,Посев!$BI$54:$BI$153,0),-9))</f>
        <v/>
      </c>
      <c r="C83" s="2" t="str">
        <f ca="1">IF(ISNA(MATCH($A83,Посев!$BT$54:$BT$153,0)),"",OFFSET(final2,MATCH($A83,Посев!$BT$54:$BT$153,0),-9))</f>
        <v/>
      </c>
      <c r="D83" s="2" t="str">
        <f ca="1">IF(ISNA(MATCH($A83,Посев!$CE$54:$CE$153,0)),"",OFFSET(final3,MATCH($A83,Посев!$CE$54:$CE$153,0),-9))</f>
        <v/>
      </c>
    </row>
    <row r="84" spans="1:4">
      <c r="A84" s="2">
        <v>81</v>
      </c>
      <c r="B84" s="2" t="str">
        <f ca="1">IF(ISNA(MATCH($A84,Посев!$BI$54:$BI$153,0)),"",OFFSET(final1,MATCH($A84,Посев!$BI$54:$BI$153,0),-9))</f>
        <v/>
      </c>
      <c r="C84" s="2" t="str">
        <f ca="1">IF(ISNA(MATCH($A84,Посев!$BT$54:$BT$153,0)),"",OFFSET(final2,MATCH($A84,Посев!$BT$54:$BT$153,0),-9))</f>
        <v/>
      </c>
      <c r="D84" s="2" t="str">
        <f ca="1">IF(ISNA(MATCH($A84,Посев!$CE$54:$CE$153,0)),"",OFFSET(final3,MATCH($A84,Посев!$CE$54:$CE$153,0),-9))</f>
        <v/>
      </c>
    </row>
    <row r="85" spans="1:4">
      <c r="A85" s="2">
        <v>82</v>
      </c>
      <c r="B85" s="2" t="str">
        <f ca="1">IF(ISNA(MATCH($A85,Посев!$BI$54:$BI$153,0)),"",OFFSET(final1,MATCH($A85,Посев!$BI$54:$BI$153,0),-9))</f>
        <v/>
      </c>
      <c r="C85" s="2" t="str">
        <f ca="1">IF(ISNA(MATCH($A85,Посев!$BT$54:$BT$153,0)),"",OFFSET(final2,MATCH($A85,Посев!$BT$54:$BT$153,0),-9))</f>
        <v/>
      </c>
      <c r="D85" s="2" t="str">
        <f ca="1">IF(ISNA(MATCH($A85,Посев!$CE$54:$CE$153,0)),"",OFFSET(final3,MATCH($A85,Посев!$CE$54:$CE$153,0),-9))</f>
        <v/>
      </c>
    </row>
    <row r="86" spans="1:4">
      <c r="A86" s="2">
        <v>83</v>
      </c>
      <c r="B86" s="2" t="str">
        <f ca="1">IF(ISNA(MATCH($A86,Посев!$BI$54:$BI$153,0)),"",OFFSET(final1,MATCH($A86,Посев!$BI$54:$BI$153,0),-9))</f>
        <v/>
      </c>
      <c r="C86" s="2" t="str">
        <f ca="1">IF(ISNA(MATCH($A86,Посев!$BT$54:$BT$153,0)),"",OFFSET(final2,MATCH($A86,Посев!$BT$54:$BT$153,0),-9))</f>
        <v/>
      </c>
      <c r="D86" s="2" t="str">
        <f ca="1">IF(ISNA(MATCH($A86,Посев!$CE$54:$CE$153,0)),"",OFFSET(final3,MATCH($A86,Посев!$CE$54:$CE$153,0),-9))</f>
        <v/>
      </c>
    </row>
    <row r="87" spans="1:4">
      <c r="A87" s="2">
        <v>84</v>
      </c>
      <c r="B87" s="2" t="str">
        <f ca="1">IF(ISNA(MATCH($A87,Посев!$BI$54:$BI$153,0)),"",OFFSET(final1,MATCH($A87,Посев!$BI$54:$BI$153,0),-9))</f>
        <v/>
      </c>
      <c r="C87" s="2" t="str">
        <f ca="1">IF(ISNA(MATCH($A87,Посев!$BT$54:$BT$153,0)),"",OFFSET(final2,MATCH($A87,Посев!$BT$54:$BT$153,0),-9))</f>
        <v/>
      </c>
      <c r="D87" s="2" t="str">
        <f ca="1">IF(ISNA(MATCH($A87,Посев!$CE$54:$CE$153,0)),"",OFFSET(final3,MATCH($A87,Посев!$CE$54:$CE$153,0),-9))</f>
        <v/>
      </c>
    </row>
    <row r="88" spans="1:4">
      <c r="A88" s="2">
        <v>85</v>
      </c>
      <c r="B88" s="2" t="str">
        <f ca="1">IF(ISNA(MATCH($A88,Посев!$BI$54:$BI$153,0)),"",OFFSET(final1,MATCH($A88,Посев!$BI$54:$BI$153,0),-9))</f>
        <v/>
      </c>
      <c r="C88" s="2" t="str">
        <f ca="1">IF(ISNA(MATCH($A88,Посев!$BT$54:$BT$153,0)),"",OFFSET(final2,MATCH($A88,Посев!$BT$54:$BT$153,0),-9))</f>
        <v/>
      </c>
      <c r="D88" s="2" t="str">
        <f ca="1">IF(ISNA(MATCH($A88,Посев!$CE$54:$CE$153,0)),"",OFFSET(final3,MATCH($A88,Посев!$CE$54:$CE$153,0),-9))</f>
        <v/>
      </c>
    </row>
    <row r="89" spans="1:4">
      <c r="A89" s="2">
        <v>86</v>
      </c>
      <c r="B89" s="2" t="str">
        <f ca="1">IF(ISNA(MATCH($A89,Посев!$BI$54:$BI$153,0)),"",OFFSET(final1,MATCH($A89,Посев!$BI$54:$BI$153,0),-9))</f>
        <v/>
      </c>
      <c r="C89" s="2" t="str">
        <f ca="1">IF(ISNA(MATCH($A89,Посев!$BT$54:$BT$153,0)),"",OFFSET(final2,MATCH($A89,Посев!$BT$54:$BT$153,0),-9))</f>
        <v/>
      </c>
      <c r="D89" s="2" t="str">
        <f ca="1">IF(ISNA(MATCH($A89,Посев!$CE$54:$CE$153,0)),"",OFFSET(final3,MATCH($A89,Посев!$CE$54:$CE$153,0),-9))</f>
        <v/>
      </c>
    </row>
    <row r="90" spans="1:4">
      <c r="A90" s="2">
        <v>87</v>
      </c>
      <c r="B90" s="2" t="str">
        <f ca="1">IF(ISNA(MATCH($A90,Посев!$BI$54:$BI$153,0)),"",OFFSET(final1,MATCH($A90,Посев!$BI$54:$BI$153,0),-9))</f>
        <v/>
      </c>
      <c r="C90" s="2" t="str">
        <f ca="1">IF(ISNA(MATCH($A90,Посев!$BT$54:$BT$153,0)),"",OFFSET(final2,MATCH($A90,Посев!$BT$54:$BT$153,0),-9))</f>
        <v/>
      </c>
      <c r="D90" s="2" t="str">
        <f ca="1">IF(ISNA(MATCH($A90,Посев!$CE$54:$CE$153,0)),"",OFFSET(final3,MATCH($A90,Посев!$CE$54:$CE$153,0),-9))</f>
        <v/>
      </c>
    </row>
    <row r="91" spans="1:4">
      <c r="A91" s="2">
        <v>88</v>
      </c>
      <c r="B91" s="2" t="str">
        <f ca="1">IF(ISNA(MATCH($A91,Посев!$BI$54:$BI$153,0)),"",OFFSET(final1,MATCH($A91,Посев!$BI$54:$BI$153,0),-9))</f>
        <v/>
      </c>
      <c r="C91" s="2" t="str">
        <f ca="1">IF(ISNA(MATCH($A91,Посев!$BT$54:$BT$153,0)),"",OFFSET(final2,MATCH($A91,Посев!$BT$54:$BT$153,0),-9))</f>
        <v/>
      </c>
      <c r="D91" s="2" t="str">
        <f ca="1">IF(ISNA(MATCH($A91,Посев!$CE$54:$CE$153,0)),"",OFFSET(final3,MATCH($A91,Посев!$CE$54:$CE$153,0),-9))</f>
        <v/>
      </c>
    </row>
    <row r="92" spans="1:4">
      <c r="A92" s="2">
        <v>89</v>
      </c>
      <c r="B92" s="2" t="str">
        <f ca="1">IF(ISNA(MATCH($A92,Посев!$BI$54:$BI$153,0)),"",OFFSET(final1,MATCH($A92,Посев!$BI$54:$BI$153,0),-9))</f>
        <v/>
      </c>
      <c r="C92" s="2" t="str">
        <f ca="1">IF(ISNA(MATCH($A92,Посев!$BT$54:$BT$153,0)),"",OFFSET(final2,MATCH($A92,Посев!$BT$54:$BT$153,0),-9))</f>
        <v/>
      </c>
      <c r="D92" s="2" t="str">
        <f ca="1">IF(ISNA(MATCH($A92,Посев!$CE$54:$CE$153,0)),"",OFFSET(final3,MATCH($A92,Посев!$CE$54:$CE$153,0),-9))</f>
        <v/>
      </c>
    </row>
    <row r="93" spans="1:4">
      <c r="A93" s="2">
        <v>90</v>
      </c>
      <c r="B93" s="2" t="str">
        <f ca="1">IF(ISNA(MATCH($A93,Посев!$BI$54:$BI$153,0)),"",OFFSET(final1,MATCH($A93,Посев!$BI$54:$BI$153,0),-9))</f>
        <v/>
      </c>
      <c r="C93" s="2" t="str">
        <f ca="1">IF(ISNA(MATCH($A93,Посев!$BT$54:$BT$153,0)),"",OFFSET(final2,MATCH($A93,Посев!$BT$54:$BT$153,0),-9))</f>
        <v/>
      </c>
      <c r="D93" s="2" t="str">
        <f ca="1">IF(ISNA(MATCH($A93,Посев!$CE$54:$CE$153,0)),"",OFFSET(final3,MATCH($A93,Посев!$CE$54:$CE$153,0),-9))</f>
        <v/>
      </c>
    </row>
    <row r="94" spans="1:4">
      <c r="A94" s="2">
        <v>91</v>
      </c>
      <c r="B94" s="2" t="str">
        <f ca="1">IF(ISNA(MATCH($A94,Посев!$BI$54:$BI$153,0)),"",OFFSET(final1,MATCH($A94,Посев!$BI$54:$BI$153,0),-9))</f>
        <v/>
      </c>
      <c r="C94" s="2" t="str">
        <f ca="1">IF(ISNA(MATCH($A94,Посев!$BT$54:$BT$153,0)),"",OFFSET(final2,MATCH($A94,Посев!$BT$54:$BT$153,0),-9))</f>
        <v/>
      </c>
      <c r="D94" s="2" t="str">
        <f ca="1">IF(ISNA(MATCH($A94,Посев!$CE$54:$CE$153,0)),"",OFFSET(final3,MATCH($A94,Посев!$CE$54:$CE$153,0),-9))</f>
        <v/>
      </c>
    </row>
    <row r="95" spans="1:4">
      <c r="A95" s="2">
        <v>92</v>
      </c>
      <c r="B95" s="2" t="str">
        <f ca="1">IF(ISNA(MATCH($A95,Посев!$BI$54:$BI$153,0)),"",OFFSET(final1,MATCH($A95,Посев!$BI$54:$BI$153,0),-9))</f>
        <v/>
      </c>
      <c r="C95" s="2" t="str">
        <f ca="1">IF(ISNA(MATCH($A95,Посев!$BT$54:$BT$153,0)),"",OFFSET(final2,MATCH($A95,Посев!$BT$54:$BT$153,0),-9))</f>
        <v/>
      </c>
      <c r="D95" s="2" t="str">
        <f ca="1">IF(ISNA(MATCH($A95,Посев!$CE$54:$CE$153,0)),"",OFFSET(final3,MATCH($A95,Посев!$CE$54:$CE$153,0),-9))</f>
        <v/>
      </c>
    </row>
    <row r="96" spans="1:4">
      <c r="A96" s="2">
        <v>93</v>
      </c>
      <c r="B96" s="2" t="str">
        <f ca="1">IF(ISNA(MATCH($A96,Посев!$BI$54:$BI$153,0)),"",OFFSET(final1,MATCH($A96,Посев!$BI$54:$BI$153,0),-9))</f>
        <v/>
      </c>
      <c r="C96" s="2" t="str">
        <f ca="1">IF(ISNA(MATCH($A96,Посев!$BT$54:$BT$153,0)),"",OFFSET(final2,MATCH($A96,Посев!$BT$54:$BT$153,0),-9))</f>
        <v/>
      </c>
      <c r="D96" s="2" t="str">
        <f ca="1">IF(ISNA(MATCH($A96,Посев!$CE$54:$CE$153,0)),"",OFFSET(final3,MATCH($A96,Посев!$CE$54:$CE$153,0),-9))</f>
        <v/>
      </c>
    </row>
    <row r="97" spans="1:4">
      <c r="A97" s="2">
        <v>94</v>
      </c>
      <c r="B97" s="2" t="str">
        <f ca="1">IF(ISNA(MATCH($A97,Посев!$BI$54:$BI$153,0)),"",OFFSET(final1,MATCH($A97,Посев!$BI$54:$BI$153,0),-9))</f>
        <v/>
      </c>
      <c r="C97" s="2" t="str">
        <f ca="1">IF(ISNA(MATCH($A97,Посев!$BT$54:$BT$153,0)),"",OFFSET(final2,MATCH($A97,Посев!$BT$54:$BT$153,0),-9))</f>
        <v/>
      </c>
      <c r="D97" s="2" t="str">
        <f ca="1">IF(ISNA(MATCH($A97,Посев!$CE$54:$CE$153,0)),"",OFFSET(final3,MATCH($A97,Посев!$CE$54:$CE$153,0),-9))</f>
        <v/>
      </c>
    </row>
    <row r="98" spans="1:4">
      <c r="A98" s="2">
        <v>95</v>
      </c>
      <c r="B98" s="2" t="str">
        <f ca="1">IF(ISNA(MATCH($A98,Посев!$BI$54:$BI$153,0)),"",OFFSET(final1,MATCH($A98,Посев!$BI$54:$BI$153,0),-9))</f>
        <v/>
      </c>
      <c r="C98" s="2" t="str">
        <f ca="1">IF(ISNA(MATCH($A98,Посев!$BT$54:$BT$153,0)),"",OFFSET(final2,MATCH($A98,Посев!$BT$54:$BT$153,0),-9))</f>
        <v/>
      </c>
      <c r="D98" s="2" t="str">
        <f ca="1">IF(ISNA(MATCH($A98,Посев!$CE$54:$CE$153,0)),"",OFFSET(final3,MATCH($A98,Посев!$CE$54:$CE$153,0),-9))</f>
        <v/>
      </c>
    </row>
    <row r="99" spans="1:4">
      <c r="A99" s="2">
        <v>96</v>
      </c>
      <c r="B99" s="2" t="str">
        <f ca="1">IF(ISNA(MATCH($A99,Посев!$BI$54:$BI$153,0)),"",OFFSET(final1,MATCH($A99,Посев!$BI$54:$BI$153,0),-9))</f>
        <v/>
      </c>
      <c r="C99" s="2" t="str">
        <f ca="1">IF(ISNA(MATCH($A99,Посев!$BT$54:$BT$153,0)),"",OFFSET(final2,MATCH($A99,Посев!$BT$54:$BT$153,0),-9))</f>
        <v/>
      </c>
      <c r="D99" s="2" t="str">
        <f ca="1">IF(ISNA(MATCH($A99,Посев!$CE$54:$CE$153,0)),"",OFFSET(final3,MATCH($A99,Посев!$CE$54:$CE$153,0),-9))</f>
        <v/>
      </c>
    </row>
    <row r="100" spans="1:4">
      <c r="A100" s="2">
        <v>97</v>
      </c>
      <c r="B100" s="2" t="str">
        <f ca="1">IF(ISNA(MATCH($A100,Посев!$BI$54:$BI$153,0)),"",OFFSET(final1,MATCH($A100,Посев!$BI$54:$BI$153,0),-9))</f>
        <v/>
      </c>
      <c r="C100" s="2" t="str">
        <f ca="1">IF(ISNA(MATCH($A100,Посев!$BT$54:$BT$153,0)),"",OFFSET(final2,MATCH($A100,Посев!$BT$54:$BT$153,0),-9))</f>
        <v/>
      </c>
      <c r="D100" s="2" t="str">
        <f ca="1">IF(ISNA(MATCH($A100,Посев!$CE$54:$CE$153,0)),"",OFFSET(final3,MATCH($A100,Посев!$CE$54:$CE$153,0),-9))</f>
        <v/>
      </c>
    </row>
    <row r="101" spans="1:4">
      <c r="A101" s="2">
        <v>98</v>
      </c>
      <c r="B101" s="2" t="str">
        <f ca="1">IF(ISNA(MATCH($A101,Посев!$BI$54:$BI$153,0)),"",OFFSET(final1,MATCH($A101,Посев!$BI$54:$BI$153,0),-9))</f>
        <v/>
      </c>
      <c r="C101" s="2" t="str">
        <f ca="1">IF(ISNA(MATCH($A101,Посев!$BT$54:$BT$153,0)),"",OFFSET(final2,MATCH($A101,Посев!$BT$54:$BT$153,0),-9))</f>
        <v/>
      </c>
      <c r="D101" s="2" t="str">
        <f ca="1">IF(ISNA(MATCH($A101,Посев!$CE$54:$CE$153,0)),"",OFFSET(final3,MATCH($A101,Посев!$CE$54:$CE$153,0),-9))</f>
        <v/>
      </c>
    </row>
    <row r="102" spans="1:4">
      <c r="A102" s="2">
        <v>99</v>
      </c>
      <c r="B102" s="2" t="str">
        <f ca="1">IF(ISNA(MATCH($A102,Посев!$BI$54:$BI$153,0)),"",OFFSET(final1,MATCH($A102,Посев!$BI$54:$BI$153,0),-9))</f>
        <v/>
      </c>
      <c r="C102" s="2" t="str">
        <f ca="1">IF(ISNA(MATCH($A102,Посев!$BT$54:$BT$153,0)),"",OFFSET(final2,MATCH($A102,Посев!$BT$54:$BT$153,0),-9))</f>
        <v/>
      </c>
      <c r="D102" s="2" t="str">
        <f ca="1">IF(ISNA(MATCH($A102,Посев!$CE$54:$CE$153,0)),"",OFFSET(final3,MATCH($A102,Посев!$CE$54:$CE$153,0),-9))</f>
        <v/>
      </c>
    </row>
    <row r="103" spans="1:4">
      <c r="A103" s="2">
        <v>100</v>
      </c>
      <c r="B103" s="2" t="str">
        <f ca="1">IF(ISNA(MATCH($A103,Посев!$BI$54:$BI$153,0)),"",OFFSET(final1,MATCH($A103,Посев!$BI$54:$BI$153,0),-9))</f>
        <v/>
      </c>
      <c r="C103" s="2" t="str">
        <f ca="1">IF(ISNA(MATCH($A103,Посев!$BT$54:$BT$153,0)),"",OFFSET(final2,MATCH($A103,Посев!$BT$54:$BT$153,0),-9))</f>
        <v/>
      </c>
      <c r="D103" s="2" t="str">
        <f ca="1">IF(ISNA(MATCH($A103,Посев!$CE$54:$CE$153,0)),"",OFFSET(final3,MATCH($A103,Посев!$CE$54:$CE$153,0),-9))</f>
        <v/>
      </c>
    </row>
  </sheetData>
  <phoneticPr fontId="2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16</vt:i4>
      </vt:variant>
    </vt:vector>
  </HeadingPairs>
  <TitlesOfParts>
    <vt:vector size="21" baseType="lpstr">
      <vt:lpstr>Rating</vt:lpstr>
      <vt:lpstr>Заявка</vt:lpstr>
      <vt:lpstr>Посев</vt:lpstr>
      <vt:lpstr>Группы</vt:lpstr>
      <vt:lpstr>Export</vt:lpstr>
      <vt:lpstr>Excel_BuiltIn__FilterDatabase_3</vt:lpstr>
      <vt:lpstr>final1</vt:lpstr>
      <vt:lpstr>final2</vt:lpstr>
      <vt:lpstr>final3</vt:lpstr>
      <vt:lpstr>gr_anchor</vt:lpstr>
      <vt:lpstr>Группы!gr_header</vt:lpstr>
      <vt:lpstr>ListHeader</vt:lpstr>
      <vt:lpstr>method_shift</vt:lpstr>
      <vt:lpstr>N_groups</vt:lpstr>
      <vt:lpstr>n_zayavka</vt:lpstr>
      <vt:lpstr>posev</vt:lpstr>
      <vt:lpstr>RatingVolume</vt:lpstr>
      <vt:lpstr>shift1</vt:lpstr>
      <vt:lpstr>shift2</vt:lpstr>
      <vt:lpstr>shift3</vt:lpstr>
      <vt:lpstr>shift4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Baklanov</dc:creator>
  <cp:lastModifiedBy>Николай Гордон</cp:lastModifiedBy>
  <cp:lastPrinted>2009-06-23T14:00:30Z</cp:lastPrinted>
  <dcterms:created xsi:type="dcterms:W3CDTF">2008-12-09T14:46:00Z</dcterms:created>
  <dcterms:modified xsi:type="dcterms:W3CDTF">2017-12-21T21:38:29Z</dcterms:modified>
</cp:coreProperties>
</file>